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Adv. Excel\Final Project - Adv.Excel\"/>
    </mc:Choice>
  </mc:AlternateContent>
  <xr:revisionPtr revIDLastSave="0" documentId="13_ncr:1_{550178C3-D711-4EEE-AD53-3C7272142133}" xr6:coauthVersionLast="47" xr6:coauthVersionMax="47" xr10:uidLastSave="{00000000-0000-0000-0000-000000000000}"/>
  <bookViews>
    <workbookView xWindow="-108" yWindow="-108" windowWidth="23256" windowHeight="13896" activeTab="4" xr2:uid="{0A26DC61-EE07-44EB-B10A-73709EAF65ED}"/>
  </bookViews>
  <sheets>
    <sheet name="Data Analysis" sheetId="9" r:id="rId1"/>
    <sheet name="Charts" sheetId="10" r:id="rId2"/>
    <sheet name="Pivot_Analysis" sheetId="7" r:id="rId3"/>
    <sheet name="loan_default_prediction_dataset" sheetId="1" r:id="rId4"/>
    <sheet name="Summary" sheetId="11" r:id="rId5"/>
  </sheets>
  <definedNames>
    <definedName name="_xlnm._FilterDatabase" localSheetId="3" hidden="1">loan_default_prediction_dataset!$C$7:$AB$7</definedName>
    <definedName name="_xlchart.v2.0" hidden="1">Pivot_Analysis!$H$108:$H$110</definedName>
    <definedName name="_xlchart.v2.1" hidden="1">Pivot_Analysis!$I$107</definedName>
    <definedName name="_xlchart.v2.2" hidden="1">Pivot_Analysis!$I$108:$I$110</definedName>
    <definedName name="_xlchart.v2.3" hidden="1">Pivot_Analysis!$H$108:$H$110</definedName>
    <definedName name="_xlchart.v2.4" hidden="1">Pivot_Analysis!$I$107</definedName>
    <definedName name="_xlchart.v2.5" hidden="1">Pivot_Analysis!$I$108:$I$110</definedName>
    <definedName name="_xlchart.v2.6" hidden="1">Pivot_Analysis!$H$108:$H$110</definedName>
    <definedName name="_xlchart.v2.7" hidden="1">Pivot_Analysis!$I$107</definedName>
    <definedName name="_xlchart.v2.8" hidden="1">Pivot_Analysis!$I$108:$I$110</definedName>
    <definedName name="Slicer_Default_Status">#N/A</definedName>
    <definedName name="Slicer_Gender">#N/A</definedName>
    <definedName name="Slicer_Loan_Purpose">#N/A</definedName>
    <definedName name="Slicer_Risk_category">#N/A</definedName>
    <definedName name="Slicer_Years">#N/A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6" i="9" l="1"/>
  <c r="G6" i="9"/>
  <c r="H6" i="9"/>
  <c r="I6" i="9"/>
  <c r="J6" i="9"/>
  <c r="F7" i="9"/>
  <c r="G7" i="9"/>
  <c r="H7" i="9"/>
  <c r="I7" i="9"/>
  <c r="J7" i="9"/>
  <c r="H16" i="7"/>
  <c r="I16" i="7"/>
  <c r="J16" i="7"/>
  <c r="K16" i="7"/>
  <c r="L16" i="7"/>
  <c r="H17" i="7"/>
  <c r="I17" i="7"/>
  <c r="J17" i="7"/>
  <c r="K17" i="7"/>
  <c r="L17" i="7"/>
  <c r="H93" i="7"/>
  <c r="H128" i="7"/>
  <c r="F48" i="9" s="1"/>
  <c r="H106" i="7"/>
  <c r="F40" i="9" s="1"/>
  <c r="F18" i="9"/>
  <c r="H31" i="7"/>
  <c r="F11" i="9" s="1"/>
  <c r="I32" i="7"/>
  <c r="G12" i="9" s="1"/>
  <c r="F5" i="9"/>
  <c r="H55" i="7"/>
  <c r="F19" i="9" s="1"/>
  <c r="I55" i="7"/>
  <c r="G19" i="9" s="1"/>
  <c r="J55" i="7"/>
  <c r="H19" i="9" s="1"/>
  <c r="K55" i="7"/>
  <c r="I19" i="9" s="1"/>
  <c r="H56" i="7"/>
  <c r="F20" i="9" s="1"/>
  <c r="I56" i="7"/>
  <c r="G20" i="9" s="1"/>
  <c r="J56" i="7"/>
  <c r="H20" i="9" s="1"/>
  <c r="K56" i="7"/>
  <c r="I20" i="9" s="1"/>
  <c r="H57" i="7"/>
  <c r="F21" i="9" s="1"/>
  <c r="I57" i="7"/>
  <c r="G21" i="9" s="1"/>
  <c r="J57" i="7"/>
  <c r="H21" i="9" s="1"/>
  <c r="K57" i="7"/>
  <c r="I21" i="9" s="1"/>
  <c r="H58" i="7"/>
  <c r="F22" i="9" s="1"/>
  <c r="I58" i="7"/>
  <c r="G22" i="9" s="1"/>
  <c r="J58" i="7"/>
  <c r="H22" i="9" s="1"/>
  <c r="K58" i="7"/>
  <c r="I22" i="9" s="1"/>
  <c r="H59" i="7"/>
  <c r="F23" i="9" s="1"/>
  <c r="I59" i="7"/>
  <c r="G23" i="9" s="1"/>
  <c r="J59" i="7"/>
  <c r="H23" i="9" s="1"/>
  <c r="K59" i="7"/>
  <c r="I23" i="9" s="1"/>
  <c r="H60" i="7"/>
  <c r="F24" i="9" s="1"/>
  <c r="I60" i="7"/>
  <c r="G24" i="9" s="1"/>
  <c r="J60" i="7"/>
  <c r="H24" i="9" s="1"/>
  <c r="K60" i="7"/>
  <c r="I24" i="9" s="1"/>
  <c r="H61" i="7"/>
  <c r="F25" i="9" s="1"/>
  <c r="I61" i="7"/>
  <c r="G25" i="9" s="1"/>
  <c r="J61" i="7"/>
  <c r="H25" i="9" s="1"/>
  <c r="K61" i="7"/>
  <c r="I25" i="9" s="1"/>
  <c r="H129" i="7"/>
  <c r="F49" i="9" s="1"/>
  <c r="I129" i="7"/>
  <c r="G49" i="9" s="1"/>
  <c r="J129" i="7"/>
  <c r="H49" i="9" s="1"/>
  <c r="H130" i="7"/>
  <c r="F50" i="9" s="1"/>
  <c r="I130" i="7"/>
  <c r="G50" i="9" s="1"/>
  <c r="J130" i="7"/>
  <c r="H50" i="9" s="1"/>
  <c r="H131" i="7"/>
  <c r="F51" i="9" s="1"/>
  <c r="I131" i="7"/>
  <c r="G51" i="9" s="1"/>
  <c r="J131" i="7"/>
  <c r="H51" i="9" s="1"/>
  <c r="H132" i="7"/>
  <c r="F52" i="9" s="1"/>
  <c r="I132" i="7"/>
  <c r="G52" i="9" s="1"/>
  <c r="J132" i="7"/>
  <c r="H52" i="9" s="1"/>
  <c r="H133" i="7"/>
  <c r="F53" i="9" s="1"/>
  <c r="I133" i="7"/>
  <c r="G53" i="9" s="1"/>
  <c r="J133" i="7"/>
  <c r="H53" i="9" s="1"/>
  <c r="H82" i="7"/>
  <c r="F30" i="9" s="1"/>
  <c r="I82" i="7"/>
  <c r="G30" i="9" s="1"/>
  <c r="H83" i="7"/>
  <c r="F31" i="9" s="1"/>
  <c r="I83" i="7"/>
  <c r="G31" i="9" s="1"/>
  <c r="H84" i="7"/>
  <c r="F32" i="9" s="1"/>
  <c r="I84" i="7"/>
  <c r="G32" i="9" s="1"/>
  <c r="H85" i="7"/>
  <c r="F33" i="9" s="1"/>
  <c r="I85" i="7"/>
  <c r="G33" i="9" s="1"/>
  <c r="H86" i="7"/>
  <c r="F34" i="9" s="1"/>
  <c r="I86" i="7"/>
  <c r="G34" i="9" s="1"/>
  <c r="H87" i="7"/>
  <c r="F35" i="9" s="1"/>
  <c r="I87" i="7"/>
  <c r="G35" i="9" s="1"/>
  <c r="H88" i="7"/>
  <c r="F36" i="9" s="1"/>
  <c r="I88" i="7"/>
  <c r="G36" i="9" s="1"/>
  <c r="H81" i="7"/>
  <c r="F29" i="9" s="1"/>
  <c r="H107" i="7"/>
  <c r="F41" i="9" s="1"/>
  <c r="I107" i="7"/>
  <c r="G41" i="9" s="1"/>
  <c r="H108" i="7"/>
  <c r="F42" i="9" s="1"/>
  <c r="I108" i="7"/>
  <c r="G42" i="9" s="1"/>
  <c r="H109" i="7"/>
  <c r="F43" i="9" s="1"/>
  <c r="I109" i="7"/>
  <c r="G43" i="9" s="1"/>
  <c r="H110" i="7"/>
  <c r="F44" i="9" s="1"/>
  <c r="I110" i="7"/>
  <c r="G44" i="9" s="1"/>
  <c r="H32" i="7"/>
  <c r="F12" i="9" s="1"/>
  <c r="H33" i="7"/>
  <c r="F13" i="9" s="1"/>
  <c r="I33" i="7"/>
  <c r="G13" i="9" s="1"/>
  <c r="H34" i="7"/>
  <c r="F14" i="9" s="1"/>
  <c r="I34" i="7"/>
  <c r="G14" i="9" s="1"/>
  <c r="AB1541" i="1" l="1" a="1"/>
  <c r="AB1541" i="1" s="1"/>
  <c r="AB1844" i="1" a="1"/>
  <c r="AB1844" i="1" s="1"/>
  <c r="AB944" i="1" a="1"/>
  <c r="AB944" i="1" s="1"/>
  <c r="AB69" i="1" a="1"/>
  <c r="AB69" i="1" s="1"/>
  <c r="AB890" i="1" a="1"/>
  <c r="AB890" i="1" s="1"/>
  <c r="AB66" i="1" a="1"/>
  <c r="AB66" i="1" s="1"/>
  <c r="AB1160" i="1" a="1"/>
  <c r="AB1160" i="1" s="1"/>
  <c r="AB1249" i="1" a="1"/>
  <c r="AB1249" i="1" s="1"/>
  <c r="AB1655" i="1" a="1"/>
  <c r="AB1655" i="1" s="1"/>
  <c r="AB827" i="1" a="1"/>
  <c r="AB827" i="1" s="1"/>
  <c r="AB1195" i="1" a="1"/>
  <c r="AB1195" i="1" s="1"/>
  <c r="AB1973" i="1" a="1"/>
  <c r="AB1973" i="1" s="1"/>
  <c r="AB821" i="1" a="1"/>
  <c r="AB821" i="1" s="1"/>
  <c r="AB1966" i="1" a="1"/>
  <c r="AB1966" i="1" s="1"/>
  <c r="AB1887" i="1" a="1"/>
  <c r="AB1887" i="1" s="1"/>
  <c r="AB393" i="1" a="1"/>
  <c r="AB393" i="1" s="1"/>
  <c r="AB374" i="1" a="1"/>
  <c r="AB374" i="1"/>
  <c r="AB1213" i="1" a="1"/>
  <c r="AB1213" i="1" s="1"/>
  <c r="AB420" i="1" a="1"/>
  <c r="AB420" i="1" s="1"/>
  <c r="AB72" i="1" a="1"/>
  <c r="AB72" i="1" s="1"/>
  <c r="AB1177" i="1" a="1"/>
  <c r="AB1177" i="1" s="1"/>
  <c r="AB758" i="1" a="1"/>
  <c r="AB758" i="1" s="1"/>
  <c r="AB1715" i="1" a="1"/>
  <c r="AB1715" i="1" s="1"/>
  <c r="AB727" i="1" a="1"/>
  <c r="AB727" i="1" s="1"/>
  <c r="AB580" i="1" a="1"/>
  <c r="AB580" i="1" s="1"/>
  <c r="AB959" i="1" a="1"/>
  <c r="AB959" i="1" s="1"/>
  <c r="AB363" i="1" a="1"/>
  <c r="AB363" i="1" s="1"/>
  <c r="AB1543" i="1" a="1"/>
  <c r="AB1543" i="1" s="1"/>
  <c r="AB38" i="1" a="1"/>
  <c r="AB38" i="1" s="1"/>
  <c r="AB704" i="1" a="1"/>
  <c r="AB704" i="1" s="1"/>
  <c r="AB101" i="1" a="1"/>
  <c r="AB101" i="1" s="1"/>
  <c r="AB885" i="1" a="1"/>
  <c r="AB885" i="1" s="1"/>
  <c r="AB1738" i="1" a="1"/>
  <c r="AB1738" i="1" s="1"/>
  <c r="AB26" i="1" a="1"/>
  <c r="AB26" i="1" s="1"/>
  <c r="AB1296" i="1" a="1"/>
  <c r="AB1296" i="1" s="1"/>
  <c r="AB1904" i="1" a="1"/>
  <c r="AB1904" i="1" s="1"/>
  <c r="AB1956" i="1" a="1"/>
  <c r="AB1956" i="1" s="1"/>
  <c r="AB484" i="1" a="1"/>
  <c r="AB484" i="1" s="1"/>
  <c r="AB552" i="1" a="1"/>
  <c r="AB552" i="1" s="1"/>
  <c r="AB85" i="1" a="1"/>
  <c r="AB85" i="1" s="1"/>
  <c r="AB1724" i="1" a="1"/>
  <c r="AB1724" i="1" s="1"/>
  <c r="AB1178" i="1" a="1"/>
  <c r="AB1178" i="1" s="1"/>
  <c r="AB931" i="1" a="1"/>
  <c r="AB931" i="1" s="1"/>
  <c r="AB152" i="1" a="1"/>
  <c r="AB152" i="1" s="1"/>
  <c r="AB60" i="1" a="1"/>
  <c r="AB60" i="1" s="1"/>
  <c r="AB831" i="1" a="1"/>
  <c r="AB831" i="1" s="1"/>
  <c r="AB696" i="1" a="1"/>
  <c r="AB696" i="1" s="1"/>
  <c r="AB705" i="1" a="1"/>
  <c r="AB705" i="1" s="1"/>
  <c r="AB842" i="1" a="1"/>
  <c r="AB842" i="1" s="1"/>
  <c r="AB832" i="1" a="1"/>
  <c r="AB832" i="1" s="1"/>
  <c r="AB1406" i="1" a="1"/>
  <c r="AB1406" i="1" s="1"/>
  <c r="AB364" i="1" a="1"/>
  <c r="AB364" i="1" s="1"/>
  <c r="AB1450" i="1" a="1"/>
  <c r="AB1450" i="1" s="1"/>
  <c r="AB1550" i="1" a="1"/>
  <c r="AB1550" i="1" s="1"/>
  <c r="AB1305" i="1" a="1"/>
  <c r="AB1305" i="1" s="1"/>
  <c r="AB88" i="1" a="1"/>
  <c r="AB88" i="1" s="1"/>
  <c r="AB1977" i="1" a="1"/>
  <c r="AB1977" i="1" s="1"/>
  <c r="AB1663" i="1" a="1"/>
  <c r="AB1663" i="1" s="1"/>
  <c r="AB1498" i="1" a="1"/>
  <c r="AB1498" i="1" s="1"/>
  <c r="AB252" i="1" a="1"/>
  <c r="AB252" i="1" s="1"/>
  <c r="AB384" i="1" a="1"/>
  <c r="AB384" i="1" s="1"/>
  <c r="AB803" i="1" a="1"/>
  <c r="AB803" i="1" s="1"/>
  <c r="AB774" i="1" a="1"/>
  <c r="AB774" i="1" s="1"/>
  <c r="AB1835" i="1" a="1"/>
  <c r="AB1835" i="1" s="1"/>
  <c r="AB316" i="1" a="1"/>
  <c r="AB316" i="1" s="1"/>
  <c r="AB273" i="1" a="1"/>
  <c r="AB273" i="1" s="1"/>
  <c r="AB564" i="1" a="1"/>
  <c r="AB564" i="1" s="1"/>
  <c r="AB428" i="1" a="1"/>
  <c r="AB428" i="1" s="1"/>
  <c r="AB156" i="1" a="1"/>
  <c r="AB156" i="1" s="1"/>
  <c r="AB1451" i="1" a="1"/>
  <c r="AB1451" i="1" s="1"/>
  <c r="AB139" i="1" a="1"/>
  <c r="AB139" i="1" s="1"/>
  <c r="AB171" i="1" a="1"/>
  <c r="AB171" i="1" s="1"/>
  <c r="AB1992" i="1" a="1"/>
  <c r="AB1992" i="1" s="1"/>
  <c r="AB187" i="1" a="1"/>
  <c r="AB187" i="1" s="1"/>
  <c r="AB1578" i="1" a="1"/>
  <c r="AB1578" i="1" s="1"/>
  <c r="AB237" i="1" a="1"/>
  <c r="AB237" i="1" s="1"/>
  <c r="AB305" i="1" a="1"/>
  <c r="AB305" i="1"/>
  <c r="AB1423" i="1" a="1"/>
  <c r="AB1423" i="1" s="1"/>
  <c r="AB1028" i="1" a="1"/>
  <c r="AB1028" i="1" s="1"/>
  <c r="AB1817" i="1" a="1"/>
  <c r="AB1817" i="1" s="1"/>
  <c r="AB1184" i="1" a="1"/>
  <c r="AB1184" i="1" s="1"/>
  <c r="AB1458" i="1" a="1"/>
  <c r="AB1458" i="1"/>
  <c r="AB1856" i="1" a="1"/>
  <c r="AB1856" i="1" s="1"/>
  <c r="AB1481" i="1" a="1"/>
  <c r="AB1481" i="1" s="1"/>
  <c r="AB775" i="1" a="1"/>
  <c r="AB775" i="1" s="1"/>
  <c r="AB529" i="1" a="1"/>
  <c r="AB529" i="1" s="1"/>
  <c r="AB122" i="1" a="1"/>
  <c r="AB122" i="1" s="1"/>
  <c r="AB759" i="1" a="1"/>
  <c r="AB759" i="1" s="1"/>
  <c r="AB605" i="1" a="1"/>
  <c r="AB605" i="1" s="1"/>
  <c r="AB280" i="1" a="1"/>
  <c r="AB280" i="1" s="1"/>
  <c r="AB1006" i="1" a="1"/>
  <c r="AB1006" i="1" s="1"/>
  <c r="AB728" i="1" a="1"/>
  <c r="AB728" i="1" s="1"/>
  <c r="AB1777" i="1" a="1"/>
  <c r="AB1777" i="1" s="1"/>
  <c r="AB1722" i="1" a="1"/>
  <c r="AB1722" i="1" s="1"/>
  <c r="AB1278" i="1" a="1"/>
  <c r="AB1278" i="1" s="1"/>
  <c r="AB1591" i="1" a="1"/>
  <c r="AB1591" i="1" s="1"/>
  <c r="AB1668" i="1" a="1"/>
  <c r="AB1668" i="1" s="1"/>
  <c r="AB1493" i="1" a="1"/>
  <c r="AB1493" i="1" s="1"/>
  <c r="AB961" i="1" a="1"/>
  <c r="AB961" i="1" s="1"/>
  <c r="AB537" i="1" a="1"/>
  <c r="AB537" i="1" s="1"/>
  <c r="AB648" i="1" a="1"/>
  <c r="AB648" i="1" s="1"/>
  <c r="AB617" i="1" a="1"/>
  <c r="AB617" i="1" s="1"/>
  <c r="AB1453" i="1" a="1"/>
  <c r="AB1453" i="1" s="1"/>
  <c r="AB862" i="1" a="1"/>
  <c r="AB862" i="1" s="1"/>
  <c r="AB671" i="1" a="1"/>
  <c r="AB671" i="1" s="1"/>
  <c r="AB340" i="1" a="1"/>
  <c r="AB340" i="1"/>
  <c r="AB1967" i="1" a="1"/>
  <c r="AB1967" i="1" s="1"/>
  <c r="AB1440" i="1" a="1"/>
  <c r="AB1440" i="1" s="1"/>
  <c r="AB266" i="1" a="1"/>
  <c r="AB266" i="1" s="1"/>
  <c r="AB565" i="1" a="1"/>
  <c r="AB565" i="1" s="1"/>
  <c r="AB1361" i="1" a="1"/>
  <c r="AB1361" i="1" s="1"/>
  <c r="AB770" i="1" a="1"/>
  <c r="AB770" i="1" s="1"/>
  <c r="AB1812" i="1" a="1"/>
  <c r="AB1812" i="1" s="1"/>
  <c r="AB390" i="1" a="1"/>
  <c r="AB390" i="1" s="1"/>
  <c r="AB1273" i="1" a="1"/>
  <c r="AB1273" i="1" s="1"/>
  <c r="AB1279" i="1" a="1"/>
  <c r="AB1279" i="1" s="1"/>
  <c r="AB815" i="1" a="1"/>
  <c r="AB815" i="1" s="1"/>
  <c r="AB697" i="1" a="1"/>
  <c r="AB697" i="1" s="1"/>
  <c r="AB368" i="1" a="1"/>
  <c r="AB368" i="1" s="1"/>
  <c r="AB714" i="1" a="1"/>
  <c r="AB714" i="1" s="1"/>
  <c r="AB1223" i="1" a="1"/>
  <c r="AB1223" i="1" s="1"/>
  <c r="AB1924" i="1" a="1"/>
  <c r="AB1924" i="1" s="1"/>
  <c r="AB1443" i="1" a="1"/>
  <c r="AB1443" i="1" s="1"/>
  <c r="AB1333" i="1" a="1"/>
  <c r="AB1333" i="1" s="1"/>
  <c r="AB1109" i="1" a="1"/>
  <c r="AB1109" i="1" s="1"/>
  <c r="AB1521" i="1" a="1"/>
  <c r="AB1521" i="1" s="1"/>
  <c r="AB852" i="1" a="1"/>
  <c r="AB852" i="1" s="1"/>
  <c r="AB599" i="1" a="1"/>
  <c r="AB599" i="1" s="1"/>
  <c r="AB448" i="1" a="1"/>
  <c r="AB448" i="1" s="1"/>
  <c r="AB1931" i="1" a="1"/>
  <c r="AB1931" i="1" s="1"/>
  <c r="AB1556" i="1" a="1"/>
  <c r="AB1556" i="1" s="1"/>
  <c r="AB1723" i="1" a="1"/>
  <c r="AB1723" i="1" s="1"/>
  <c r="AB1839" i="1" a="1"/>
  <c r="AB1839" i="1" s="1"/>
  <c r="AB1363" i="1" a="1"/>
  <c r="AB1363" i="1"/>
  <c r="AB1095" i="1" a="1"/>
  <c r="AB1095" i="1" s="1"/>
  <c r="AB1119" i="1" a="1"/>
  <c r="AB1119" i="1" s="1"/>
  <c r="AB1613" i="1" a="1"/>
  <c r="AB1613" i="1" s="1"/>
  <c r="AB1306" i="1" a="1"/>
  <c r="AB1306" i="1" s="1"/>
  <c r="AB879" i="1" a="1"/>
  <c r="AB879" i="1" s="1"/>
  <c r="AB920" i="1" a="1"/>
  <c r="AB920" i="1" s="1"/>
  <c r="AB18" i="1" a="1"/>
  <c r="AB18" i="1" s="1"/>
  <c r="AB1037" i="1" a="1"/>
  <c r="AB1037" i="1" s="1"/>
  <c r="AB1383" i="1" a="1"/>
  <c r="AB1383" i="1" s="1"/>
  <c r="AB365" i="1" a="1"/>
  <c r="AB365" i="1" s="1"/>
  <c r="AB951" i="1" a="1"/>
  <c r="AB951" i="1" s="1"/>
  <c r="AB1494" i="1" a="1"/>
  <c r="AB1494" i="1" s="1"/>
  <c r="AB1471" i="1" a="1"/>
  <c r="AB1471" i="1" s="1"/>
  <c r="AB480" i="1" a="1"/>
  <c r="AB480" i="1" s="1"/>
  <c r="AB884" i="1" a="1"/>
  <c r="AB884" i="1" s="1"/>
  <c r="AB1337" i="1" a="1"/>
  <c r="AB1337" i="1" s="1"/>
  <c r="AB1544" i="1" a="1"/>
  <c r="AB1544" i="1" s="1"/>
  <c r="AB969" i="1" a="1"/>
  <c r="AB969" i="1" s="1"/>
  <c r="AB1096" i="1" a="1"/>
  <c r="AB1096" i="1" s="1"/>
  <c r="AB613" i="1" a="1"/>
  <c r="AB613" i="1" s="1"/>
  <c r="AB1173" i="1" a="1"/>
  <c r="AB1173" i="1" s="1"/>
  <c r="AB1021" i="1" a="1"/>
  <c r="AB1021" i="1" s="1"/>
  <c r="AB522" i="1" a="1"/>
  <c r="AB522" i="1" s="1"/>
  <c r="AB1291" i="1" a="1"/>
  <c r="AB1291" i="1" s="1"/>
  <c r="AB847" i="1" a="1"/>
  <c r="AB847" i="1" s="1"/>
  <c r="AB1818" i="1" a="1"/>
  <c r="AB1818" i="1" s="1"/>
  <c r="AB1274" i="1" a="1"/>
  <c r="AB1274" i="1" s="1"/>
  <c r="AB1506" i="1" a="1"/>
  <c r="AB1506" i="1" s="1"/>
  <c r="AB488" i="1" a="1"/>
  <c r="AB488" i="1" s="1"/>
  <c r="AB1813" i="1" a="1"/>
  <c r="AB1813" i="1" s="1"/>
  <c r="AB1757" i="1" a="1"/>
  <c r="AB1757" i="1" s="1"/>
  <c r="AB665" i="1" a="1"/>
  <c r="AB665" i="1" s="1"/>
  <c r="AB140" i="1" a="1"/>
  <c r="AB140" i="1" s="1"/>
  <c r="AB1699" i="1" a="1"/>
  <c r="AB1699" i="1" s="1"/>
  <c r="AB1863" i="1" a="1"/>
  <c r="AB1863" i="1" s="1"/>
  <c r="AB1524" i="1" a="1"/>
  <c r="AB1524" i="1" s="1"/>
  <c r="AB585" i="1" a="1"/>
  <c r="AB585" i="1" s="1"/>
  <c r="AB1780" i="1" a="1"/>
  <c r="AB1780" i="1" s="1"/>
  <c r="AB960" i="1" a="1"/>
  <c r="AB960" i="1" s="1"/>
  <c r="AB651" i="1" a="1"/>
  <c r="AB651" i="1" s="1"/>
  <c r="AB310" i="1" a="1"/>
  <c r="AB310" i="1" s="1"/>
  <c r="AB1232" i="1" a="1"/>
  <c r="AB1232" i="1" s="1"/>
  <c r="AB1462" i="1" a="1"/>
  <c r="AB1462" i="1" s="1"/>
  <c r="AB295" i="1" a="1"/>
  <c r="AB295" i="1" s="1"/>
  <c r="AB1459" i="1" a="1"/>
  <c r="AB1459" i="1" s="1"/>
  <c r="AB1679" i="1" a="1"/>
  <c r="AB1679" i="1" s="1"/>
  <c r="AB843" i="1" a="1"/>
  <c r="AB843" i="1" s="1"/>
  <c r="AB581" i="1" a="1"/>
  <c r="AB581" i="1" s="1"/>
  <c r="AB554" i="1" a="1"/>
  <c r="AB554" i="1" s="1"/>
  <c r="AB1706" i="1" a="1"/>
  <c r="AB1706" i="1" s="1"/>
  <c r="AB972" i="1" a="1"/>
  <c r="AB972" i="1" s="1"/>
  <c r="AB624" i="1" a="1"/>
  <c r="AB624" i="1" s="1"/>
  <c r="AB1029" i="1" a="1"/>
  <c r="AB1029" i="1" s="1"/>
  <c r="AB952" i="1" a="1"/>
  <c r="AB952" i="1" s="1"/>
  <c r="AB372" i="1" a="1"/>
  <c r="AB372" i="1" s="1"/>
  <c r="AB1920" i="1" a="1"/>
  <c r="AB1920" i="1" s="1"/>
  <c r="AB891" i="1" a="1"/>
  <c r="AB891" i="1" s="1"/>
  <c r="AB342" i="1" a="1"/>
  <c r="AB342" i="1" s="1"/>
  <c r="AB1252" i="1" a="1"/>
  <c r="AB1252" i="1" s="1"/>
  <c r="AB432" i="1" a="1"/>
  <c r="AB432" i="1" s="1"/>
  <c r="AB61" i="1" a="1"/>
  <c r="AB61" i="1" s="1"/>
  <c r="AB791" i="1" a="1"/>
  <c r="AB791" i="1" s="1"/>
  <c r="AB489" i="1" a="1"/>
  <c r="AB489" i="1" s="1"/>
  <c r="AB853" i="1" a="1"/>
  <c r="AB853" i="1" s="1"/>
  <c r="AB195" i="1" a="1"/>
  <c r="AB195" i="1" s="1"/>
  <c r="AB1416" i="1" a="1"/>
  <c r="AB1416" i="1" s="1"/>
  <c r="AB47" i="1" a="1"/>
  <c r="AB47" i="1" s="1"/>
  <c r="AB1407" i="1" a="1"/>
  <c r="AB1407" i="1" s="1"/>
  <c r="AB940" i="1" a="1"/>
  <c r="AB940" i="1" s="1"/>
  <c r="AB1866" i="1" a="1"/>
  <c r="AB1866" i="1" s="1"/>
  <c r="AB974" i="1" a="1"/>
  <c r="AB974" i="1" s="1"/>
  <c r="AB606" i="1" a="1"/>
  <c r="AB606" i="1" s="1"/>
  <c r="AB1507" i="1" a="1"/>
  <c r="AB1507" i="1" s="1"/>
  <c r="AB1327" i="1" a="1"/>
  <c r="AB1327" i="1" s="1"/>
  <c r="AB461" i="1" a="1"/>
  <c r="AB461" i="1" s="1"/>
  <c r="AB515" i="1" a="1"/>
  <c r="AB515" i="1" s="1"/>
  <c r="AB477" i="1" a="1"/>
  <c r="AB477" i="1" s="1"/>
  <c r="AB516" i="1" a="1"/>
  <c r="AB516" i="1" s="1"/>
  <c r="AB1913" i="1" a="1"/>
  <c r="AB1913" i="1" s="1"/>
  <c r="AB666" i="1" a="1"/>
  <c r="AB666" i="1" s="1"/>
  <c r="AB615" i="1" a="1"/>
  <c r="AB615" i="1" s="1"/>
  <c r="AB1819" i="1" a="1"/>
  <c r="AB1819" i="1" s="1"/>
  <c r="AB1097" i="1" a="1"/>
  <c r="AB1097" i="1" s="1"/>
  <c r="AB1614" i="1" a="1"/>
  <c r="AB1614" i="1" s="1"/>
  <c r="AB1538" i="1" a="1"/>
  <c r="AB1538" i="1" s="1"/>
  <c r="AB652" i="1" a="1"/>
  <c r="AB652" i="1" s="1"/>
  <c r="AB900" i="1" a="1"/>
  <c r="AB900" i="1" s="1"/>
  <c r="AB1669" i="1" a="1"/>
  <c r="AB1669" i="1" s="1"/>
  <c r="AB591" i="1" a="1"/>
  <c r="AB591" i="1" s="1"/>
  <c r="AB75" i="1" a="1"/>
  <c r="AB75" i="1" s="1"/>
  <c r="AB1602" i="1" a="1"/>
  <c r="AB1602" i="1" s="1"/>
  <c r="AB776" i="1" a="1"/>
  <c r="AB776" i="1" s="1"/>
  <c r="AB715" i="1" a="1"/>
  <c r="AB715" i="1" s="1"/>
  <c r="AB1392" i="1" a="1"/>
  <c r="AB1392" i="1" s="1"/>
  <c r="AB375" i="1" a="1"/>
  <c r="AB375" i="1" s="1"/>
  <c r="AB1619" i="1" a="1"/>
  <c r="AB1619" i="1" s="1"/>
  <c r="AB1457" i="1" a="1"/>
  <c r="AB1457" i="1" s="1"/>
  <c r="AB1472" i="1" a="1"/>
  <c r="AB1472" i="1" s="1"/>
  <c r="AB924" i="1" a="1"/>
  <c r="AB924" i="1" s="1"/>
  <c r="AB1394" i="1" a="1"/>
  <c r="AB1394" i="1" s="1"/>
  <c r="AB1848" i="1" a="1"/>
  <c r="AB1848" i="1" s="1"/>
  <c r="AB1142" i="1" a="1"/>
  <c r="AB1142" i="1" s="1"/>
  <c r="AB1989" i="1" a="1"/>
  <c r="AB1989" i="1" s="1"/>
  <c r="AB324" i="1" a="1"/>
  <c r="AB324" i="1" s="1"/>
  <c r="AB373" i="1" a="1"/>
  <c r="AB373" i="1" s="1"/>
  <c r="AB667" i="1" a="1"/>
  <c r="AB667" i="1" s="1"/>
  <c r="AB15" i="1" a="1"/>
  <c r="AB15" i="1" s="1"/>
  <c r="AB229" i="1" a="1"/>
  <c r="AB229" i="1" s="1"/>
  <c r="AB1238" i="1" a="1"/>
  <c r="AB1238" i="1" s="1"/>
  <c r="AB1408" i="1" a="1"/>
  <c r="AB1408" i="1" s="1"/>
  <c r="AB1557" i="1" a="1"/>
  <c r="AB1557" i="1" s="1"/>
  <c r="AB788" i="1" a="1"/>
  <c r="AB788" i="1" s="1"/>
  <c r="AB1307" i="1" a="1"/>
  <c r="AB1307" i="1" s="1"/>
  <c r="AB1229" i="1" a="1"/>
  <c r="AB1229" i="1" s="1"/>
  <c r="AB824" i="1" a="1"/>
  <c r="AB824" i="1" s="1"/>
  <c r="AB631" i="1" a="1"/>
  <c r="AB631" i="1" s="1"/>
  <c r="AB1143" i="1" a="1"/>
  <c r="AB1143" i="1" s="1"/>
  <c r="AB82" i="1" a="1"/>
  <c r="AB82" i="1" s="1"/>
  <c r="AB1707" i="1" a="1"/>
  <c r="AB1707" i="1" s="1"/>
  <c r="AB698" i="1" a="1"/>
  <c r="AB698" i="1" s="1"/>
  <c r="AB166" i="1" a="1"/>
  <c r="AB166" i="1" s="1"/>
  <c r="AB1280" i="1" a="1"/>
  <c r="AB1280" i="1" s="1"/>
  <c r="AB168" i="1" a="1"/>
  <c r="AB168" i="1" s="1"/>
  <c r="AB1883" i="1" a="1"/>
  <c r="AB1883" i="1" s="1"/>
  <c r="AB560" i="1" a="1"/>
  <c r="AB560" i="1"/>
  <c r="AB1364" i="1" a="1"/>
  <c r="AB1364" i="1" s="1"/>
  <c r="AB29" i="1" a="1"/>
  <c r="AB29" i="1" s="1"/>
  <c r="AB311" i="1" a="1"/>
  <c r="AB311" i="1" s="1"/>
  <c r="AB1283" i="1" a="1"/>
  <c r="AB1283" i="1" s="1"/>
  <c r="AB53" i="1" a="1"/>
  <c r="AB53" i="1" s="1"/>
  <c r="AB20" i="1" a="1"/>
  <c r="AB20" i="1" s="1"/>
  <c r="AB588" i="1" a="1"/>
  <c r="AB588" i="1" s="1"/>
  <c r="AB1867" i="1" a="1"/>
  <c r="AB1867" i="1" s="1"/>
  <c r="AB592" i="1" a="1"/>
  <c r="AB592" i="1" s="1"/>
  <c r="AB421" i="1" a="1"/>
  <c r="AB421" i="1" s="1"/>
  <c r="AB163" i="1" a="1"/>
  <c r="AB163" i="1" s="1"/>
  <c r="AB856" i="1" a="1"/>
  <c r="AB856" i="1" s="1"/>
  <c r="AB1226" i="1" a="1"/>
  <c r="AB1226" i="1" s="1"/>
  <c r="AB1758" i="1" a="1"/>
  <c r="AB1758" i="1" s="1"/>
  <c r="AB1150" i="1" a="1"/>
  <c r="AB1150" i="1" s="1"/>
  <c r="AB983" i="1" a="1"/>
  <c r="AB983" i="1" s="1"/>
  <c r="AB1421" i="1" a="1"/>
  <c r="AB1421" i="1" s="1"/>
  <c r="AB1313" i="1" a="1"/>
  <c r="AB1313" i="1" s="1"/>
  <c r="AB1982" i="1" a="1"/>
  <c r="AB1982" i="1" s="1"/>
  <c r="AB1799" i="1" a="1"/>
  <c r="AB1799" i="1" s="1"/>
  <c r="AB1196" i="1" a="1"/>
  <c r="AB1196" i="1" s="1"/>
  <c r="AB970" i="1" a="1"/>
  <c r="AB970" i="1" s="1"/>
  <c r="AB1388" i="1" a="1"/>
  <c r="AB1388" i="1" s="1"/>
  <c r="AB1790" i="1" a="1"/>
  <c r="AB1790" i="1" s="1"/>
  <c r="AB740" i="1" a="1"/>
  <c r="AB740" i="1" s="1"/>
  <c r="AB415" i="1" a="1"/>
  <c r="AB415" i="1" s="1"/>
  <c r="AB1960" i="1" a="1"/>
  <c r="AB1960" i="1" s="1"/>
  <c r="AB1412" i="1" a="1"/>
  <c r="AB1412" i="1" s="1"/>
  <c r="AB494" i="1" a="1"/>
  <c r="AB494" i="1" s="1"/>
  <c r="AB123" i="1" a="1"/>
  <c r="AB123" i="1" s="1"/>
  <c r="AB19" i="1" a="1"/>
  <c r="AB19" i="1" s="1"/>
  <c r="AB1909" i="1" a="1"/>
  <c r="AB1909" i="1" s="1"/>
  <c r="AB398" i="1" a="1"/>
  <c r="AB398" i="1" s="1"/>
  <c r="AB1253" i="1" a="1"/>
  <c r="AB1253" i="1" s="1"/>
  <c r="AB299" i="1" a="1"/>
  <c r="AB299" i="1" s="1"/>
  <c r="AB1626" i="1" a="1"/>
  <c r="AB1626" i="1" s="1"/>
  <c r="AB478" i="1" a="1"/>
  <c r="AB478" i="1" s="1"/>
  <c r="AB1633" i="1" a="1"/>
  <c r="AB1633" i="1" s="1"/>
  <c r="AB48" i="1" a="1"/>
  <c r="AB48" i="1" s="1"/>
  <c r="AB112" i="1" a="1"/>
  <c r="AB112" i="1" s="1"/>
  <c r="AB1615" i="1" a="1"/>
  <c r="AB1615" i="1" s="1"/>
  <c r="AB1000" i="1" a="1"/>
  <c r="AB1000" i="1" s="1"/>
  <c r="AB1781" i="1" a="1"/>
  <c r="AB1781" i="1" s="1"/>
  <c r="AB1324" i="1" a="1"/>
  <c r="AB1324" i="1" s="1"/>
  <c r="AB870" i="1" a="1"/>
  <c r="AB870" i="1" s="1"/>
  <c r="AB1508" i="1" a="1"/>
  <c r="AB1508" i="1" s="1"/>
  <c r="AB762" i="1" a="1"/>
  <c r="AB762" i="1" s="1"/>
  <c r="AB1620" i="1" a="1"/>
  <c r="AB1620" i="1" s="1"/>
  <c r="AB27" i="1" a="1"/>
  <c r="AB27" i="1" s="1"/>
  <c r="AB639" i="1" a="1"/>
  <c r="AB639" i="1" s="1"/>
  <c r="AB1603" i="1" a="1"/>
  <c r="AB1603" i="1" s="1"/>
  <c r="AB30" i="1" a="1"/>
  <c r="AB30" i="1" s="1"/>
  <c r="AB723" i="1" a="1"/>
  <c r="AB723" i="1" s="1"/>
  <c r="AB871" i="1" a="1"/>
  <c r="AB871" i="1" s="1"/>
  <c r="AB1047" i="1" a="1"/>
  <c r="AB1047" i="1" s="1"/>
  <c r="AB1782" i="1" a="1"/>
  <c r="AB1782" i="1" s="1"/>
  <c r="AB804" i="1" a="1"/>
  <c r="AB804" i="1" s="1"/>
  <c r="AB143" i="1" a="1"/>
  <c r="AB143" i="1" s="1"/>
  <c r="AB1525" i="1" a="1"/>
  <c r="AB1525" i="1" s="1"/>
  <c r="AB54" i="1" a="1"/>
  <c r="AB54" i="1" s="1"/>
  <c r="AB73" i="1" a="1"/>
  <c r="AB73" i="1" s="1"/>
  <c r="AB200" i="1" a="1"/>
  <c r="AB200" i="1" s="1"/>
  <c r="AB672" i="1" a="1"/>
  <c r="AB672" i="1" s="1"/>
  <c r="AB1638" i="1" a="1"/>
  <c r="AB1638" i="1" s="1"/>
  <c r="AB872" i="1" a="1"/>
  <c r="AB872" i="1" s="1"/>
  <c r="AB1562" i="1" a="1"/>
  <c r="AB1562" i="1" s="1"/>
  <c r="AB857" i="1" a="1"/>
  <c r="AB857" i="1" s="1"/>
  <c r="AB203" i="1" a="1"/>
  <c r="AB203" i="1" s="1"/>
  <c r="AB353" i="1" a="1"/>
  <c r="AB353" i="1" s="1"/>
  <c r="AB113" i="1" a="1"/>
  <c r="AB113" i="1" s="1"/>
  <c r="AB124" i="1" a="1"/>
  <c r="AB124" i="1" s="1"/>
  <c r="AB883" i="1" a="1"/>
  <c r="AB883" i="1" s="1"/>
  <c r="AB44" i="1" a="1"/>
  <c r="AB44" i="1" s="1"/>
  <c r="AB261" i="1" a="1"/>
  <c r="AB261" i="1" s="1"/>
  <c r="AB1938" i="1" a="1"/>
  <c r="AB1938" i="1" s="1"/>
  <c r="AB1539" i="1" a="1"/>
  <c r="AB1539" i="1" s="1"/>
  <c r="AB945" i="1" a="1"/>
  <c r="AB945" i="1" s="1"/>
  <c r="AB1531" i="1" a="1"/>
  <c r="AB1531" i="1" s="1"/>
  <c r="AB716" i="1" a="1"/>
  <c r="AB716" i="1" s="1"/>
  <c r="AB1828" i="1" a="1"/>
  <c r="AB1828" i="1" s="1"/>
  <c r="AB607" i="1" a="1"/>
  <c r="AB607" i="1" s="1"/>
  <c r="AB1053" i="1" a="1"/>
  <c r="AB1053" i="1" s="1"/>
  <c r="AB1227" i="1" a="1"/>
  <c r="AB1227" i="1" s="1"/>
  <c r="AB345" i="1" a="1"/>
  <c r="AB345" i="1" s="1"/>
  <c r="AB350" i="1" a="1"/>
  <c r="AB350" i="1" s="1"/>
  <c r="AB1864" i="1" a="1"/>
  <c r="AB1864" i="1" s="1"/>
  <c r="AB996" i="1" a="1"/>
  <c r="AB996" i="1" s="1"/>
  <c r="AB1540" i="1" a="1"/>
  <c r="AB1540" i="1" s="1"/>
  <c r="AB738" i="1" a="1"/>
  <c r="AB738" i="1" s="1"/>
  <c r="AB35" i="1" a="1"/>
  <c r="AB35" i="1" s="1"/>
  <c r="AB1616" i="1" a="1"/>
  <c r="AB1616" i="1" s="1"/>
  <c r="AB2004" i="1" a="1"/>
  <c r="AB2004" i="1" s="1"/>
  <c r="AB459" i="1" a="1"/>
  <c r="AB459" i="1" s="1"/>
  <c r="AB911" i="1" a="1"/>
  <c r="AB911" i="1" s="1"/>
  <c r="AB102" i="1" a="1"/>
  <c r="AB102" i="1" s="1"/>
  <c r="AB1831" i="1" a="1"/>
  <c r="AB1831" i="1" s="1"/>
  <c r="AB125" i="1" a="1"/>
  <c r="AB125" i="1" s="1"/>
  <c r="AB816" i="1" a="1"/>
  <c r="AB816" i="1" s="1"/>
  <c r="AB836" i="1" a="1"/>
  <c r="AB836" i="1" s="1"/>
  <c r="AB1587" i="1" a="1"/>
  <c r="AB1587" i="1" s="1"/>
  <c r="AB1466" i="1" a="1"/>
  <c r="AB1466" i="1" s="1"/>
  <c r="AB1400" i="1" a="1"/>
  <c r="AB1400" i="1" s="1"/>
  <c r="AB642" i="1" a="1"/>
  <c r="AB642" i="1" s="1"/>
  <c r="AB1499" i="1" a="1"/>
  <c r="AB1499" i="1" s="1"/>
  <c r="AB925" i="1" a="1"/>
  <c r="AB925" i="1" s="1"/>
  <c r="AB1002" i="1" a="1"/>
  <c r="AB1002" i="1" s="1"/>
  <c r="AB1356" i="1" a="1"/>
  <c r="AB1356" i="1" s="1"/>
  <c r="AB724" i="1" a="1"/>
  <c r="AB724" i="1" s="1"/>
  <c r="AB1445" i="1" a="1"/>
  <c r="AB1445" i="1" s="1"/>
  <c r="AB1284" i="1" a="1"/>
  <c r="AB1284" i="1" s="1"/>
  <c r="AB1582" i="1" a="1"/>
  <c r="AB1582" i="1" s="1"/>
  <c r="AB1768" i="1" a="1"/>
  <c r="AB1768" i="1" s="1"/>
  <c r="AB402" i="1" a="1"/>
  <c r="AB402" i="1" s="1"/>
  <c r="AB403" i="1" a="1"/>
  <c r="AB403" i="1" s="1"/>
  <c r="AB833" i="1" a="1"/>
  <c r="AB833" i="1" s="1"/>
  <c r="AB706" i="1" a="1"/>
  <c r="AB706" i="1" s="1"/>
  <c r="AB1478" i="1" a="1"/>
  <c r="AB1478" i="1" s="1"/>
  <c r="AB1007" i="1" a="1"/>
  <c r="AB1007" i="1" s="1"/>
  <c r="AB157" i="1" a="1"/>
  <c r="AB157" i="1" s="1"/>
  <c r="AB1353" i="1" a="1"/>
  <c r="AB1353" i="1" s="1"/>
  <c r="AB267" i="1" a="1"/>
  <c r="AB267" i="1" s="1"/>
  <c r="AB526" i="1" a="1"/>
  <c r="AB526" i="1" s="1"/>
  <c r="AB1452" i="1" a="1"/>
  <c r="AB1452" i="1" s="1"/>
  <c r="AB1627" i="1" a="1"/>
  <c r="AB1627" i="1" s="1"/>
  <c r="AB1739" i="1" a="1"/>
  <c r="AB1739" i="1" s="1"/>
  <c r="AB1545" i="1" a="1"/>
  <c r="AB1545" i="1" s="1"/>
  <c r="AB752" i="1" a="1"/>
  <c r="AB752" i="1" s="1"/>
  <c r="AB86" i="1" a="1"/>
  <c r="AB86" i="1" s="1"/>
  <c r="AB1428" i="1" a="1"/>
  <c r="AB1428" i="1" s="1"/>
  <c r="AB62" i="1" a="1"/>
  <c r="AB62" i="1" s="1"/>
  <c r="AB479" i="1" a="1"/>
  <c r="AB479" i="1" s="1"/>
  <c r="AB1925" i="1" a="1"/>
  <c r="AB1925" i="1" s="1"/>
  <c r="AB1851" i="1" a="1"/>
  <c r="AB1851" i="1" s="1"/>
  <c r="AB107" i="1" a="1"/>
  <c r="AB107" i="1" s="1"/>
  <c r="AB1482" i="1" a="1"/>
  <c r="AB1482" i="1" s="1"/>
  <c r="AB500" i="1" a="1"/>
  <c r="AB500" i="1" s="1"/>
  <c r="AB1696" i="1" a="1"/>
  <c r="AB1696" i="1" s="1"/>
  <c r="AB517" i="1" a="1"/>
  <c r="AB517" i="1" s="1"/>
  <c r="AB245" i="1" a="1"/>
  <c r="AB245" i="1" s="1"/>
  <c r="AB357" i="1" a="1"/>
  <c r="AB357" i="1" s="1"/>
  <c r="AB932" i="1" a="1"/>
  <c r="AB932" i="1" s="1"/>
  <c r="AB1594" i="1" a="1"/>
  <c r="AB1594" i="1" s="1"/>
  <c r="AB1174" i="1" a="1"/>
  <c r="AB1174" i="1" s="1"/>
  <c r="AB1645" i="1" a="1"/>
  <c r="AB1645" i="1" s="1"/>
  <c r="AB645" i="1" a="1"/>
  <c r="AB645" i="1" s="1"/>
  <c r="AB1441" i="1" a="1"/>
  <c r="AB1441" i="1" s="1"/>
  <c r="AB490" i="1" a="1"/>
  <c r="AB490" i="1" s="1"/>
  <c r="AB1621" i="1" a="1"/>
  <c r="AB1621" i="1" s="1"/>
  <c r="AB817" i="1" a="1"/>
  <c r="AB817" i="1" s="1"/>
  <c r="AB429" i="1" a="1"/>
  <c r="AB429" i="1" s="1"/>
  <c r="AB1532" i="1" a="1"/>
  <c r="AB1532" i="1" s="1"/>
  <c r="AB625" i="1" a="1"/>
  <c r="AB625" i="1" s="1"/>
  <c r="AB1509" i="1" a="1"/>
  <c r="AB1509" i="1" s="1"/>
  <c r="AB1030" i="1" a="1"/>
  <c r="AB1030" i="1" s="1"/>
  <c r="AB8" i="1" a="1"/>
  <c r="AB8" i="1" s="1"/>
  <c r="AB582" i="1" a="1"/>
  <c r="AB582" i="1" s="1"/>
  <c r="AB325" i="1" a="1"/>
  <c r="AB325" i="1" s="1"/>
  <c r="AB379" i="1" a="1"/>
  <c r="AB379" i="1" s="1"/>
  <c r="AB811" i="1" a="1"/>
  <c r="AB811" i="1" s="1"/>
  <c r="AB1098" i="1" a="1"/>
  <c r="AB1098" i="1" s="1"/>
  <c r="AB975" i="1" a="1"/>
  <c r="AB975" i="1" s="1"/>
  <c r="AB1011" i="1" a="1"/>
  <c r="AB1011" i="1" s="1"/>
  <c r="AB1939" i="1" a="1"/>
  <c r="AB1939" i="1" s="1"/>
  <c r="AB1144" i="1" a="1"/>
  <c r="AB1144" i="1" s="1"/>
  <c r="AB1031" i="1" a="1"/>
  <c r="AB1031" i="1" s="1"/>
  <c r="AB501" i="1" a="1"/>
  <c r="AB501" i="1" s="1"/>
  <c r="AB895" i="1" a="1"/>
  <c r="AB895" i="1" s="1"/>
  <c r="AB1897" i="1" a="1"/>
  <c r="AB1897" i="1" s="1"/>
  <c r="AB1628" i="1" a="1"/>
  <c r="AB1628" i="1" s="1"/>
  <c r="AB1334" i="1" a="1"/>
  <c r="AB1334" i="1" s="1"/>
  <c r="AB1546" i="1" a="1"/>
  <c r="AB1546" i="1" s="1"/>
  <c r="AB1244" i="1" a="1"/>
  <c r="AB1244" i="1" s="1"/>
  <c r="AB527" i="1" a="1"/>
  <c r="AB527" i="1" s="1"/>
  <c r="AB984" i="1" a="1"/>
  <c r="AB984" i="1" s="1"/>
  <c r="AB1099" i="1" a="1"/>
  <c r="AB1099" i="1"/>
  <c r="AB1942" i="1" a="1"/>
  <c r="AB1942" i="1" s="1"/>
  <c r="AB1515" i="1" a="1"/>
  <c r="AB1515" i="1" s="1"/>
  <c r="AB1200" i="1" a="1"/>
  <c r="AB1200" i="1" s="1"/>
  <c r="AB1998" i="1" a="1"/>
  <c r="AB1998" i="1" s="1"/>
  <c r="AB1151" i="1" a="1"/>
  <c r="AB1151" i="1" s="1"/>
  <c r="AB321" i="1" a="1"/>
  <c r="AB321" i="1" s="1"/>
  <c r="AB1185" i="1" a="1"/>
  <c r="AB1185" i="1" s="1"/>
  <c r="AB189" i="1" a="1"/>
  <c r="AB189" i="1" s="1"/>
  <c r="AB118" i="1" a="1"/>
  <c r="AB118" i="1" s="1"/>
  <c r="AB1500" i="1" a="1"/>
  <c r="AB1500" i="1" s="1"/>
  <c r="AB1003" i="1" a="1"/>
  <c r="AB1003" i="1" s="1"/>
  <c r="AB957" i="1" a="1"/>
  <c r="AB957" i="1" s="1"/>
  <c r="AB1832" i="1" a="1"/>
  <c r="AB1832" i="1" s="1"/>
  <c r="AB1604" i="1" a="1"/>
  <c r="AB1604" i="1" s="1"/>
  <c r="AB1995" i="1" a="1"/>
  <c r="AB1995" i="1" s="1"/>
  <c r="AB1852" i="1" a="1"/>
  <c r="AB1852" i="1" s="1"/>
  <c r="AB1656" i="1" a="1"/>
  <c r="AB1656" i="1" s="1"/>
  <c r="AB1233" i="1" a="1"/>
  <c r="AB1233" i="1" s="1"/>
  <c r="AB439" i="1" a="1"/>
  <c r="AB439" i="1" s="1"/>
  <c r="AB159" i="1" a="1"/>
  <c r="AB159" i="1" s="1"/>
  <c r="AB1264" i="1" a="1"/>
  <c r="AB1264" i="1" s="1"/>
  <c r="AB632" i="1" a="1"/>
  <c r="AB632" i="1" s="1"/>
  <c r="AB1747" i="1" a="1"/>
  <c r="AB1747" i="1" s="1"/>
  <c r="AB135" i="1" a="1"/>
  <c r="AB135" i="1" s="1"/>
  <c r="AB1734" i="1" a="1"/>
  <c r="AB1734" i="1" s="1"/>
  <c r="AB1725" i="1" a="1"/>
  <c r="AB1725" i="1" s="1"/>
  <c r="AB542" i="1" a="1"/>
  <c r="AB542" i="1" s="1"/>
  <c r="AB1617" i="1" a="1"/>
  <c r="AB1617" i="1" s="1"/>
  <c r="AB268" i="1" a="1"/>
  <c r="AB268" i="1" s="1"/>
  <c r="AB1008" i="1" a="1"/>
  <c r="AB1008" i="1" s="1"/>
  <c r="AB1680" i="1" a="1"/>
  <c r="AB1680" i="1" s="1"/>
  <c r="AB1726" i="1" a="1"/>
  <c r="AB1726" i="1" s="1"/>
  <c r="AB1727" i="1" a="1"/>
  <c r="AB1727" i="1" s="1"/>
  <c r="AB416" i="1" a="1"/>
  <c r="AB416" i="1" s="1"/>
  <c r="AB55" i="1" a="1"/>
  <c r="AB55" i="1" s="1"/>
  <c r="AB1123" i="1" a="1"/>
  <c r="AB1123" i="1" s="1"/>
  <c r="AB626" i="1" a="1"/>
  <c r="AB626" i="1" s="1"/>
  <c r="AB1490" i="1" a="1"/>
  <c r="AB1490" i="1" s="1"/>
  <c r="AB673" i="1" a="1"/>
  <c r="AB673" i="1" s="1"/>
  <c r="AB1700" i="1" a="1"/>
  <c r="AB1700" i="1" s="1"/>
  <c r="AB1488" i="1" a="1"/>
  <c r="AB1488" i="1" s="1"/>
  <c r="AB733" i="1" a="1"/>
  <c r="AB733" i="1" s="1"/>
  <c r="AB31" i="1" a="1"/>
  <c r="AB31" i="1" s="1"/>
  <c r="AB1454" i="1" a="1"/>
  <c r="AB1454" i="1" s="1"/>
  <c r="AB1430" i="1" a="1"/>
  <c r="AB1430" i="1" s="1"/>
  <c r="AB399" i="1" a="1"/>
  <c r="AB399" i="1" s="1"/>
  <c r="AB917" i="1" a="1"/>
  <c r="AB917" i="1" s="1"/>
  <c r="AB380" i="1" a="1"/>
  <c r="AB380" i="1" s="1"/>
  <c r="AB1199" i="1" a="1"/>
  <c r="AB1199" i="1" s="1"/>
  <c r="AB1865" i="1" a="1"/>
  <c r="AB1865" i="1" s="1"/>
  <c r="AB1059" i="1" a="1"/>
  <c r="AB1059" i="1" s="1"/>
  <c r="AB1999" i="1" a="1"/>
  <c r="AB1999" i="1" s="1"/>
  <c r="AB1038" i="1" a="1"/>
  <c r="AB1038" i="1" s="1"/>
  <c r="AB1957" i="1" a="1"/>
  <c r="AB1957" i="1" s="1"/>
  <c r="AB799" i="1" a="1"/>
  <c r="AB799" i="1" s="1"/>
  <c r="AB326" i="1" a="1"/>
  <c r="AB326" i="1" s="1"/>
  <c r="AB1803" i="1" a="1"/>
  <c r="AB1803" i="1" s="1"/>
  <c r="AB1362" i="1" a="1"/>
  <c r="AB1362" i="1" s="1"/>
  <c r="AB1788" i="1" a="1"/>
  <c r="AB1788" i="1" s="1"/>
  <c r="AB904" i="1" a="1"/>
  <c r="AB904" i="1" s="1"/>
  <c r="AB1120" i="1" a="1"/>
  <c r="AB1120" i="1" s="1"/>
  <c r="AB962" i="1" a="1"/>
  <c r="AB962" i="1" s="1"/>
  <c r="AB808" i="1" a="1"/>
  <c r="AB808" i="1" s="1"/>
  <c r="AB103" i="1" a="1"/>
  <c r="AB103" i="1" s="1"/>
  <c r="AB1088" i="1" a="1"/>
  <c r="AB1088" i="1" s="1"/>
  <c r="AB153" i="1" a="1"/>
  <c r="AB153" i="1" s="1"/>
  <c r="AB335" i="1" a="1"/>
  <c r="AB335" i="1" s="1"/>
  <c r="AB1289" i="1" a="1"/>
  <c r="AB1289" i="1" s="1"/>
  <c r="AB1022" i="1" a="1"/>
  <c r="AB1022" i="1" s="1"/>
  <c r="AB1785" i="1" a="1"/>
  <c r="AB1785" i="1" s="1"/>
  <c r="AB1175" i="1" a="1"/>
  <c r="AB1175" i="1" s="1"/>
  <c r="AB1110" i="1" a="1"/>
  <c r="AB1110" i="1" s="1"/>
  <c r="AB1121" i="1" a="1"/>
  <c r="AB1121" i="1" s="1"/>
  <c r="AB1436" i="1" a="1"/>
  <c r="AB1436" i="1" s="1"/>
  <c r="AB1681" i="1" a="1"/>
  <c r="AB1681" i="1" s="1"/>
  <c r="AB886" i="1" a="1"/>
  <c r="AB886" i="1" s="1"/>
  <c r="AB1778" i="1" a="1"/>
  <c r="AB1778" i="1" s="1"/>
  <c r="AB1940" i="1" a="1"/>
  <c r="AB1940" i="1" s="1"/>
  <c r="AB1891" i="1" a="1"/>
  <c r="AB1891" i="1" s="1"/>
  <c r="AB1748" i="1" a="1"/>
  <c r="AB1748" i="1" s="1"/>
  <c r="AB763" i="1" a="1"/>
  <c r="AB763" i="1" s="1"/>
  <c r="AB1526" i="1" a="1"/>
  <c r="AB1526" i="1" s="1"/>
  <c r="AB1824" i="1" a="1"/>
  <c r="AB1824" i="1" s="1"/>
  <c r="AB1793" i="1" a="1"/>
  <c r="AB1793" i="1" s="1"/>
  <c r="AB126" i="1" a="1"/>
  <c r="AB126" i="1" s="1"/>
  <c r="AB1019" i="1" a="1"/>
  <c r="AB1019" i="1" s="1"/>
  <c r="AB1122" i="1" a="1"/>
  <c r="AB1122" i="1" s="1"/>
  <c r="AB1365" i="1" a="1"/>
  <c r="AB1365" i="1" s="1"/>
  <c r="AB873" i="1" a="1"/>
  <c r="AB873" i="1" s="1"/>
  <c r="AB1535" i="1" a="1"/>
  <c r="AB1535" i="1" s="1"/>
  <c r="AB1632" i="1" a="1"/>
  <c r="AB1632" i="1" s="1"/>
  <c r="AB896" i="1" a="1"/>
  <c r="AB896" i="1" s="1"/>
  <c r="AB953" i="1" a="1"/>
  <c r="AB953" i="1" s="1"/>
  <c r="AB204" i="1" a="1"/>
  <c r="AB204" i="1" s="1"/>
  <c r="AB701" i="1" a="1"/>
  <c r="AB701" i="1" s="1"/>
  <c r="AB784" i="1" a="1"/>
  <c r="AB784" i="1" s="1"/>
  <c r="AB1978" i="1" a="1"/>
  <c r="AB1978" i="1" s="1"/>
  <c r="AB1845" i="1" a="1"/>
  <c r="AB1845" i="1" s="1"/>
  <c r="AB230" i="1" a="1"/>
  <c r="AB230" i="1" s="1"/>
  <c r="AB854" i="1" a="1"/>
  <c r="AB854" i="1" s="1"/>
  <c r="AB1527" i="1" a="1"/>
  <c r="AB1527" i="1" s="1"/>
  <c r="AB1703" i="1" a="1"/>
  <c r="AB1703" i="1" s="1"/>
  <c r="AB1814" i="1" a="1"/>
  <c r="AB1814" i="1"/>
  <c r="AB653" i="1" a="1"/>
  <c r="AB653" i="1" s="1"/>
  <c r="AB741" i="1" a="1"/>
  <c r="AB741" i="1" s="1"/>
  <c r="AB1023" i="1" a="1"/>
  <c r="AB1023" i="1" s="1"/>
  <c r="AB242" i="1" a="1"/>
  <c r="AB242" i="1" s="1"/>
  <c r="AB1600" i="1" a="1"/>
  <c r="AB1600" i="1" s="1"/>
  <c r="AB1735" i="1" a="1"/>
  <c r="AB1735" i="1" s="1"/>
  <c r="AB1431" i="1" a="1"/>
  <c r="AB1431" i="1" s="1"/>
  <c r="AB83" i="1" a="1"/>
  <c r="AB83" i="1" s="1"/>
  <c r="AB822" i="1" a="1"/>
  <c r="AB822" i="1" s="1"/>
  <c r="AB1567" i="1" a="1"/>
  <c r="AB1567" i="1" s="1"/>
  <c r="AB1871" i="1" a="1"/>
  <c r="AB1871" i="1" s="1"/>
  <c r="AB1395" i="1" a="1"/>
  <c r="AB1395" i="1" s="1"/>
  <c r="AB1926" i="1" a="1"/>
  <c r="AB1926" i="1" s="1"/>
  <c r="AB992" i="1" a="1"/>
  <c r="AB992" i="1" s="1"/>
  <c r="AB303" i="1" a="1"/>
  <c r="AB303" i="1" s="1"/>
  <c r="AB568" i="1" a="1"/>
  <c r="AB568" i="1" s="1"/>
  <c r="AB1983" i="1" a="1"/>
  <c r="AB1983" i="1" s="1"/>
  <c r="AB1963" i="1" a="1"/>
  <c r="AB1963" i="1" s="1"/>
  <c r="AB1836" i="1" a="1"/>
  <c r="AB1836" i="1" s="1"/>
  <c r="AB1250" i="1" a="1"/>
  <c r="AB1250" i="1" s="1"/>
  <c r="AB9" i="1" a="1"/>
  <c r="AB9" i="1" s="1"/>
  <c r="AB561" i="1" a="1"/>
  <c r="AB561" i="1" s="1"/>
  <c r="AB1314" i="1" a="1"/>
  <c r="AB1314" i="1" s="1"/>
  <c r="AB1840" i="1" a="1"/>
  <c r="AB1840" i="1" s="1"/>
  <c r="AB593" i="1" a="1"/>
  <c r="AB593" i="1" s="1"/>
  <c r="AB922" i="1" a="1"/>
  <c r="AB922" i="1" s="1"/>
  <c r="AB1297" i="1" a="1"/>
  <c r="AB1297" i="1" s="1"/>
  <c r="AB504" i="1" a="1"/>
  <c r="AB504" i="1" s="1"/>
  <c r="AB495" i="1" a="1"/>
  <c r="AB495" i="1" s="1"/>
  <c r="AB114" i="1" a="1"/>
  <c r="AB114" i="1" s="1"/>
  <c r="AB717" i="1" a="1"/>
  <c r="AB717" i="1" s="1"/>
  <c r="AB1463" i="1" a="1"/>
  <c r="AB1463" i="1" s="1"/>
  <c r="AB684" i="1" a="1"/>
  <c r="AB684" i="1" s="1"/>
  <c r="AB691" i="1" a="1"/>
  <c r="AB691" i="1" s="1"/>
  <c r="AB562" i="1" a="1"/>
  <c r="AB562" i="1" s="1"/>
  <c r="AB212" i="1" a="1"/>
  <c r="AB212" i="1" s="1"/>
  <c r="AB1179" i="1" a="1"/>
  <c r="AB1179" i="1" s="1"/>
  <c r="AB67" i="1" a="1"/>
  <c r="AB67" i="1" s="1"/>
  <c r="AB1039" i="1" a="1"/>
  <c r="AB1039" i="1" s="1"/>
  <c r="AB553" i="1" a="1"/>
  <c r="AB553" i="1" s="1"/>
  <c r="AB1974" i="1" a="1"/>
  <c r="AB1974" i="1" s="1"/>
  <c r="AB858" i="1" a="1"/>
  <c r="AB858" i="1" s="1"/>
  <c r="AB1554" i="1" a="1"/>
  <c r="AB1554" i="1" s="1"/>
  <c r="AB912" i="1" a="1"/>
  <c r="AB912" i="1" s="1"/>
  <c r="AB149" i="1" a="1"/>
  <c r="AB149" i="1" s="1"/>
  <c r="AB1674" i="1" a="1"/>
  <c r="AB1674" i="1" s="1"/>
  <c r="AB721" i="1" a="1"/>
  <c r="AB721" i="1" s="1"/>
  <c r="AB734" i="1" a="1"/>
  <c r="AB734" i="1" s="1"/>
  <c r="AB1961" i="1" a="1"/>
  <c r="AB1961" i="1" s="1"/>
  <c r="AB1077" i="1" a="1"/>
  <c r="AB1077" i="1"/>
  <c r="AB1251" i="1" a="1"/>
  <c r="AB1251" i="1" s="1"/>
  <c r="AB985" i="1" a="1"/>
  <c r="AB985" i="1" s="1"/>
  <c r="AB410" i="1" a="1"/>
  <c r="AB410" i="1" s="1"/>
  <c r="AB602" i="1" a="1"/>
  <c r="AB602" i="1" s="1"/>
  <c r="AB243" i="1" a="1"/>
  <c r="AB243" i="1" s="1"/>
  <c r="AB1467" i="1" a="1"/>
  <c r="AB1467" i="1" s="1"/>
  <c r="AB993" i="1" a="1"/>
  <c r="AB993" i="1" s="1"/>
  <c r="AB119" i="1" a="1"/>
  <c r="AB119" i="1" s="1"/>
  <c r="AB449" i="1" a="1"/>
  <c r="AB449" i="1" s="1"/>
  <c r="AB1483" i="1" a="1"/>
  <c r="AB1483" i="1" s="1"/>
  <c r="AB963" i="1" a="1"/>
  <c r="AB963" i="1" s="1"/>
  <c r="AB614" i="1" a="1"/>
  <c r="AB614" i="1" s="1"/>
  <c r="AB1962" i="1" a="1"/>
  <c r="AB1962" i="1" s="1"/>
  <c r="AB1078" i="1" a="1"/>
  <c r="AB1078" i="1" s="1"/>
  <c r="AB749" i="1" a="1"/>
  <c r="AB749" i="1" s="1"/>
  <c r="AB753" i="1" a="1"/>
  <c r="AB753" i="1" s="1"/>
  <c r="AB569" i="1" a="1"/>
  <c r="AB569" i="1" s="1"/>
  <c r="AB1260" i="1" a="1"/>
  <c r="AB1260" i="1" s="1"/>
  <c r="AB1376" i="1" a="1"/>
  <c r="AB1376" i="1" s="1"/>
  <c r="AB327" i="1" a="1"/>
  <c r="AB327" i="1" s="1"/>
  <c r="AB1032" i="1" a="1"/>
  <c r="AB1032" i="1" s="1"/>
  <c r="AB1205" i="1" a="1"/>
  <c r="AB1205" i="1" s="1"/>
  <c r="AB1455" i="1" a="1"/>
  <c r="AB1455" i="1" s="1"/>
  <c r="AB1342" i="1" a="1"/>
  <c r="AB1342" i="1" s="1"/>
  <c r="AB572" i="1" a="1"/>
  <c r="AB572" i="1" s="1"/>
  <c r="AB1751" i="1" a="1"/>
  <c r="AB1751" i="1" s="1"/>
  <c r="AB502" i="1" a="1"/>
  <c r="AB502" i="1" s="1"/>
  <c r="AB978" i="1" a="1"/>
  <c r="AB978" i="1" s="1"/>
  <c r="AB1741" i="1" a="1"/>
  <c r="AB1741" i="1" s="1"/>
  <c r="AB722" i="1" a="1"/>
  <c r="AB722" i="1" s="1"/>
  <c r="AB196" i="1" a="1"/>
  <c r="AB196" i="1" s="1"/>
  <c r="AB825" i="1" a="1"/>
  <c r="AB825" i="1" s="1"/>
  <c r="AB74" i="1" a="1"/>
  <c r="AB74" i="1" s="1"/>
  <c r="AB394" i="1" a="1"/>
  <c r="AB394" i="1" s="1"/>
  <c r="AB659" i="1" a="1"/>
  <c r="AB659" i="1" s="1"/>
  <c r="AB699" i="1" a="1"/>
  <c r="AB699" i="1" s="1"/>
  <c r="AB1658" i="1" a="1"/>
  <c r="AB1658" i="1" s="1"/>
  <c r="AB855" i="1" a="1"/>
  <c r="AB855" i="1" s="1"/>
  <c r="AB844" i="1" a="1"/>
  <c r="AB844" i="1" s="1"/>
  <c r="AB618" i="1" a="1"/>
  <c r="AB618" i="1" s="1"/>
  <c r="AB750" i="1" a="1"/>
  <c r="AB750" i="1" s="1"/>
  <c r="AB1631" i="1" a="1"/>
  <c r="AB1631" i="1" s="1"/>
  <c r="AB1228" i="1" a="1"/>
  <c r="AB1228" i="1" s="1"/>
  <c r="AB1308" i="1" a="1"/>
  <c r="AB1308" i="1" s="1"/>
  <c r="AB1303" i="1" a="1"/>
  <c r="AB1303" i="1" s="1"/>
  <c r="AB640" i="1" a="1"/>
  <c r="AB640" i="1" s="1"/>
  <c r="AB555" i="1" a="1"/>
  <c r="AB555" i="1" s="1"/>
  <c r="AB1975" i="1" a="1"/>
  <c r="AB1975" i="1" s="1"/>
  <c r="AB1328" i="1" a="1"/>
  <c r="AB1328" i="1" s="1"/>
  <c r="AB1958" i="1" a="1"/>
  <c r="AB1958" i="1" s="1"/>
  <c r="AB933" i="1" a="1"/>
  <c r="AB933" i="1" s="1"/>
  <c r="AB538" i="1" a="1"/>
  <c r="AB538" i="1" s="1"/>
  <c r="AB1837" i="1" a="1"/>
  <c r="AB1837" i="1" s="1"/>
  <c r="AB1910" i="1" a="1"/>
  <c r="AB1910" i="1" s="1"/>
  <c r="AB1952" i="1" a="1"/>
  <c r="AB1952" i="1" s="1"/>
  <c r="AB735" i="1" a="1"/>
  <c r="AB735" i="1" s="1"/>
  <c r="AB468" i="1" a="1"/>
  <c r="AB468" i="1" s="1"/>
  <c r="AB1180" i="1" a="1"/>
  <c r="AB1180" i="1" s="1"/>
  <c r="AB1245" i="1" a="1"/>
  <c r="AB1245" i="1" s="1"/>
  <c r="AB462" i="1" a="1"/>
  <c r="AB462" i="1" s="1"/>
  <c r="AB942" i="1" a="1"/>
  <c r="AB942" i="1" s="1"/>
  <c r="AB1629" i="1" a="1"/>
  <c r="AB1629" i="1" s="1"/>
  <c r="AB1269" i="1" a="1"/>
  <c r="AB1269" i="1" s="1"/>
  <c r="AB1833" i="1" a="1"/>
  <c r="AB1833" i="1" s="1"/>
  <c r="AB656" i="1" a="1"/>
  <c r="AB656" i="1" s="1"/>
  <c r="AB1829" i="1" a="1"/>
  <c r="AB1829" i="1" s="1"/>
  <c r="AB1004" i="1" a="1"/>
  <c r="AB1004" i="1" s="1"/>
  <c r="AB798" i="1" a="1"/>
  <c r="AB798" i="1" s="1"/>
  <c r="AB1898" i="1" a="1"/>
  <c r="AB1898" i="1" s="1"/>
  <c r="AB1518" i="1" a="1"/>
  <c r="AB1518" i="1" s="1"/>
  <c r="AB1811" i="1" a="1"/>
  <c r="AB1811" i="1" s="1"/>
  <c r="AB1622" i="1" a="1"/>
  <c r="AB1622" i="1" s="1"/>
  <c r="AB1048" i="1" a="1"/>
  <c r="AB1048" i="1" s="1"/>
  <c r="AB115" i="1" a="1"/>
  <c r="AB115" i="1" s="1"/>
  <c r="AB201" i="1" a="1"/>
  <c r="AB201" i="1" s="1"/>
  <c r="AB1100" i="1" a="1"/>
  <c r="AB1100" i="1" s="1"/>
  <c r="AB941" i="1" a="1"/>
  <c r="AB941" i="1" s="1"/>
  <c r="AB1432" i="1" a="1"/>
  <c r="AB1432" i="1" s="1"/>
  <c r="AB16" i="1" a="1"/>
  <c r="AB16" i="1" s="1"/>
  <c r="AB1771" i="1" a="1"/>
  <c r="AB1771" i="1" s="1"/>
  <c r="AB926" i="1" a="1"/>
  <c r="AB926" i="1" s="1"/>
  <c r="AB336" i="1" a="1"/>
  <c r="AB336" i="1" s="1"/>
  <c r="AB1634" i="1" a="1"/>
  <c r="AB1634" i="1" s="1"/>
  <c r="AB1820" i="1" a="1"/>
  <c r="AB1820" i="1" s="1"/>
  <c r="AB809" i="1" a="1"/>
  <c r="AB809" i="1" s="1"/>
  <c r="AB594" i="1" a="1"/>
  <c r="AB594" i="1" s="1"/>
  <c r="AB633" i="1" a="1"/>
  <c r="AB633" i="1" s="1"/>
  <c r="AB1664" i="1" a="1"/>
  <c r="AB1664" i="1" s="1"/>
  <c r="AB395" i="1" a="1"/>
  <c r="AB395" i="1" s="1"/>
  <c r="AB1607" i="1" a="1"/>
  <c r="AB1607" i="1" s="1"/>
  <c r="AB874" i="1" a="1"/>
  <c r="AB874" i="1" s="1"/>
  <c r="AB1393" i="1" a="1"/>
  <c r="AB1393" i="1" s="1"/>
  <c r="AB443" i="1" a="1"/>
  <c r="AB443" i="1" s="1"/>
  <c r="AB417" i="1" a="1"/>
  <c r="AB417" i="1" s="1"/>
  <c r="AB1215" i="1" a="1"/>
  <c r="AB1215" i="1" s="1"/>
  <c r="AB1203" i="1" a="1"/>
  <c r="AB1203" i="1" s="1"/>
  <c r="AB96" i="1" a="1"/>
  <c r="AB96" i="1" s="1"/>
  <c r="AB997" i="1" a="1"/>
  <c r="AB997" i="1" s="1"/>
  <c r="AB317" i="1" a="1"/>
  <c r="AB317" i="1" s="1"/>
  <c r="AB1903" i="1" a="1"/>
  <c r="AB1903" i="1" s="1"/>
  <c r="AB707" i="1" a="1"/>
  <c r="AB707" i="1" s="1"/>
  <c r="AB965" i="1" a="1"/>
  <c r="AB965" i="1" s="1"/>
  <c r="AB1689" i="1" a="1"/>
  <c r="AB1689" i="1" s="1"/>
  <c r="AB1161" i="1" a="1"/>
  <c r="AB1161" i="1" s="1"/>
  <c r="AB887" i="1" a="1"/>
  <c r="AB887" i="1" s="1"/>
  <c r="AB685" i="1" a="1"/>
  <c r="AB685" i="1" s="1"/>
  <c r="AB1033" i="1" a="1"/>
  <c r="AB1033" i="1" s="1"/>
  <c r="AB1536" i="1" a="1"/>
  <c r="AB1536" i="1" s="1"/>
  <c r="AB736" i="1" a="1"/>
  <c r="AB736" i="1" s="1"/>
  <c r="AB1349" i="1" a="1"/>
  <c r="AB1349" i="1" s="1"/>
  <c r="AB258" i="1" a="1"/>
  <c r="AB258" i="1" s="1"/>
  <c r="AB1417" i="1" a="1"/>
  <c r="AB1417" i="1" s="1"/>
  <c r="AB1646" i="1" a="1"/>
  <c r="AB1646" i="1" s="1"/>
  <c r="AB154" i="1" a="1"/>
  <c r="AB154" i="1" s="1"/>
  <c r="AB686" i="1" a="1"/>
  <c r="AB686" i="1" s="1"/>
  <c r="AB729" i="1" a="1"/>
  <c r="AB729" i="1" s="1"/>
  <c r="AB440" i="1" a="1"/>
  <c r="AB440" i="1" s="1"/>
  <c r="AB1704" i="1" a="1"/>
  <c r="AB1704" i="1" s="1"/>
  <c r="AB1197" i="1" a="1"/>
  <c r="AB1197" i="1" s="1"/>
  <c r="AB534" i="1" a="1"/>
  <c r="AB534" i="1" s="1"/>
  <c r="AB1579" i="1" a="1"/>
  <c r="AB1579" i="1" s="1"/>
  <c r="AB246" i="1" a="1"/>
  <c r="AB246" i="1" s="1"/>
  <c r="AB1309" i="1" a="1"/>
  <c r="AB1309" i="1" s="1"/>
  <c r="AB1610" i="1" a="1"/>
  <c r="AB1610" i="1" s="1"/>
  <c r="AB627" i="1" a="1"/>
  <c r="AB627" i="1" s="1"/>
  <c r="AB600" i="1" a="1"/>
  <c r="AB600" i="1" s="1"/>
  <c r="AB1126" i="1" a="1"/>
  <c r="AB1126" i="1" s="1"/>
  <c r="AB306" i="1" a="1"/>
  <c r="AB306" i="1" s="1"/>
  <c r="AB63" i="1" a="1"/>
  <c r="AB63" i="1" s="1"/>
  <c r="AB1246" i="1" a="1"/>
  <c r="AB1246" i="1" s="1"/>
  <c r="AB1749" i="1" a="1"/>
  <c r="AB1749" i="1" s="1"/>
  <c r="AB897" i="1" a="1"/>
  <c r="AB897" i="1" s="1"/>
  <c r="AB1335" i="1" a="1"/>
  <c r="AB1335" i="1" s="1"/>
  <c r="AB1101" i="1" a="1"/>
  <c r="AB1101" i="1" s="1"/>
  <c r="AB1964" i="1" a="1"/>
  <c r="AB1964" i="1"/>
  <c r="AB927" i="1" a="1"/>
  <c r="AB927" i="1" s="1"/>
  <c r="AB1736" i="1" a="1"/>
  <c r="AB1736" i="1" s="1"/>
  <c r="AB1841" i="1" a="1"/>
  <c r="AB1841" i="1" s="1"/>
  <c r="AB1460" i="1" a="1"/>
  <c r="AB1460" i="1" s="1"/>
  <c r="AB1568" i="1" a="1"/>
  <c r="AB1568" i="1" s="1"/>
  <c r="AB1239" i="1" a="1"/>
  <c r="AB1239" i="1" s="1"/>
  <c r="AB988" i="1" a="1"/>
  <c r="AB988" i="1" s="1"/>
  <c r="AB64" i="1" a="1"/>
  <c r="AB64" i="1" s="1"/>
  <c r="AB1442" i="1" a="1"/>
  <c r="AB1442" i="1" s="1"/>
  <c r="AB1146" i="1" a="1"/>
  <c r="AB1146" i="1" s="1"/>
  <c r="AB654" i="1" a="1"/>
  <c r="AB654" i="1" s="1"/>
  <c r="AB1708" i="1" a="1"/>
  <c r="AB1708" i="1" s="1"/>
  <c r="AB213" i="1" a="1"/>
  <c r="AB213" i="1" s="1"/>
  <c r="AB718" i="1" a="1"/>
  <c r="AB718" i="1" s="1"/>
  <c r="AB1014" i="1" a="1"/>
  <c r="AB1014" i="1" s="1"/>
  <c r="AB1860" i="1" a="1"/>
  <c r="AB1860" i="1" s="1"/>
  <c r="AB1563" i="1" a="1"/>
  <c r="AB1563" i="1" s="1"/>
  <c r="AB742" i="1" a="1"/>
  <c r="AB742" i="1" s="1"/>
  <c r="AB818" i="1" a="1"/>
  <c r="AB818" i="1" s="1"/>
  <c r="AB546" i="1" a="1"/>
  <c r="AB546" i="1" s="1"/>
  <c r="AB848" i="1" a="1"/>
  <c r="AB848" i="1" s="1"/>
  <c r="AB1601" i="1" a="1"/>
  <c r="AB1601" i="1" s="1"/>
  <c r="AB1675" i="1" a="1"/>
  <c r="AB1675" i="1" s="1"/>
  <c r="AB454" i="1" a="1"/>
  <c r="AB454" i="1" s="1"/>
  <c r="AB1639" i="1" a="1"/>
  <c r="AB1639" i="1" s="1"/>
  <c r="AB58" i="1" a="1"/>
  <c r="AB58" i="1" s="1"/>
  <c r="AB1473" i="1" a="1"/>
  <c r="AB1473" i="1" s="1"/>
  <c r="AB1079" i="1" a="1"/>
  <c r="AB1079" i="1" s="1"/>
  <c r="AB1320" i="1" a="1"/>
  <c r="AB1320" i="1" s="1"/>
  <c r="AB1139" i="1" a="1"/>
  <c r="AB1139" i="1"/>
  <c r="AB172" i="1" a="1"/>
  <c r="AB172" i="1" s="1"/>
  <c r="AB1024" i="1" a="1"/>
  <c r="AB1024" i="1" s="1"/>
  <c r="AB127" i="1" a="1"/>
  <c r="AB127" i="1" s="1"/>
  <c r="AB10" i="1" a="1"/>
  <c r="AB10" i="1" s="1"/>
  <c r="AB1588" i="1" a="1"/>
  <c r="AB1588" i="1" s="1"/>
  <c r="AB778" i="1" a="1"/>
  <c r="AB778" i="1" s="1"/>
  <c r="AB708" i="1" a="1"/>
  <c r="AB708" i="1" s="1"/>
  <c r="AB800" i="1" a="1"/>
  <c r="AB800" i="1" s="1"/>
  <c r="AB1389" i="1" a="1"/>
  <c r="AB1389" i="1" s="1"/>
  <c r="AB779" i="1" a="1"/>
  <c r="AB779" i="1" s="1"/>
  <c r="AB1066" i="1" a="1"/>
  <c r="AB1066" i="1" s="1"/>
  <c r="AB1290" i="1" a="1"/>
  <c r="AB1290" i="1" s="1"/>
  <c r="AB1240" i="1" a="1"/>
  <c r="AB1240" i="1" s="1"/>
  <c r="AB971" i="1" a="1"/>
  <c r="AB971" i="1" s="1"/>
  <c r="AB288" i="1" a="1"/>
  <c r="AB288" i="1" s="1"/>
  <c r="AB247" i="1" a="1"/>
  <c r="AB247" i="1" s="1"/>
  <c r="AB1927" i="1" a="1"/>
  <c r="AB1927" i="1" s="1"/>
  <c r="AB1608" i="1" a="1"/>
  <c r="AB1608" i="1" s="1"/>
  <c r="AB936" i="1" a="1"/>
  <c r="AB936" i="1" s="1"/>
  <c r="AB1993" i="1" a="1"/>
  <c r="AB1993" i="1" s="1"/>
  <c r="AB11" i="1" a="1"/>
  <c r="AB11" i="1" s="1"/>
  <c r="AB1275" i="1" a="1"/>
  <c r="AB1275" i="1" s="1"/>
  <c r="AB837" i="1" a="1"/>
  <c r="AB837" i="1" s="1"/>
  <c r="AB1127" i="1" a="1"/>
  <c r="AB1127" i="1" s="1"/>
  <c r="AB828" i="1" a="1"/>
  <c r="AB828" i="1" s="1"/>
  <c r="AB1853" i="1" a="1"/>
  <c r="AB1853" i="1" s="1"/>
  <c r="AB1965" i="1" a="1"/>
  <c r="AB1965" i="1" s="1"/>
  <c r="AB641" i="1" a="1"/>
  <c r="AB641" i="1" s="1"/>
  <c r="AB687" i="1" a="1"/>
  <c r="AB687" i="1" s="1"/>
  <c r="AB765" i="1" a="1"/>
  <c r="AB765" i="1" s="1"/>
  <c r="AB1206" i="1" a="1"/>
  <c r="AB1206" i="1" s="1"/>
  <c r="AB1750" i="1" a="1"/>
  <c r="AB1750" i="1" s="1"/>
  <c r="AB1857" i="1" a="1"/>
  <c r="AB1857" i="1" s="1"/>
  <c r="AB169" i="1" a="1"/>
  <c r="AB169" i="1" s="1"/>
  <c r="AB1012" i="1" a="1"/>
  <c r="AB1012" i="1" s="1"/>
  <c r="AB1254" i="1" a="1"/>
  <c r="AB1254" i="1" s="1"/>
  <c r="AB1560" i="1" a="1"/>
  <c r="AB1560" i="1" s="1"/>
  <c r="AB1979" i="1" a="1"/>
  <c r="AB1979" i="1" s="1"/>
  <c r="AB823" i="1" a="1"/>
  <c r="AB823" i="1" s="1"/>
  <c r="AB1329" i="1" a="1"/>
  <c r="AB1329" i="1" s="1"/>
  <c r="AB39" i="1" a="1"/>
  <c r="AB39" i="1" s="1"/>
  <c r="AB1800" i="1" a="1"/>
  <c r="AB1800" i="1" s="1"/>
  <c r="AB418" i="1" a="1"/>
  <c r="AB418" i="1" s="1"/>
  <c r="AB1220" i="1" a="1"/>
  <c r="AB1220" i="1" s="1"/>
  <c r="AB2001" i="1" a="1"/>
  <c r="AB2001" i="1" s="1"/>
  <c r="AB70" i="1" a="1"/>
  <c r="AB70" i="1" s="1"/>
  <c r="AB719" i="1" a="1"/>
  <c r="AB719" i="1" s="1"/>
  <c r="AB1409" i="1" a="1"/>
  <c r="AB1409" i="1" s="1"/>
  <c r="AB1670" i="1" a="1"/>
  <c r="AB1670" i="1" s="1"/>
  <c r="AB1396" i="1" a="1"/>
  <c r="AB1396" i="1" s="1"/>
  <c r="AB1261" i="1" a="1"/>
  <c r="AB1261" i="1" s="1"/>
  <c r="AB979" i="1" a="1"/>
  <c r="AB979" i="1" s="1"/>
  <c r="AB1783" i="1" a="1"/>
  <c r="AB1783" i="1" s="1"/>
  <c r="AB136" i="1" a="1"/>
  <c r="AB136" i="1" s="1"/>
  <c r="AB1437" i="1" a="1"/>
  <c r="AB1437" i="1" s="1"/>
  <c r="AB913" i="1" a="1"/>
  <c r="AB913" i="1" s="1"/>
  <c r="AB586" i="1" a="1"/>
  <c r="AB586" i="1" s="1"/>
  <c r="AB1742" i="1" a="1"/>
  <c r="AB1742" i="1" s="1"/>
  <c r="AB1330" i="1" a="1"/>
  <c r="AB1330" i="1" s="1"/>
  <c r="AB789" i="1" a="1"/>
  <c r="AB789" i="1" s="1"/>
  <c r="AB1140" i="1" a="1"/>
  <c r="AB1140" i="1" s="1"/>
  <c r="AB76" i="1" a="1"/>
  <c r="AB76" i="1" s="1"/>
  <c r="AB1495" i="1" a="1"/>
  <c r="AB1495" i="1" s="1"/>
  <c r="AB1054" i="1" a="1"/>
  <c r="AB1054" i="1" s="1"/>
  <c r="AB1501" i="1" a="1"/>
  <c r="AB1501" i="1" s="1"/>
  <c r="AB347" i="1" a="1"/>
  <c r="AB347" i="1" s="1"/>
  <c r="AB1760" i="1" a="1"/>
  <c r="AB1760" i="1" s="1"/>
  <c r="AB616" i="1" a="1"/>
  <c r="AB616" i="1" s="1"/>
  <c r="AB1292" i="1" a="1"/>
  <c r="AB1292" i="1" s="1"/>
  <c r="AB1265" i="1" a="1"/>
  <c r="AB1265" i="1" s="1"/>
  <c r="AB463" i="1" a="1"/>
  <c r="AB463" i="1"/>
  <c r="AB838" i="1" a="1"/>
  <c r="AB838" i="1" s="1"/>
  <c r="AB419" i="1" a="1"/>
  <c r="AB419" i="1" s="1"/>
  <c r="AB966" i="1" a="1"/>
  <c r="AB966" i="1" s="1"/>
  <c r="AB1191" i="1" a="1"/>
  <c r="AB1191" i="1" s="1"/>
  <c r="AB1786" i="1" a="1"/>
  <c r="AB1786" i="1" s="1"/>
  <c r="AB193" i="1" a="1"/>
  <c r="AB193" i="1" s="1"/>
  <c r="AB1801" i="1" a="1"/>
  <c r="AB1801" i="1" s="1"/>
  <c r="AB578" i="1" a="1"/>
  <c r="AB578" i="1" s="1"/>
  <c r="AB1080" i="1" a="1"/>
  <c r="AB1080" i="1" s="1"/>
  <c r="AB1145" i="1" a="1"/>
  <c r="AB1145" i="1" s="1"/>
  <c r="AB1880" i="1" a="1"/>
  <c r="AB1880" i="1" s="1"/>
  <c r="AB1916" i="1" a="1"/>
  <c r="AB1916" i="1" s="1"/>
  <c r="AB543" i="1" a="1"/>
  <c r="AB543" i="1" s="1"/>
  <c r="AB343" i="1" a="1"/>
  <c r="AB343" i="1" s="1"/>
  <c r="AB505" i="1" a="1"/>
  <c r="AB505" i="1" s="1"/>
  <c r="AB712" i="1" a="1"/>
  <c r="AB712" i="1" s="1"/>
  <c r="AB621" i="1" a="1"/>
  <c r="AB621" i="1" s="1"/>
  <c r="AB1433" i="1" a="1"/>
  <c r="AB1433" i="1" s="1"/>
  <c r="AB455" i="1" a="1"/>
  <c r="AB455" i="1" s="1"/>
  <c r="AB1849" i="1" a="1"/>
  <c r="AB1849" i="1" s="1"/>
  <c r="AB826" i="1" a="1"/>
  <c r="AB826" i="1" s="1"/>
  <c r="AB456" i="1" a="1"/>
  <c r="AB456" i="1" s="1"/>
  <c r="AB464" i="1" a="1"/>
  <c r="AB464" i="1" s="1"/>
  <c r="AB1821" i="1" a="1"/>
  <c r="AB1821" i="1"/>
  <c r="AB1040" i="1" a="1"/>
  <c r="AB1040" i="1" s="1"/>
  <c r="AB1764" i="1" a="1"/>
  <c r="AB1764" i="1" s="1"/>
  <c r="AB385" i="1" a="1"/>
  <c r="AB385" i="1" s="1"/>
  <c r="AB1081" i="1" a="1"/>
  <c r="AB1081" i="1" s="1"/>
  <c r="AB223" i="1" a="1"/>
  <c r="AB223" i="1"/>
  <c r="AB1846" i="1" a="1"/>
  <c r="AB1846" i="1" s="1"/>
  <c r="AB880" i="1" a="1"/>
  <c r="AB880" i="1" s="1"/>
  <c r="AB530" i="1" a="1"/>
  <c r="AB530" i="1" s="1"/>
  <c r="AB450" i="1" a="1"/>
  <c r="AB450" i="1" s="1"/>
  <c r="AB2002" i="1" a="1"/>
  <c r="AB2002" i="1" s="1"/>
  <c r="AB1479" i="1" a="1"/>
  <c r="AB1479" i="1" s="1"/>
  <c r="AB680" i="1" a="1"/>
  <c r="AB680" i="1" s="1"/>
  <c r="AB496" i="1" a="1"/>
  <c r="AB496" i="1" s="1"/>
  <c r="AB408" i="1" a="1"/>
  <c r="AB408" i="1" s="1"/>
  <c r="AB451" i="1" a="1"/>
  <c r="AB451" i="1"/>
  <c r="AB1815" i="1" a="1"/>
  <c r="AB1815" i="1" s="1"/>
  <c r="AB1357" i="1" a="1"/>
  <c r="AB1357" i="1" s="1"/>
  <c r="AB946" i="1" a="1"/>
  <c r="AB946" i="1" s="1"/>
  <c r="AB1858" i="1" a="1"/>
  <c r="AB1858" i="1" s="1"/>
  <c r="AB1384" i="1" a="1"/>
  <c r="AB1384" i="1" s="1"/>
  <c r="AB1025" i="1" a="1"/>
  <c r="AB1025" i="1" s="1"/>
  <c r="AB506" i="1" a="1"/>
  <c r="AB506" i="1" s="1"/>
  <c r="AB1502" i="1" a="1"/>
  <c r="AB1502" i="1" s="1"/>
  <c r="AB1117" i="1" a="1"/>
  <c r="AB1117" i="1" s="1"/>
  <c r="AB1464" i="1" a="1"/>
  <c r="AB1464" i="1" s="1"/>
  <c r="AB1176" i="1" a="1"/>
  <c r="AB1176" i="1" s="1"/>
  <c r="AB658" i="1" a="1"/>
  <c r="AB658" i="1" s="1"/>
  <c r="AB1716" i="1" a="1"/>
  <c r="AB1716" i="1" s="1"/>
  <c r="AB1784" i="1" a="1"/>
  <c r="AB1784" i="1" s="1"/>
  <c r="AB1682" i="1" a="1"/>
  <c r="AB1682" i="1" s="1"/>
  <c r="AB1683" i="1" a="1"/>
  <c r="AB1683" i="1" s="1"/>
  <c r="AB1270" i="1" a="1"/>
  <c r="AB1270" i="1" s="1"/>
  <c r="AB628" i="1" a="1"/>
  <c r="AB628" i="1" s="1"/>
  <c r="AB269" i="1" a="1"/>
  <c r="AB269" i="1" s="1"/>
  <c r="AB59" i="1" a="1"/>
  <c r="AB59" i="1" s="1"/>
  <c r="AB1230" i="1" a="1"/>
  <c r="AB1230" i="1" s="1"/>
  <c r="AB1743" i="1" a="1"/>
  <c r="AB1743" i="1" s="1"/>
  <c r="AB1794" i="1" a="1"/>
  <c r="AB1794" i="1" s="1"/>
  <c r="AB40" i="1" a="1"/>
  <c r="AB40" i="1" s="1"/>
  <c r="AB1214" i="1" a="1"/>
  <c r="AB1214" i="1" s="1"/>
  <c r="AB1968" i="1" a="1"/>
  <c r="AB1968" i="1" s="1"/>
  <c r="AB523" i="1" a="1"/>
  <c r="AB523" i="1" s="1"/>
  <c r="AB1895" i="1" a="1"/>
  <c r="AB1895" i="1" s="1"/>
  <c r="AB1425" i="1" a="1"/>
  <c r="AB1425" i="1" s="1"/>
  <c r="AB1148" i="1" a="1"/>
  <c r="AB1148" i="1" s="1"/>
  <c r="AB1346" i="1" a="1"/>
  <c r="AB1346" i="1"/>
  <c r="AB771" i="1" a="1"/>
  <c r="AB771" i="1" s="1"/>
  <c r="AB351" i="1" a="1"/>
  <c r="AB351" i="1" s="1"/>
  <c r="AB1717" i="1" a="1"/>
  <c r="AB1717" i="1" s="1"/>
  <c r="AB281" i="1" a="1"/>
  <c r="AB281" i="1" s="1"/>
  <c r="AB1595" i="1" a="1"/>
  <c r="AB1595" i="1" s="1"/>
  <c r="AB954" i="1" a="1"/>
  <c r="AB954" i="1" s="1"/>
  <c r="AB622" i="1" a="1"/>
  <c r="AB622" i="1" s="1"/>
  <c r="AB1953" i="1" a="1"/>
  <c r="AB1953" i="1" s="1"/>
  <c r="AB209" i="1" a="1"/>
  <c r="AB209" i="1" s="1"/>
  <c r="AB812" i="1" a="1"/>
  <c r="AB812" i="1" s="1"/>
  <c r="AB233" i="1" a="1"/>
  <c r="AB233" i="1" s="1"/>
  <c r="AB551" i="1" a="1"/>
  <c r="AB551" i="1" s="1"/>
  <c r="AB1580" i="1" a="1"/>
  <c r="AB1580" i="1" s="1"/>
  <c r="AB1583" i="1" a="1"/>
  <c r="AB1583" i="1" s="1"/>
  <c r="AB17" i="1" a="1"/>
  <c r="AB17" i="1" s="1"/>
  <c r="AB21" i="1" a="1"/>
  <c r="AB21" i="1" s="1"/>
  <c r="AB792" i="1" a="1"/>
  <c r="AB792" i="1" s="1"/>
  <c r="AB793" i="1" a="1"/>
  <c r="AB793" i="1" s="1"/>
  <c r="AB1468" i="1" a="1"/>
  <c r="AB1468" i="1" s="1"/>
  <c r="AB1569" i="1" a="1"/>
  <c r="AB1569" i="1" s="1"/>
  <c r="AB1711" i="1" a="1"/>
  <c r="AB1711" i="1" s="1"/>
  <c r="AB657" i="1" a="1"/>
  <c r="AB657" i="1" s="1"/>
  <c r="AB1789" i="1" a="1"/>
  <c r="AB1789" i="1" s="1"/>
  <c r="AB170" i="1" a="1"/>
  <c r="AB170" i="1" s="1"/>
  <c r="AB386" i="1" a="1"/>
  <c r="AB386" i="1" s="1"/>
  <c r="AB469" i="1" a="1"/>
  <c r="AB469" i="1" s="1"/>
  <c r="AB471" i="1" a="1"/>
  <c r="AB471" i="1" s="1"/>
  <c r="AB491" i="1" a="1"/>
  <c r="AB491" i="1" s="1"/>
  <c r="AB850" i="1" a="1"/>
  <c r="AB850" i="1" s="1"/>
  <c r="AB1401" i="1" a="1"/>
  <c r="AB1401" i="1" s="1"/>
  <c r="AB344" i="1" a="1"/>
  <c r="AB344" i="1" s="1"/>
  <c r="AB348" i="1" a="1"/>
  <c r="AB348" i="1" s="1"/>
  <c r="AB1321" i="1" a="1"/>
  <c r="AB1321" i="1" s="1"/>
  <c r="AB328" i="1" a="1"/>
  <c r="AB328" i="1" s="1"/>
  <c r="AB643" i="1" a="1"/>
  <c r="AB643" i="1" s="1"/>
  <c r="AB2003" i="1" a="1"/>
  <c r="AB2003" i="1" s="1"/>
  <c r="AB692" i="1" a="1"/>
  <c r="AB692" i="1" s="1"/>
  <c r="AB1752" i="1" a="1"/>
  <c r="AB1752" i="1" s="1"/>
  <c r="AB472" i="1" a="1"/>
  <c r="AB472" i="1" s="1"/>
  <c r="AB1385" i="1" a="1"/>
  <c r="AB1385" i="1" s="1"/>
  <c r="AB1266" i="1" a="1"/>
  <c r="AB1266" i="1" s="1"/>
  <c r="AB790" i="1" a="1"/>
  <c r="AB790" i="1" s="1"/>
  <c r="AB289" i="1" a="1"/>
  <c r="AB289" i="1" s="1"/>
  <c r="AB1300" i="1" a="1"/>
  <c r="AB1300" i="1" s="1"/>
  <c r="AB1009" i="1" a="1"/>
  <c r="AB1009" i="1" s="1"/>
  <c r="AB1990" i="1" a="1"/>
  <c r="AB1990" i="1" s="1"/>
  <c r="AB1358" i="1" a="1"/>
  <c r="AB1358" i="1" s="1"/>
  <c r="AB1134" i="1" a="1"/>
  <c r="AB1134" i="1" s="1"/>
  <c r="AB1276" i="1" a="1"/>
  <c r="AB1276" i="1" s="1"/>
  <c r="AB41" i="1" a="1"/>
  <c r="AB41" i="1" s="1"/>
  <c r="AB341" i="1" a="1"/>
  <c r="AB341" i="1" s="1"/>
  <c r="AB1718" i="1" a="1"/>
  <c r="AB1718" i="1" s="1"/>
  <c r="AB111" i="1" a="1"/>
  <c r="AB111" i="1" s="1"/>
  <c r="AB507" i="1" a="1"/>
  <c r="AB507" i="1" s="1"/>
  <c r="AB619" i="1" a="1"/>
  <c r="AB619" i="1" s="1"/>
  <c r="AB597" i="1" a="1"/>
  <c r="AB597" i="1" s="1"/>
  <c r="AB1555" i="1" a="1"/>
  <c r="AB1555" i="1" s="1"/>
  <c r="AB206" i="1" a="1"/>
  <c r="AB206" i="1" s="1"/>
  <c r="AB1854" i="1" a="1"/>
  <c r="AB1854" i="1" s="1"/>
  <c r="AB270" i="1" a="1"/>
  <c r="AB270" i="1" s="1"/>
  <c r="AB329" i="1" a="1"/>
  <c r="AB329" i="1" s="1"/>
  <c r="AB1564" i="1" a="1"/>
  <c r="AB1564" i="1" s="1"/>
  <c r="AB276" i="1" a="1"/>
  <c r="AB276" i="1" s="1"/>
  <c r="AB1522" i="1" a="1"/>
  <c r="AB1522" i="1" s="1"/>
  <c r="AB1928" i="1" a="1"/>
  <c r="AB1928" i="1" s="1"/>
  <c r="AB1153" i="1" a="1"/>
  <c r="AB1153" i="1" s="1"/>
  <c r="AB1804" i="1" a="1"/>
  <c r="AB1804" i="1" s="1"/>
  <c r="AB1413" i="1" a="1"/>
  <c r="AB1413" i="1" s="1"/>
  <c r="AB1224" i="1" a="1"/>
  <c r="AB1224" i="1" s="1"/>
  <c r="AB1343" i="1" a="1"/>
  <c r="AB1343" i="1" s="1"/>
  <c r="AB1672" i="1" a="1"/>
  <c r="AB1672" i="1" s="1"/>
  <c r="AB892" i="1" a="1"/>
  <c r="AB892" i="1" s="1"/>
  <c r="AB1082" i="1" a="1"/>
  <c r="AB1082" i="1" s="1"/>
  <c r="AB77" i="1" a="1"/>
  <c r="AB77" i="1" s="1"/>
  <c r="AB78" i="1" a="1"/>
  <c r="AB78" i="1" s="1"/>
  <c r="AB1838" i="1" a="1"/>
  <c r="AB1838" i="1" s="1"/>
  <c r="AB785" i="1" a="1"/>
  <c r="AB785" i="1" s="1"/>
  <c r="AB1379" i="1" a="1"/>
  <c r="AB1379" i="1" s="1"/>
  <c r="AB1772" i="1" a="1"/>
  <c r="AB1772" i="1" s="1"/>
  <c r="AB923" i="1" a="1"/>
  <c r="AB923" i="1" s="1"/>
  <c r="AB1169" i="1" a="1"/>
  <c r="AB1169" i="1" s="1"/>
  <c r="AB1769" i="1" a="1"/>
  <c r="AB1769" i="1" s="1"/>
  <c r="AB164" i="1" a="1"/>
  <c r="AB164" i="1" s="1"/>
  <c r="AB1911" i="1" a="1"/>
  <c r="AB1911" i="1" s="1"/>
  <c r="AB1842" i="1" a="1"/>
  <c r="AB1842" i="1" s="1"/>
  <c r="AB1068" i="1" a="1"/>
  <c r="AB1068" i="1" s="1"/>
  <c r="AB1338" i="1" a="1"/>
  <c r="AB1338" i="1" s="1"/>
  <c r="AB1929" i="1" a="1"/>
  <c r="AB1929" i="1" s="1"/>
  <c r="AB1542" i="1" a="1"/>
  <c r="AB1542" i="1" s="1"/>
  <c r="AB958" i="1" a="1"/>
  <c r="AB958" i="1" s="1"/>
  <c r="AB185" i="1" a="1"/>
  <c r="AB185" i="1" s="1"/>
  <c r="AB1336" i="1" a="1"/>
  <c r="AB1336" i="1" s="1"/>
  <c r="AB262" i="1" a="1"/>
  <c r="AB262" i="1" s="1"/>
  <c r="AB214" i="1" a="1"/>
  <c r="AB214" i="1" s="1"/>
  <c r="AB144" i="1" a="1"/>
  <c r="AB144" i="1" s="1"/>
  <c r="AB1773" i="1" a="1"/>
  <c r="AB1773" i="1" s="1"/>
  <c r="AB312" i="1" a="1"/>
  <c r="AB312" i="1" s="1"/>
  <c r="AB976" i="1" a="1"/>
  <c r="AB976" i="1" s="1"/>
  <c r="AB508" i="1" a="1"/>
  <c r="AB508" i="1" s="1"/>
  <c r="AB1637" i="1" a="1"/>
  <c r="AB1637" i="1" s="1"/>
  <c r="AB1322" i="1" a="1"/>
  <c r="AB1322" i="1" s="1"/>
  <c r="AB603" i="1" a="1"/>
  <c r="AB603" i="1" s="1"/>
  <c r="AB1136" i="1" a="1"/>
  <c r="AB1136" i="1" s="1"/>
  <c r="AB509" i="1" a="1"/>
  <c r="AB509" i="1" s="1"/>
  <c r="AB1366" i="1" a="1"/>
  <c r="AB1366" i="1" s="1"/>
  <c r="AB608" i="1" a="1"/>
  <c r="AB608" i="1" s="1"/>
  <c r="AB296" i="1" a="1"/>
  <c r="AB296" i="1" s="1"/>
  <c r="AB1166" i="1" a="1"/>
  <c r="AB1166" i="1" s="1"/>
  <c r="AB376" i="1" a="1"/>
  <c r="AB376" i="1" s="1"/>
  <c r="AB1001" i="1" a="1"/>
  <c r="AB1001" i="1" s="1"/>
  <c r="AB1181" i="1" a="1"/>
  <c r="AB1181" i="1" s="1"/>
  <c r="AB1380" i="1" a="1"/>
  <c r="AB1380" i="1" s="1"/>
  <c r="AB1234" i="1" a="1"/>
  <c r="AB1234" i="1" s="1"/>
  <c r="AB980" i="1" a="1"/>
  <c r="AB980" i="1" s="1"/>
  <c r="AB1872" i="1" a="1"/>
  <c r="AB1872" i="1" s="1"/>
  <c r="AB1570" i="1" a="1"/>
  <c r="AB1570" i="1" s="1"/>
  <c r="AB1188" i="1" a="1"/>
  <c r="AB1188" i="1" s="1"/>
  <c r="AB943" i="1" a="1"/>
  <c r="AB943" i="1" s="1"/>
  <c r="AB1045" i="1" a="1"/>
  <c r="AB1045" i="1" s="1"/>
  <c r="AB49" i="1" a="1"/>
  <c r="AB49" i="1" s="1"/>
  <c r="AB378" i="1" a="1"/>
  <c r="AB378" i="1" s="1"/>
  <c r="AB387" i="1" a="1"/>
  <c r="AB387" i="1" s="1"/>
  <c r="AB1795" i="1" a="1"/>
  <c r="AB1795" i="1" s="1"/>
  <c r="AB179" i="1" a="1"/>
  <c r="AB179" i="1" s="1"/>
  <c r="AB1469" i="1" a="1"/>
  <c r="AB1469" i="1" s="1"/>
  <c r="AB801" i="1" a="1"/>
  <c r="AB801" i="1" s="1"/>
  <c r="AB1491" i="1" a="1"/>
  <c r="AB1491" i="1" s="1"/>
  <c r="AB1861" i="1" a="1"/>
  <c r="AB1861" i="1" s="1"/>
  <c r="AB1484" i="1" a="1"/>
  <c r="AB1484" i="1" s="1"/>
  <c r="AB805" i="1" a="1"/>
  <c r="AB805" i="1" s="1"/>
  <c r="AB197" i="1" a="1"/>
  <c r="AB197" i="1" s="1"/>
  <c r="AB583" i="1" a="1"/>
  <c r="AB583" i="1" s="1"/>
  <c r="AB1825" i="1" a="1"/>
  <c r="AB1825" i="1" s="1"/>
  <c r="AB905" i="1" a="1"/>
  <c r="AB905" i="1" s="1"/>
  <c r="AB485" i="1" a="1"/>
  <c r="AB485" i="1" s="1"/>
  <c r="AB510" i="1" a="1"/>
  <c r="AB510" i="1" s="1"/>
  <c r="AB839" i="1" a="1"/>
  <c r="AB839" i="1" s="1"/>
  <c r="AB1719" i="1" a="1"/>
  <c r="AB1719" i="1" s="1"/>
  <c r="AB1899" i="1" a="1"/>
  <c r="AB1899" i="1" s="1"/>
  <c r="AB1596" i="1" a="1"/>
  <c r="AB1596" i="1" s="1"/>
  <c r="AB290" i="1" a="1"/>
  <c r="AB290" i="1" s="1"/>
  <c r="AB1744" i="1" a="1"/>
  <c r="AB1744" i="1" s="1"/>
  <c r="AB263" i="1" a="1"/>
  <c r="AB263" i="1" s="1"/>
  <c r="AB609" i="1" a="1"/>
  <c r="AB609" i="1" s="1"/>
  <c r="AB457" i="1" a="1"/>
  <c r="AB457" i="1" s="1"/>
  <c r="AB535" i="1" a="1"/>
  <c r="AB535" i="1" s="1"/>
  <c r="AB313" i="1" a="1"/>
  <c r="AB313" i="1" s="1"/>
  <c r="AB1115" i="1" a="1"/>
  <c r="AB1115" i="1" s="1"/>
  <c r="AB1577" i="1" a="1"/>
  <c r="AB1577" i="1" s="1"/>
  <c r="AB1774" i="1" a="1"/>
  <c r="AB1774" i="1" s="1"/>
  <c r="AB829" i="1" a="1"/>
  <c r="AB829" i="1" s="1"/>
  <c r="AB300" i="1" a="1"/>
  <c r="AB300" i="1" s="1"/>
  <c r="AB210" i="1" a="1"/>
  <c r="AB210" i="1" s="1"/>
  <c r="AB973" i="1" a="1"/>
  <c r="AB973" i="1" s="1"/>
  <c r="AB889" i="1" a="1"/>
  <c r="AB889" i="1" s="1"/>
  <c r="AB898" i="1" a="1"/>
  <c r="AB898" i="1" s="1"/>
  <c r="AB1642" i="1" a="1"/>
  <c r="AB1642" i="1" s="1"/>
  <c r="AB1592" i="1" a="1"/>
  <c r="AB1592" i="1" s="1"/>
  <c r="AB358" i="1" a="1"/>
  <c r="AB358" i="1" s="1"/>
  <c r="AB337" i="1" a="1"/>
  <c r="AB337" i="1" s="1"/>
  <c r="AB1533" i="1" a="1"/>
  <c r="AB1533" i="1" s="1"/>
  <c r="AB1574" i="1" a="1"/>
  <c r="AB1574" i="1" s="1"/>
  <c r="AB1293" i="1" a="1"/>
  <c r="AB1293" i="1" s="1"/>
  <c r="AB248" i="1" a="1"/>
  <c r="AB248" i="1" s="1"/>
  <c r="AB1877" i="1" a="1"/>
  <c r="AB1877" i="1" s="1"/>
  <c r="AB147" i="1" a="1"/>
  <c r="AB147" i="1" s="1"/>
  <c r="AB277" i="1" a="1"/>
  <c r="AB277" i="1" s="1"/>
  <c r="AB1424" i="1" a="1"/>
  <c r="AB1424" i="1" s="1"/>
  <c r="AB964" i="1" a="1"/>
  <c r="AB964" i="1" s="1"/>
  <c r="AB1286" i="1" a="1"/>
  <c r="AB1286" i="1" s="1"/>
  <c r="AB97" i="1" a="1"/>
  <c r="AB97" i="1" s="1"/>
  <c r="AB173" i="1" a="1"/>
  <c r="AB173" i="1" s="1"/>
  <c r="AB1116" i="1" a="1"/>
  <c r="AB1116" i="1" s="1"/>
  <c r="AB623" i="1" a="1"/>
  <c r="AB623" i="1" s="1"/>
  <c r="AB1216" i="1" a="1"/>
  <c r="AB1216" i="1" s="1"/>
  <c r="AB1685" i="1" a="1"/>
  <c r="AB1685" i="1" s="1"/>
  <c r="AB1709" i="1" a="1"/>
  <c r="AB1709" i="1"/>
  <c r="AB1791" i="1" a="1"/>
  <c r="AB1791" i="1" s="1"/>
  <c r="AB188" i="1" a="1"/>
  <c r="AB188" i="1" s="1"/>
  <c r="AB1868" i="1" a="1"/>
  <c r="AB1868" i="1" s="1"/>
  <c r="AB1969" i="1" a="1"/>
  <c r="AB1969" i="1" s="1"/>
  <c r="AB1584" i="1" a="1"/>
  <c r="AB1584" i="1" s="1"/>
  <c r="AB1217" i="1" a="1"/>
  <c r="AB1217" i="1" s="1"/>
  <c r="AB1618" i="1" a="1"/>
  <c r="AB1618" i="1" s="1"/>
  <c r="AB98" i="1" a="1"/>
  <c r="AB98" i="1" s="1"/>
  <c r="AB291" i="1" a="1"/>
  <c r="AB291" i="1" s="1"/>
  <c r="AB610" i="1" a="1"/>
  <c r="AB610" i="1" s="1"/>
  <c r="AB1192" i="1" a="1"/>
  <c r="AB1192" i="1" s="1"/>
  <c r="AB253" i="1" a="1"/>
  <c r="AB253" i="1" s="1"/>
  <c r="AB549" i="1" a="1"/>
  <c r="AB549" i="1" s="1"/>
  <c r="AB354" i="1" a="1"/>
  <c r="AB354" i="1"/>
  <c r="AB1935" i="1" a="1"/>
  <c r="AB1935" i="1" s="1"/>
  <c r="AB1277" i="1" a="1"/>
  <c r="AB1277" i="1" s="1"/>
  <c r="AB511" i="1" a="1"/>
  <c r="AB511" i="1" s="1"/>
  <c r="AB518" i="1" a="1"/>
  <c r="AB518" i="1" s="1"/>
  <c r="AB391" i="1" a="1"/>
  <c r="AB391" i="1" s="1"/>
  <c r="AB148" i="1" a="1"/>
  <c r="AB148" i="1" s="1"/>
  <c r="AB1697" i="1" a="1"/>
  <c r="AB1697" i="1" s="1"/>
  <c r="AB1397" i="1" a="1"/>
  <c r="AB1397" i="1" s="1"/>
  <c r="AB620" i="1" a="1"/>
  <c r="AB620" i="1"/>
  <c r="AB307" i="1" a="1"/>
  <c r="AB307" i="1" s="1"/>
  <c r="AB1753" i="1" a="1"/>
  <c r="AB1753" i="1" s="1"/>
  <c r="AB120" i="1" a="1"/>
  <c r="AB120" i="1" s="1"/>
  <c r="AB282" i="1" a="1"/>
  <c r="AB282" i="1" s="1"/>
  <c r="AB1074" i="1" a="1"/>
  <c r="AB1074" i="1" s="1"/>
  <c r="AB1010" i="1" a="1"/>
  <c r="AB1010" i="1" s="1"/>
  <c r="AB1941" i="1" a="1"/>
  <c r="AB1941" i="1" s="1"/>
  <c r="AB224" i="1" a="1"/>
  <c r="AB224" i="1" s="1"/>
  <c r="AB225" i="1" a="1"/>
  <c r="AB225" i="1" s="1"/>
  <c r="AB834" i="1" a="1"/>
  <c r="AB834" i="1" s="1"/>
  <c r="AB91" i="1" a="1"/>
  <c r="AB91" i="1" s="1"/>
  <c r="AB1676" i="1" a="1"/>
  <c r="AB1676" i="1" s="1"/>
  <c r="AB234" i="1" a="1"/>
  <c r="AB234" i="1" s="1"/>
  <c r="AB739" i="1" a="1"/>
  <c r="AB739" i="1" s="1"/>
  <c r="AB1701" i="1" a="1"/>
  <c r="AB1701" i="1" s="1"/>
  <c r="AB611" i="1" a="1"/>
  <c r="AB611" i="1" s="1"/>
  <c r="AB1686" i="1" a="1"/>
  <c r="AB1686" i="1" s="1"/>
  <c r="AB906" i="1" a="1"/>
  <c r="AB906" i="1" s="1"/>
  <c r="AB1446" i="1" a="1"/>
  <c r="AB1446" i="1" s="1"/>
  <c r="AB423" i="1" a="1"/>
  <c r="AB423" i="1" s="1"/>
  <c r="AB1060" i="1" a="1"/>
  <c r="AB1060" i="1" s="1"/>
  <c r="AB492" i="1" a="1"/>
  <c r="AB492" i="1" s="1"/>
  <c r="AB211" i="1" a="1"/>
  <c r="AB211" i="1" s="1"/>
  <c r="AB539" i="1" a="1"/>
  <c r="AB539" i="1" s="1"/>
  <c r="AB1373" i="1" a="1"/>
  <c r="AB1373" i="1" s="1"/>
  <c r="AB1996" i="1" a="1"/>
  <c r="AB1996" i="1" s="1"/>
  <c r="AB292" i="1" a="1"/>
  <c r="AB292" i="1" s="1"/>
  <c r="AB1605" i="1" a="1"/>
  <c r="AB1605" i="1" s="1"/>
  <c r="AB1884" i="1" a="1"/>
  <c r="AB1884" i="1" s="1"/>
  <c r="AB1900" i="1" a="1"/>
  <c r="AB1900" i="1" s="1"/>
  <c r="AB634" i="1" a="1"/>
  <c r="AB634" i="1" s="1"/>
  <c r="AB1041" i="1" a="1"/>
  <c r="AB1041" i="1" s="1"/>
  <c r="AB1976" i="1" a="1"/>
  <c r="AB1976" i="1" s="1"/>
  <c r="AB760" i="1" a="1"/>
  <c r="AB760" i="1" s="1"/>
  <c r="AB36" i="1" a="1"/>
  <c r="AB36" i="1" s="1"/>
  <c r="AB1402" i="1" a="1"/>
  <c r="AB1402" i="1" s="1"/>
  <c r="AB766" i="1" a="1"/>
  <c r="AB766" i="1" s="1"/>
  <c r="AB249" i="1" a="1"/>
  <c r="AB249" i="1" s="1"/>
  <c r="AB1943" i="1" a="1"/>
  <c r="AB1943" i="1" s="1"/>
  <c r="AB1339" i="1" a="1"/>
  <c r="AB1339" i="1" s="1"/>
  <c r="AB32" i="1" a="1"/>
  <c r="AB32" i="1" s="1"/>
  <c r="AB1980" i="1" a="1"/>
  <c r="AB1980" i="1" s="1"/>
  <c r="AB1310" i="1" a="1"/>
  <c r="AB1310" i="1" s="1"/>
  <c r="AB859" i="1" a="1"/>
  <c r="AB859" i="1" s="1"/>
  <c r="AB274" i="1" a="1"/>
  <c r="AB274" i="1" s="1"/>
  <c r="AB473" i="1" a="1"/>
  <c r="AB473" i="1" s="1"/>
  <c r="AB1805" i="1" a="1"/>
  <c r="AB1805" i="1" s="1"/>
  <c r="AB441" i="1" a="1"/>
  <c r="AB441" i="1" s="1"/>
  <c r="AB1643" i="1" a="1"/>
  <c r="AB1643" i="1" s="1"/>
  <c r="AB202" i="1" a="1"/>
  <c r="AB202" i="1" s="1"/>
  <c r="AB998" i="1" a="1"/>
  <c r="AB998" i="1" s="1"/>
  <c r="AB1055" i="1" a="1"/>
  <c r="AB1055" i="1" s="1"/>
  <c r="AB1984" i="1" a="1"/>
  <c r="AB1984" i="1" s="1"/>
  <c r="AB355" i="1" a="1"/>
  <c r="AB355" i="1" s="1"/>
  <c r="AB1015" i="1" a="1"/>
  <c r="AB1015" i="1" s="1"/>
  <c r="AB1986" i="1" a="1"/>
  <c r="AB1986" i="1" s="1"/>
  <c r="AB1255" i="1" a="1"/>
  <c r="AB1255" i="1" s="1"/>
  <c r="AB1565" i="1" a="1"/>
  <c r="AB1565" i="1" s="1"/>
  <c r="AB1892" i="1" a="1"/>
  <c r="AB1892" i="1" s="1"/>
  <c r="AB145" i="1" a="1"/>
  <c r="AB145" i="1" s="1"/>
  <c r="AB1271" i="1" a="1"/>
  <c r="AB1271" i="1" s="1"/>
  <c r="AB130" i="1" a="1"/>
  <c r="AB130" i="1" s="1"/>
  <c r="AB131" i="1" a="1"/>
  <c r="AB131" i="1" s="1"/>
  <c r="AB411" i="1" a="1"/>
  <c r="AB411" i="1" s="1"/>
  <c r="AB780" i="1" a="1"/>
  <c r="AB780" i="1" s="1"/>
  <c r="AB433" i="1" a="1"/>
  <c r="AB433" i="1" s="1"/>
  <c r="AB404" i="1" a="1"/>
  <c r="AB404" i="1" s="1"/>
  <c r="AB1516" i="1" a="1"/>
  <c r="AB1516" i="1" s="1"/>
  <c r="AB612" i="1" a="1"/>
  <c r="AB612" i="1" s="1"/>
  <c r="AB1917" i="1" a="1"/>
  <c r="AB1917" i="1" s="1"/>
  <c r="AB165" i="1" a="1"/>
  <c r="AB165" i="1" s="1"/>
  <c r="AB840" i="1" a="1"/>
  <c r="AB840" i="1" s="1"/>
  <c r="AB786" i="1" a="1"/>
  <c r="AB786" i="1" s="1"/>
  <c r="AB1648" i="1" a="1"/>
  <c r="AB1648" i="1" s="1"/>
  <c r="AB33" i="1" a="1"/>
  <c r="AB33" i="1" s="1"/>
  <c r="AB1474" i="1" a="1"/>
  <c r="AB1474" i="1" s="1"/>
  <c r="AB1172" i="1" a="1"/>
  <c r="AB1172" i="1" s="1"/>
  <c r="AB205" i="1" a="1"/>
  <c r="AB205" i="1" s="1"/>
  <c r="AB1881" i="1" a="1"/>
  <c r="AB1881" i="1" s="1"/>
  <c r="AB481" i="1" a="1"/>
  <c r="AB481" i="1" s="1"/>
  <c r="AB437" i="1" a="1"/>
  <c r="AB437" i="1" s="1"/>
  <c r="AB674" i="1" a="1"/>
  <c r="AB674" i="1" s="1"/>
  <c r="AB754" i="1" a="1"/>
  <c r="AB754" i="1" s="1"/>
  <c r="AB1426" i="1" a="1"/>
  <c r="AB1426" i="1" s="1"/>
  <c r="AB12" i="1" a="1"/>
  <c r="AB12" i="1" s="1"/>
  <c r="AB50" i="1" a="1"/>
  <c r="AB50" i="1" s="1"/>
  <c r="AB1485" i="1" a="1"/>
  <c r="AB1485" i="1" s="1"/>
  <c r="AB755" i="1" a="1"/>
  <c r="AB755" i="1"/>
  <c r="AB1034" i="1" a="1"/>
  <c r="AB1034" i="1" s="1"/>
  <c r="AB1042" i="1" a="1"/>
  <c r="AB1042" i="1" s="1"/>
  <c r="AB1390" i="1" a="1"/>
  <c r="AB1390" i="1" s="1"/>
  <c r="AB1893" i="1" a="1"/>
  <c r="AB1893" i="1" s="1"/>
  <c r="AB649" i="1" a="1"/>
  <c r="AB649" i="1" s="1"/>
  <c r="AB1231" i="1" a="1"/>
  <c r="AB1231" i="1" s="1"/>
  <c r="AB424" i="1" a="1"/>
  <c r="AB424" i="1" s="1"/>
  <c r="AB215" i="1" a="1"/>
  <c r="AB215" i="1" s="1"/>
  <c r="AB595" i="1" a="1"/>
  <c r="AB595" i="1" s="1"/>
  <c r="AB227" i="1" a="1"/>
  <c r="AB227" i="1" s="1"/>
  <c r="AB1905" i="1" a="1"/>
  <c r="AB1905" i="1" s="1"/>
  <c r="AB1878" i="1" a="1"/>
  <c r="AB1878" i="1" s="1"/>
  <c r="AB1374" i="1" a="1"/>
  <c r="AB1374" i="1" s="1"/>
  <c r="AB1954" i="1" a="1"/>
  <c r="AB1954" i="1" s="1"/>
  <c r="AB1822" i="1" a="1"/>
  <c r="AB1822" i="1" s="1"/>
  <c r="AB1193" i="1" a="1"/>
  <c r="AB1193" i="1" s="1"/>
  <c r="AB1775" i="1" a="1"/>
  <c r="AB1775" i="1" s="1"/>
  <c r="AB1294" i="1" a="1"/>
  <c r="AB1294" i="1" s="1"/>
  <c r="AB1930" i="1" a="1"/>
  <c r="AB1930" i="1" s="1"/>
  <c r="AB1149" i="1" a="1"/>
  <c r="AB1149" i="1" s="1"/>
  <c r="AB1510" i="1" a="1"/>
  <c r="AB1510" i="1" s="1"/>
  <c r="AB283" i="1" a="1"/>
  <c r="AB283" i="1" s="1"/>
  <c r="AB1182" i="1" a="1"/>
  <c r="AB1182" i="1" s="1"/>
  <c r="AB875" i="1" a="1"/>
  <c r="AB875" i="1" s="1"/>
  <c r="AB1285" i="1" a="1"/>
  <c r="AB1285" i="1" s="1"/>
  <c r="AB1075" i="1" a="1"/>
  <c r="AB1075" i="1" s="1"/>
  <c r="AB259" i="1" a="1"/>
  <c r="AB259" i="1" s="1"/>
  <c r="AB1359" i="1" a="1"/>
  <c r="AB1359" i="1" s="1"/>
  <c r="AB1566" i="1" a="1"/>
  <c r="AB1566" i="1" s="1"/>
  <c r="AB767" i="1" a="1"/>
  <c r="AB767" i="1" s="1"/>
  <c r="AB1381" i="1" a="1"/>
  <c r="AB1381" i="1" s="1"/>
  <c r="AB1806" i="1" a="1"/>
  <c r="AB1806" i="1" s="1"/>
  <c r="AB322" i="1" a="1"/>
  <c r="AB322" i="1" s="1"/>
  <c r="AB1069" i="1" a="1"/>
  <c r="AB1069" i="1" s="1"/>
  <c r="AB660" i="1" a="1"/>
  <c r="AB660" i="1" s="1"/>
  <c r="AB1649" i="1" a="1"/>
  <c r="AB1649" i="1" s="1"/>
  <c r="AB1558" i="1" a="1"/>
  <c r="AB1558" i="1" s="1"/>
  <c r="AB1873" i="1" a="1"/>
  <c r="AB1873" i="1" s="1"/>
  <c r="AB1092" i="1" a="1"/>
  <c r="AB1092" i="1" s="1"/>
  <c r="AB1991" i="1" a="1"/>
  <c r="AB1991" i="1" s="1"/>
  <c r="AB297" i="1" a="1"/>
  <c r="AB297" i="1" s="1"/>
  <c r="AB150" i="1" a="1"/>
  <c r="AB150" i="1" s="1"/>
  <c r="AB1765" i="1" a="1"/>
  <c r="AB1765" i="1" s="1"/>
  <c r="AB1712" i="1" a="1"/>
  <c r="AB1712" i="1" s="1"/>
  <c r="AB45" i="1" a="1"/>
  <c r="AB45" i="1" s="1"/>
  <c r="AB1064" i="1" a="1"/>
  <c r="AB1064" i="1"/>
  <c r="AB1677" i="1" a="1"/>
  <c r="AB1677" i="1" s="1"/>
  <c r="AB1256" i="1" a="1"/>
  <c r="AB1256" i="1" s="1"/>
  <c r="AB1235" i="1" a="1"/>
  <c r="AB1235" i="1" s="1"/>
  <c r="AB1049" i="1" a="1"/>
  <c r="AB1049" i="1" s="1"/>
  <c r="AB947" i="1" a="1"/>
  <c r="AB947" i="1" s="1"/>
  <c r="AB1262" i="1" a="1"/>
  <c r="AB1262" i="1" s="1"/>
  <c r="AB806" i="1" a="1"/>
  <c r="AB806" i="1" s="1"/>
  <c r="AB1728" i="1" a="1"/>
  <c r="AB1728" i="1" s="1"/>
  <c r="AB967" i="1" a="1"/>
  <c r="AB967" i="1" s="1"/>
  <c r="AB1855" i="1" a="1"/>
  <c r="AB1855" i="1" s="1"/>
  <c r="AB1287" i="1" a="1"/>
  <c r="AB1287" i="1" s="1"/>
  <c r="AB474" i="1" a="1"/>
  <c r="AB474" i="1" s="1"/>
  <c r="AB1247" i="1" a="1"/>
  <c r="AB1247" i="1" s="1"/>
  <c r="AB497" i="1" a="1"/>
  <c r="AB497" i="1" s="1"/>
  <c r="AB1447" i="1" a="1"/>
  <c r="AB1447" i="1"/>
  <c r="AB116" i="1" a="1"/>
  <c r="AB116" i="1" s="1"/>
  <c r="AB524" i="1" a="1"/>
  <c r="AB524" i="1" s="1"/>
  <c r="AB730" i="1" a="1"/>
  <c r="AB730" i="1" s="1"/>
  <c r="AB1438" i="1" a="1"/>
  <c r="AB1438" i="1" s="1"/>
  <c r="AB1067" i="1" a="1"/>
  <c r="AB1067" i="1" s="1"/>
  <c r="AB1729" i="1" a="1"/>
  <c r="AB1729" i="1" s="1"/>
  <c r="AB228" i="1" a="1"/>
  <c r="AB228" i="1" s="1"/>
  <c r="AB1537" i="1" a="1"/>
  <c r="AB1537" i="1" s="1"/>
  <c r="AB366" i="1" a="1"/>
  <c r="AB366" i="1" s="1"/>
  <c r="AB1418" i="1" a="1"/>
  <c r="AB1418" i="1" s="1"/>
  <c r="AB1959" i="1" a="1"/>
  <c r="AB1959" i="1" s="1"/>
  <c r="AB1170" i="1" a="1"/>
  <c r="AB1170" i="1" s="1"/>
  <c r="AB1301" i="1" a="1"/>
  <c r="AB1301" i="1" s="1"/>
  <c r="AB46" i="1" a="1"/>
  <c r="AB46" i="1" s="1"/>
  <c r="AB709" i="1" a="1"/>
  <c r="AB709" i="1"/>
  <c r="AB813" i="1" a="1"/>
  <c r="AB813" i="1" s="1"/>
  <c r="AB475" i="1" a="1"/>
  <c r="AB475" i="1" s="1"/>
  <c r="AB198" i="1" a="1"/>
  <c r="AB198" i="1"/>
  <c r="AB235" i="1" a="1"/>
  <c r="AB235" i="1" s="1"/>
  <c r="AB388" i="1" a="1"/>
  <c r="AB388" i="1" s="1"/>
  <c r="AB531" i="1" a="1"/>
  <c r="AB531" i="1" s="1"/>
  <c r="AB819" i="1" a="1"/>
  <c r="AB819" i="1" s="1"/>
  <c r="AB1470" i="1" a="1"/>
  <c r="AB1470" i="1" s="1"/>
  <c r="AB1072" i="1" a="1"/>
  <c r="AB1072" i="1" s="1"/>
  <c r="AB955" i="1" a="1"/>
  <c r="AB955" i="1" s="1"/>
  <c r="AB1489" i="1" a="1"/>
  <c r="AB1489" i="1" s="1"/>
  <c r="AB688" i="1" a="1"/>
  <c r="AB688" i="1" s="1"/>
  <c r="AB1673" i="1" a="1"/>
  <c r="AB1673" i="1" s="1"/>
  <c r="AB1414" i="1" a="1"/>
  <c r="AB1414" i="1" s="1"/>
  <c r="AB254" i="1" a="1"/>
  <c r="AB254" i="1" s="1"/>
  <c r="AB1702" i="1" a="1"/>
  <c r="AB1702" i="1" s="1"/>
  <c r="AB1730" i="1" a="1"/>
  <c r="AB1730" i="1" s="1"/>
  <c r="AB132" i="1" a="1"/>
  <c r="AB132" i="1" s="1"/>
  <c r="AB238" i="1" a="1"/>
  <c r="AB238" i="1" s="1"/>
  <c r="AB1630" i="1" a="1"/>
  <c r="AB1630" i="1" s="1"/>
  <c r="AB377" i="1" a="1"/>
  <c r="AB377" i="1" s="1"/>
  <c r="AB231" i="1" a="1"/>
  <c r="AB231" i="1" s="1"/>
  <c r="AB781" i="1" a="1"/>
  <c r="AB781" i="1" s="1"/>
  <c r="AB264" i="1" a="1"/>
  <c r="AB264" i="1" s="1"/>
  <c r="AB1201" i="1" a="1"/>
  <c r="AB1201" i="1" s="1"/>
  <c r="AB1985" i="1" a="1"/>
  <c r="AB1985" i="1" s="1"/>
  <c r="AB1834" i="1" a="1"/>
  <c r="AB1834" i="1" s="1"/>
  <c r="AB1731" i="1" a="1"/>
  <c r="AB1731" i="1" s="1"/>
  <c r="AB174" i="1" a="1"/>
  <c r="AB174" i="1" s="1"/>
  <c r="AB881" i="1" a="1"/>
  <c r="AB881" i="1" s="1"/>
  <c r="AB1410" i="1" a="1"/>
  <c r="AB1410" i="1" s="1"/>
  <c r="AB994" i="1" a="1"/>
  <c r="AB994" i="1" s="1"/>
  <c r="AB1912" i="1" a="1"/>
  <c r="AB1912" i="1" s="1"/>
  <c r="AB1761" i="1" a="1"/>
  <c r="AB1761" i="1" s="1"/>
  <c r="AB1218" i="1" a="1"/>
  <c r="AB1218" i="1" s="1"/>
  <c r="AB689" i="1" a="1"/>
  <c r="AB689" i="1" s="1"/>
  <c r="AB914" i="1" a="1"/>
  <c r="AB914" i="1" s="1"/>
  <c r="AB1561" i="1" a="1"/>
  <c r="AB1561" i="1" s="1"/>
  <c r="AB1944" i="1" a="1"/>
  <c r="AB1944" i="1" s="1"/>
  <c r="AB1083" i="1" a="1"/>
  <c r="AB1083" i="1" s="1"/>
  <c r="AB937" i="1" a="1"/>
  <c r="AB937" i="1" s="1"/>
  <c r="AB1932" i="1" a="1"/>
  <c r="AB1932" i="1" s="1"/>
  <c r="AB381" i="1" a="1"/>
  <c r="AB381" i="1" s="1"/>
  <c r="AB13" i="1" a="1"/>
  <c r="AB13" i="1" s="1"/>
  <c r="AB1850" i="1" a="1"/>
  <c r="AB1850" i="1"/>
  <c r="AB1344" i="1" a="1"/>
  <c r="AB1344" i="1" s="1"/>
  <c r="AB444" i="1" a="1"/>
  <c r="AB444" i="1" s="1"/>
  <c r="AB1611" i="1" a="1"/>
  <c r="AB1611" i="1" s="1"/>
  <c r="AB1325" i="1" a="1"/>
  <c r="AB1325" i="1" s="1"/>
  <c r="AB1690" i="1" a="1"/>
  <c r="AB1690" i="1" s="1"/>
  <c r="AB359" i="1" a="1"/>
  <c r="AB359" i="1" s="1"/>
  <c r="AB1513" i="1" a="1"/>
  <c r="AB1513" i="1" s="1"/>
  <c r="AB794" i="1" a="1"/>
  <c r="AB794" i="1" s="1"/>
  <c r="AB304" i="1" a="1"/>
  <c r="AB304" i="1" s="1"/>
  <c r="AB556" i="1" a="1"/>
  <c r="AB556" i="1" s="1"/>
  <c r="AB56" i="1" a="1"/>
  <c r="AB56" i="1" s="1"/>
  <c r="AB1754" i="1" a="1"/>
  <c r="AB1754" i="1" s="1"/>
  <c r="AB1921" i="1" a="1"/>
  <c r="AB1921" i="1"/>
  <c r="AB239" i="1" a="1"/>
  <c r="AB239" i="1" s="1"/>
  <c r="AB1823" i="1" a="1"/>
  <c r="AB1823" i="1" s="1"/>
  <c r="AB1202" i="1" a="1"/>
  <c r="AB1202" i="1" s="1"/>
  <c r="AB1354" i="1" a="1"/>
  <c r="AB1354" i="1" s="1"/>
  <c r="AB452" i="1" a="1"/>
  <c r="AB452" i="1" s="1"/>
  <c r="AB382" i="1" a="1"/>
  <c r="AB382" i="1"/>
  <c r="AB216" i="1" a="1"/>
  <c r="AB216" i="1" s="1"/>
  <c r="AB1323" i="1" a="1"/>
  <c r="AB1323" i="1" s="1"/>
  <c r="AB498" i="1" a="1"/>
  <c r="AB498" i="1" s="1"/>
  <c r="AB1111" i="1" a="1"/>
  <c r="AB1111" i="1" s="1"/>
  <c r="AB1415" i="1" a="1"/>
  <c r="AB1415" i="1" s="1"/>
  <c r="AB1089" i="1" a="1"/>
  <c r="AB1089" i="1" s="1"/>
  <c r="AB271" i="1" a="1"/>
  <c r="AB271" i="1" s="1"/>
  <c r="AB512" i="1" a="1"/>
  <c r="AB512" i="1" s="1"/>
  <c r="AB1386" i="1" a="1"/>
  <c r="AB1386" i="1" s="1"/>
  <c r="AB876" i="1" a="1"/>
  <c r="AB876" i="1" s="1"/>
  <c r="AB1372" i="1" a="1"/>
  <c r="AB1372" i="1" s="1"/>
  <c r="AB301" i="1" a="1"/>
  <c r="AB301" i="1" s="1"/>
  <c r="AB756" i="1" a="1"/>
  <c r="AB756" i="1" s="1"/>
  <c r="AB405" i="1" a="1"/>
  <c r="AB405" i="1" s="1"/>
  <c r="AB1949" i="1" a="1"/>
  <c r="AB1949" i="1" s="1"/>
  <c r="AB1762" i="1" a="1"/>
  <c r="AB1762" i="1" s="1"/>
  <c r="AB787" i="1" a="1"/>
  <c r="AB787" i="1" s="1"/>
  <c r="AB104" i="1" a="1"/>
  <c r="AB104" i="1" s="1"/>
  <c r="AB360" i="1" a="1"/>
  <c r="AB360" i="1" s="1"/>
  <c r="AB1035" i="1" a="1"/>
  <c r="AB1035" i="1" s="1"/>
  <c r="AB1326" i="1" a="1"/>
  <c r="AB1326" i="1" s="1"/>
  <c r="AB92" i="1" a="1"/>
  <c r="AB92" i="1" s="1"/>
  <c r="AB453" i="1" a="1"/>
  <c r="AB453" i="1" s="1"/>
  <c r="AB968" i="1" a="1"/>
  <c r="AB968" i="1" s="1"/>
  <c r="AB190" i="1" a="1"/>
  <c r="AB190" i="1" s="1"/>
  <c r="AB422" i="1" a="1"/>
  <c r="AB422" i="1" s="1"/>
  <c r="AB918" i="1" a="1"/>
  <c r="AB918" i="1" s="1"/>
  <c r="AB1687" i="1" a="1"/>
  <c r="AB1687" i="1" s="1"/>
  <c r="AB434" i="1" a="1"/>
  <c r="AB434" i="1" s="1"/>
  <c r="AB51" i="1" a="1"/>
  <c r="AB51" i="1" s="1"/>
  <c r="AB1933" i="1" a="1"/>
  <c r="AB1933" i="1" s="1"/>
  <c r="AB133" i="1" a="1"/>
  <c r="AB133" i="1" s="1"/>
  <c r="AB175" i="1" a="1"/>
  <c r="AB175" i="1" s="1"/>
  <c r="AB314" i="1" a="1"/>
  <c r="AB314" i="1" s="1"/>
  <c r="AB1635" i="1" a="1"/>
  <c r="AB1635" i="1" s="1"/>
  <c r="AB1496" i="1" a="1"/>
  <c r="AB1496" i="1" s="1"/>
  <c r="AB1511" i="1" a="1"/>
  <c r="AB1511" i="1" s="1"/>
  <c r="AB1186" i="1" a="1"/>
  <c r="AB1186" i="1" s="1"/>
  <c r="AB986" i="1" a="1"/>
  <c r="AB986" i="1" s="1"/>
  <c r="AB465" i="1" a="1"/>
  <c r="AB465" i="1" s="1"/>
  <c r="AB1875" i="1" a="1"/>
  <c r="AB1875" i="1" s="1"/>
  <c r="AB129" i="1" a="1"/>
  <c r="AB129" i="1"/>
  <c r="AB1241" i="1" a="1"/>
  <c r="AB1241" i="1" s="1"/>
  <c r="AB921" i="1" a="1"/>
  <c r="AB921" i="1" s="1"/>
  <c r="AB1691" i="1" a="1"/>
  <c r="AB1691" i="1" s="1"/>
  <c r="AB579" i="1" a="1"/>
  <c r="AB579" i="1" s="1"/>
  <c r="AB1102" i="1" a="1"/>
  <c r="AB1102" i="1" s="1"/>
  <c r="AB79" i="1" a="1"/>
  <c r="AB79" i="1" s="1"/>
  <c r="AB635" i="1" a="1"/>
  <c r="AB635" i="1" s="1"/>
  <c r="AB409" i="1" a="1"/>
  <c r="AB409" i="1" s="1"/>
  <c r="AB1894" i="1" a="1"/>
  <c r="AB1894" i="1" s="1"/>
  <c r="AB1070" i="1" a="1"/>
  <c r="AB1070" i="1" s="1"/>
  <c r="AB1162" i="1" a="1"/>
  <c r="AB1162" i="1" s="1"/>
  <c r="AB138" i="1" a="1"/>
  <c r="AB138" i="1" s="1"/>
  <c r="AB901" i="1" a="1"/>
  <c r="AB901" i="1" s="1"/>
  <c r="AB1763" i="1" a="1"/>
  <c r="AB1763" i="1" s="1"/>
  <c r="AB369" i="1" a="1"/>
  <c r="AB369" i="1" s="1"/>
  <c r="AB430" i="1" a="1"/>
  <c r="AB430" i="1" s="1"/>
  <c r="AB693" i="1" a="1"/>
  <c r="AB693" i="1" s="1"/>
  <c r="AB255" i="1" a="1"/>
  <c r="AB255" i="1" s="1"/>
  <c r="AB1486" i="1" a="1"/>
  <c r="AB1486" i="1" s="1"/>
  <c r="AB1922" i="1" a="1"/>
  <c r="AB1922" i="1" s="1"/>
  <c r="AB482" i="1" a="1"/>
  <c r="AB482" i="1" s="1"/>
  <c r="AB1368" i="1" a="1"/>
  <c r="AB1368" i="1" s="1"/>
  <c r="AB841" i="1" a="1"/>
  <c r="AB841" i="1" s="1"/>
  <c r="AB745" i="1" a="1"/>
  <c r="AB745" i="1" s="1"/>
  <c r="AB1950" i="1" a="1"/>
  <c r="AB1950" i="1" s="1"/>
  <c r="AB1862" i="1" a="1"/>
  <c r="AB1862" i="1" s="1"/>
  <c r="AB1444" i="1" a="1"/>
  <c r="AB1444" i="1" s="1"/>
  <c r="AB650" i="1" a="1"/>
  <c r="AB650" i="1" s="1"/>
  <c r="AB563" i="1" a="1"/>
  <c r="AB563" i="1" s="1"/>
  <c r="AB1198" i="1" a="1"/>
  <c r="AB1198" i="1" s="1"/>
  <c r="AB1221" i="1" a="1"/>
  <c r="AB1221" i="1" s="1"/>
  <c r="AB1901" i="1" a="1"/>
  <c r="AB1901" i="1" s="1"/>
  <c r="AB1807" i="1" a="1"/>
  <c r="AB1807" i="1" s="1"/>
  <c r="AB731" i="1" a="1"/>
  <c r="AB731" i="1" s="1"/>
  <c r="AB406" i="1" a="1"/>
  <c r="AB406" i="1" s="1"/>
  <c r="AB1154" i="1" a="1"/>
  <c r="AB1154" i="1" s="1"/>
  <c r="AB1612" i="1" a="1"/>
  <c r="AB1612" i="1" s="1"/>
  <c r="AB1315" i="1" a="1"/>
  <c r="AB1315" i="1" s="1"/>
  <c r="AB89" i="1" a="1"/>
  <c r="AB89" i="1" s="1"/>
  <c r="AB1124" i="1" a="1"/>
  <c r="AB1124" i="1" s="1"/>
  <c r="AB1737" i="1" a="1"/>
  <c r="AB1737" i="1" s="1"/>
  <c r="AB22" i="1" a="1"/>
  <c r="AB22" i="1"/>
  <c r="AB1046" i="1" a="1"/>
  <c r="AB1046" i="1" s="1"/>
  <c r="AB877" i="1" a="1"/>
  <c r="AB877" i="1" s="1"/>
  <c r="AB1575" i="1" a="1"/>
  <c r="AB1575" i="1" s="1"/>
  <c r="AB1918" i="1" a="1"/>
  <c r="AB1918" i="1" s="1"/>
  <c r="AB460" i="1" a="1"/>
  <c r="AB460" i="1" s="1"/>
  <c r="AB1427" i="1" a="1"/>
  <c r="AB1427" i="1" s="1"/>
  <c r="AB1589" i="1" a="1"/>
  <c r="AB1589" i="1" s="1"/>
  <c r="AB180" i="1" a="1"/>
  <c r="AB180" i="1" s="1"/>
  <c r="AB1403" i="1" a="1"/>
  <c r="AB1403" i="1"/>
  <c r="AB1369" i="1" a="1"/>
  <c r="AB1369" i="1" s="1"/>
  <c r="AB2005" i="1" a="1"/>
  <c r="AB2005" i="1" s="1"/>
  <c r="AB1692" i="1" a="1"/>
  <c r="AB1692" i="1" s="1"/>
  <c r="AB860" i="1" a="1"/>
  <c r="AB860" i="1" s="1"/>
  <c r="AB566" i="1" a="1"/>
  <c r="AB566" i="1" s="1"/>
  <c r="AB629" i="1" a="1"/>
  <c r="AB629" i="1" s="1"/>
  <c r="AB866" i="1" a="1"/>
  <c r="AB866" i="1" s="1"/>
  <c r="AB1108" i="1" a="1"/>
  <c r="AB1108" i="1" s="1"/>
  <c r="AB108" i="1" a="1"/>
  <c r="AB108" i="1" s="1"/>
  <c r="AB1085" i="1" a="1"/>
  <c r="AB1085" i="1" s="1"/>
  <c r="AB907" i="1" a="1"/>
  <c r="AB907" i="1" s="1"/>
  <c r="AB1487" i="1" a="1"/>
  <c r="AB1487" i="1" s="1"/>
  <c r="AB598" i="1" a="1"/>
  <c r="AB598" i="1" s="1"/>
  <c r="AB1391" i="1" a="1"/>
  <c r="AB1391" i="1" s="1"/>
  <c r="AB929" i="1" a="1"/>
  <c r="AB929" i="1"/>
  <c r="AB1167" i="1" a="1"/>
  <c r="AB1167" i="1" s="1"/>
  <c r="AB1026" i="1" a="1"/>
  <c r="AB1026" i="1" s="1"/>
  <c r="AB1802" i="1" a="1"/>
  <c r="AB1802" i="1" s="1"/>
  <c r="AB938" i="1" a="1"/>
  <c r="AB938" i="1" s="1"/>
  <c r="AB315" i="1" a="1"/>
  <c r="AB315" i="1" s="1"/>
  <c r="AB1155" i="1" a="1"/>
  <c r="AB1155" i="1" s="1"/>
  <c r="AB1163" i="1" a="1"/>
  <c r="AB1163" i="1" s="1"/>
  <c r="AB675" i="1" a="1"/>
  <c r="AB675" i="1" s="1"/>
  <c r="AB1171" i="1" a="1"/>
  <c r="AB1171" i="1" s="1"/>
  <c r="AB220" i="1" a="1"/>
  <c r="AB220" i="1" s="1"/>
  <c r="AB176" i="1" a="1"/>
  <c r="AB176" i="1" s="1"/>
  <c r="AB636" i="1" a="1"/>
  <c r="AB636" i="1" s="1"/>
  <c r="AB470" i="1" a="1"/>
  <c r="AB470" i="1" s="1"/>
  <c r="AB694" i="1" a="1"/>
  <c r="AB694" i="1" s="1"/>
  <c r="AB1281" i="1" a="1"/>
  <c r="AB1281" i="1" s="1"/>
  <c r="AB1475" i="1" a="1"/>
  <c r="AB1475" i="1" s="1"/>
  <c r="AB356" i="1" a="1"/>
  <c r="AB356" i="1" s="1"/>
  <c r="AB1519" i="1" a="1"/>
  <c r="AB1519" i="1" s="1"/>
  <c r="AB1061" i="1" a="1"/>
  <c r="AB1061" i="1" s="1"/>
  <c r="AB1787" i="1" a="1"/>
  <c r="AB1787" i="1" s="1"/>
  <c r="AB221" i="1" a="1"/>
  <c r="AB221" i="1" s="1"/>
  <c r="AB1874" i="1" a="1"/>
  <c r="AB1874" i="1" s="1"/>
  <c r="AB939" i="1" a="1"/>
  <c r="AB939" i="1" s="1"/>
  <c r="AB2000" i="1" a="1"/>
  <c r="AB2000" i="1" s="1"/>
  <c r="AB1606" i="1" a="1"/>
  <c r="AB1606" i="1" s="1"/>
  <c r="AB1207" i="1" a="1"/>
  <c r="AB1207" i="1" s="1"/>
  <c r="AB670" i="1" a="1"/>
  <c r="AB670" i="1" s="1"/>
  <c r="AB676" i="1" a="1"/>
  <c r="AB676" i="1" s="1"/>
  <c r="AB442" i="1" a="1"/>
  <c r="AB442" i="1" s="1"/>
  <c r="AB1997" i="1" a="1"/>
  <c r="AB1997" i="1" s="1"/>
  <c r="AB1128" i="1" a="1"/>
  <c r="AB1128" i="1" s="1"/>
  <c r="AB1404" i="1" a="1"/>
  <c r="AB1404" i="1" s="1"/>
  <c r="AB1914" i="1" a="1"/>
  <c r="AB1914" i="1" s="1"/>
  <c r="AB587" i="1" a="1"/>
  <c r="AB587" i="1" s="1"/>
  <c r="AB278" i="1" a="1"/>
  <c r="AB278" i="1" s="1"/>
  <c r="AB1955" i="1" a="1"/>
  <c r="AB1955" i="1" s="1"/>
  <c r="AB1665" i="1" a="1"/>
  <c r="AB1665" i="1" s="1"/>
  <c r="AB244" i="1" a="1"/>
  <c r="AB244" i="1" s="1"/>
  <c r="AB42" i="1" a="1"/>
  <c r="AB42" i="1" s="1"/>
  <c r="AB1267" i="1" a="1"/>
  <c r="AB1267" i="1" s="1"/>
  <c r="AB181" i="1" a="1"/>
  <c r="AB181" i="1" s="1"/>
  <c r="AB570" i="1" a="1"/>
  <c r="AB570" i="1" s="1"/>
  <c r="AB1263" i="1" a="1"/>
  <c r="AB1263" i="1" s="1"/>
  <c r="AB1476" i="1" a="1"/>
  <c r="AB1476" i="1" s="1"/>
  <c r="AB1636" i="1" a="1"/>
  <c r="AB1636" i="1" s="1"/>
  <c r="AB1137" i="1" a="1"/>
  <c r="AB1137" i="1" s="1"/>
  <c r="AB1419" i="1" a="1"/>
  <c r="AB1419" i="1" s="1"/>
  <c r="AB1375" i="1" a="1"/>
  <c r="AB1375" i="1" s="1"/>
  <c r="AB182" i="1" a="1"/>
  <c r="AB182" i="1" s="1"/>
  <c r="AB23" i="1" a="1"/>
  <c r="AB23" i="1" s="1"/>
  <c r="AB977" i="1" a="1"/>
  <c r="AB977" i="1" s="1"/>
  <c r="AB710" i="1" a="1"/>
  <c r="AB710" i="1" s="1"/>
  <c r="AB637" i="1" a="1"/>
  <c r="AB637" i="1" s="1"/>
  <c r="AB80" i="1" a="1"/>
  <c r="AB80" i="1" s="1"/>
  <c r="AB1420" i="1" a="1"/>
  <c r="AB1420" i="1" s="1"/>
  <c r="AB908" i="1" a="1"/>
  <c r="AB908" i="1" s="1"/>
  <c r="AB782" i="1" a="1"/>
  <c r="AB782" i="1" s="1"/>
  <c r="AB1826" i="1" a="1"/>
  <c r="AB1826" i="1" s="1"/>
  <c r="AB807" i="1" a="1"/>
  <c r="AB807" i="1" s="1"/>
  <c r="AB1551" i="1" a="1"/>
  <c r="AB1551" i="1" s="1"/>
  <c r="AB1130" i="1" a="1"/>
  <c r="AB1130" i="1" s="1"/>
  <c r="AB547" i="1" a="1"/>
  <c r="AB547" i="1" s="1"/>
  <c r="AB177" i="1" a="1"/>
  <c r="AB177" i="1" s="1"/>
  <c r="AB919" i="1" a="1"/>
  <c r="AB919" i="1" s="1"/>
  <c r="AB330" i="1" a="1"/>
  <c r="AB330" i="1" s="1"/>
  <c r="AB1156" i="1" a="1"/>
  <c r="AB1156" i="1" s="1"/>
  <c r="AB1882" i="1" a="1"/>
  <c r="AB1882" i="1"/>
  <c r="AB1503" i="1" a="1"/>
  <c r="AB1503" i="1" s="1"/>
  <c r="AB1302" i="1" a="1"/>
  <c r="AB1302" i="1" s="1"/>
  <c r="AB105" i="1" a="1"/>
  <c r="AB105" i="1" s="1"/>
  <c r="AB2006" i="1" a="1"/>
  <c r="AB2006" i="1" s="1"/>
  <c r="AB1647" i="1" a="1"/>
  <c r="AB1647" i="1" s="1"/>
  <c r="AB532" i="1" a="1"/>
  <c r="AB532" i="1" s="1"/>
  <c r="AB65" i="1" a="1"/>
  <c r="AB65" i="1" s="1"/>
  <c r="AB466" i="1" a="1"/>
  <c r="AB466" i="1" s="1"/>
  <c r="AB1157" i="1" a="1"/>
  <c r="AB1157" i="1" s="1"/>
  <c r="AB743" i="1" a="1"/>
  <c r="AB743" i="1" s="1"/>
  <c r="AB256" i="1" a="1"/>
  <c r="AB256" i="1" s="1"/>
  <c r="AB584" i="1" a="1"/>
  <c r="AB584" i="1" s="1"/>
  <c r="AB737" i="1" a="1"/>
  <c r="AB737" i="1" s="1"/>
  <c r="AB519" i="1" a="1"/>
  <c r="AB519" i="1" s="1"/>
  <c r="AB1843" i="1" a="1"/>
  <c r="AB1843" i="1" s="1"/>
  <c r="AB1713" i="1" a="1"/>
  <c r="AB1713" i="1" s="1"/>
  <c r="AB1886" i="1" a="1"/>
  <c r="AB1886" i="1" s="1"/>
  <c r="AB1776" i="1" a="1"/>
  <c r="AB1776" i="1" s="1"/>
  <c r="AB257" i="1" a="1"/>
  <c r="AB257" i="1" s="1"/>
  <c r="AB308" i="1" a="1"/>
  <c r="AB308" i="1" s="1"/>
  <c r="AB1492" i="1" a="1"/>
  <c r="AB1492" i="1" s="1"/>
  <c r="AB720" i="1" a="1"/>
  <c r="AB720" i="1" s="1"/>
  <c r="AB298" i="1" a="1"/>
  <c r="AB298" i="1" s="1"/>
  <c r="AB431" i="1" a="1"/>
  <c r="AB431" i="1" s="1"/>
  <c r="AB87" i="1" a="1"/>
  <c r="AB87" i="1" s="1"/>
  <c r="AB1552" i="1" a="1"/>
  <c r="AB1552" i="1" s="1"/>
  <c r="AB1268" i="1" a="1"/>
  <c r="AB1268" i="1" s="1"/>
  <c r="AB1906" i="1" a="1"/>
  <c r="AB1906" i="1" s="1"/>
  <c r="AB407" i="1" a="1"/>
  <c r="AB407" i="1" s="1"/>
  <c r="AB331" i="1" a="1"/>
  <c r="AB331" i="1" s="1"/>
  <c r="AB989" i="1" a="1"/>
  <c r="AB989" i="1" s="1"/>
  <c r="AB1456" i="1" a="1"/>
  <c r="AB1456" i="1" s="1"/>
  <c r="AB1141" i="1" a="1"/>
  <c r="AB1141" i="1" s="1"/>
  <c r="AB1050" i="1" a="1"/>
  <c r="AB1050" i="1" s="1"/>
  <c r="AB1623" i="1" a="1"/>
  <c r="AB1623" i="1" s="1"/>
  <c r="AB458" i="1" a="1"/>
  <c r="AB458" i="1" s="1"/>
  <c r="AB199" i="1" a="1"/>
  <c r="AB199" i="1" s="1"/>
  <c r="AB425" i="1" a="1"/>
  <c r="AB425" i="1" s="1"/>
  <c r="AB1434" i="1" a="1"/>
  <c r="AB1434" i="1" s="1"/>
  <c r="AB1377" i="1" a="1"/>
  <c r="AB1377" i="1" s="1"/>
  <c r="AB207" i="1" a="1"/>
  <c r="AB207" i="1" s="1"/>
  <c r="AB893" i="1" a="1"/>
  <c r="AB893" i="1" s="1"/>
  <c r="AB557" i="1" a="1"/>
  <c r="AB557" i="1" s="1"/>
  <c r="AB338" i="1" a="1"/>
  <c r="AB338" i="1" s="1"/>
  <c r="AB678" i="1" a="1"/>
  <c r="AB678" i="1" s="1"/>
  <c r="AB14" i="1" a="1"/>
  <c r="AB14" i="1" s="1"/>
  <c r="AB1090" i="1" a="1"/>
  <c r="AB1090" i="1" s="1"/>
  <c r="AB1257" i="1" a="1"/>
  <c r="AB1257" i="1" s="1"/>
  <c r="AB383" i="1" a="1"/>
  <c r="AB383" i="1" s="1"/>
  <c r="AB1650" i="1" a="1"/>
  <c r="AB1650" i="1" s="1"/>
  <c r="AB265" i="1" a="1"/>
  <c r="AB265" i="1" s="1"/>
  <c r="AB1318" i="1" a="1"/>
  <c r="AB1318" i="1" s="1"/>
  <c r="AB241" i="1" a="1"/>
  <c r="AB241" i="1" s="1"/>
  <c r="AB71" i="1" a="1"/>
  <c r="AB71" i="1"/>
  <c r="AB486" i="1" a="1"/>
  <c r="AB486" i="1" s="1"/>
  <c r="AB1528" i="1" a="1"/>
  <c r="AB1528" i="1" s="1"/>
  <c r="AB1827" i="1" a="1"/>
  <c r="AB1827" i="1" s="1"/>
  <c r="AB155" i="1" a="1"/>
  <c r="AB155" i="1" s="1"/>
  <c r="AB52" i="1" a="1"/>
  <c r="AB52" i="1" s="1"/>
  <c r="AB544" i="1" a="1"/>
  <c r="AB544" i="1" s="1"/>
  <c r="AB1242" i="1" a="1"/>
  <c r="AB1242" i="1" s="1"/>
  <c r="AB948" i="1" a="1"/>
  <c r="AB948" i="1" s="1"/>
  <c r="AB1585" i="1" a="1"/>
  <c r="AB1585" i="1" s="1"/>
  <c r="AB1073" i="1" a="1"/>
  <c r="AB1073" i="1"/>
  <c r="AB1571" i="1" a="1"/>
  <c r="AB1571" i="1" s="1"/>
  <c r="AB928" i="1" a="1"/>
  <c r="AB928" i="1" s="1"/>
  <c r="AB638" i="1" a="1"/>
  <c r="AB638" i="1" s="1"/>
  <c r="AB186" i="1" a="1"/>
  <c r="AB186" i="1" s="1"/>
  <c r="AB934" i="1" a="1"/>
  <c r="AB934" i="1" s="1"/>
  <c r="AB700" i="1" a="1"/>
  <c r="AB700" i="1" s="1"/>
  <c r="AB339" i="1" a="1"/>
  <c r="AB339" i="1" s="1"/>
  <c r="AB435" i="1" a="1"/>
  <c r="AB435" i="1" s="1"/>
  <c r="AB1553" i="1" a="1"/>
  <c r="AB1553" i="1" s="1"/>
  <c r="AB1295" i="1" a="1"/>
  <c r="AB1295" i="1" s="1"/>
  <c r="AB1208" i="1" a="1"/>
  <c r="AB1208" i="1" s="1"/>
  <c r="AB1671" i="1" a="1"/>
  <c r="AB1671" i="1" s="1"/>
  <c r="AB540" i="1" a="1"/>
  <c r="AB540" i="1" s="1"/>
  <c r="AB1987" i="1" a="1"/>
  <c r="AB1987" i="1" s="1"/>
  <c r="AB37" i="1" a="1"/>
  <c r="AB37" i="1" s="1"/>
  <c r="AB309" i="1" a="1"/>
  <c r="AB309" i="1" s="1"/>
  <c r="AB861" i="1" a="1"/>
  <c r="AB861" i="1" s="1"/>
  <c r="AB589" i="1" a="1"/>
  <c r="AB589" i="1" s="1"/>
  <c r="AB1036" i="1" a="1"/>
  <c r="AB1036" i="1" s="1"/>
  <c r="AB1316" i="1" a="1"/>
  <c r="AB1316" i="1" s="1"/>
  <c r="AB1796" i="1" a="1"/>
  <c r="AB1796" i="1" s="1"/>
  <c r="AB436" i="1" a="1"/>
  <c r="AB436" i="1" s="1"/>
  <c r="AB1062" i="1" a="1"/>
  <c r="AB1062" i="1" s="1"/>
  <c r="AB1651" i="1" a="1"/>
  <c r="AB1651" i="1" s="1"/>
  <c r="AB302" i="1" a="1"/>
  <c r="AB302" i="1" s="1"/>
  <c r="AB141" i="1" a="1"/>
  <c r="AB141" i="1" s="1"/>
  <c r="AB1304" i="1" a="1"/>
  <c r="AB1304" i="1" s="1"/>
  <c r="AB250" i="1" a="1"/>
  <c r="AB250" i="1" s="1"/>
  <c r="AB795" i="1" a="1"/>
  <c r="AB795" i="1" s="1"/>
  <c r="AB445" i="1" a="1"/>
  <c r="AB445" i="1" s="1"/>
  <c r="AB1298" i="1" a="1"/>
  <c r="AB1298" i="1" s="1"/>
  <c r="AB1112" i="1" a="1"/>
  <c r="AB1112" i="1" s="1"/>
  <c r="AB194" i="1" a="1"/>
  <c r="AB194" i="1" s="1"/>
  <c r="AB1237" i="1" a="1"/>
  <c r="AB1237" i="1" s="1"/>
  <c r="AB318" i="1" a="1"/>
  <c r="AB318" i="1" s="1"/>
  <c r="AB1209" i="1" a="1"/>
  <c r="AB1209" i="1" s="1"/>
  <c r="AB1016" i="1" a="1"/>
  <c r="AB1016" i="1" s="1"/>
  <c r="AB1448" i="1" a="1"/>
  <c r="AB1448" i="1" s="1"/>
  <c r="AB1113" i="1" a="1"/>
  <c r="AB1113" i="1" s="1"/>
  <c r="AB995" i="1" a="1"/>
  <c r="AB995" i="1" s="1"/>
  <c r="AB426" i="1" a="1"/>
  <c r="AB426" i="1" s="1"/>
  <c r="AB1005" i="1" a="1"/>
  <c r="AB1005" i="1" s="1"/>
  <c r="AB142" i="1" a="1"/>
  <c r="AB142" i="1" s="1"/>
  <c r="AB1684" i="1" a="1"/>
  <c r="AB1684" i="1" s="1"/>
  <c r="AB167" i="1" a="1"/>
  <c r="AB167" i="1" s="1"/>
  <c r="AB1138" i="1" a="1"/>
  <c r="AB1138" i="1" s="1"/>
  <c r="AB1152" i="1" a="1"/>
  <c r="AB1152" i="1" s="1"/>
  <c r="AB1547" i="1" a="1"/>
  <c r="AB1547" i="1" s="1"/>
  <c r="AB178" i="1" a="1"/>
  <c r="AB178" i="1" s="1"/>
  <c r="AB1288" i="1" a="1"/>
  <c r="AB1288" i="1" s="1"/>
  <c r="AB43" i="1" a="1"/>
  <c r="AB43" i="1" s="1"/>
  <c r="AB183" i="1" a="1"/>
  <c r="AB183" i="1" s="1"/>
  <c r="AB217" i="1" a="1"/>
  <c r="AB217" i="1" s="1"/>
  <c r="AB1936" i="1" a="1"/>
  <c r="AB1936" i="1" s="1"/>
  <c r="AB1164" i="1" a="1"/>
  <c r="AB1164" i="1" s="1"/>
  <c r="AB520" i="1" a="1"/>
  <c r="AB520" i="1" s="1"/>
  <c r="AB1465" i="1" a="1"/>
  <c r="AB1465" i="1" s="1"/>
  <c r="AB1907" i="1" a="1"/>
  <c r="AB1907" i="1" s="1"/>
  <c r="AB702" i="1" a="1"/>
  <c r="AB702" i="1" s="1"/>
  <c r="AB902" i="1" a="1"/>
  <c r="AB902" i="1" s="1"/>
  <c r="AB1422" i="1" a="1"/>
  <c r="AB1422" i="1" s="1"/>
  <c r="AB1797" i="1" a="1"/>
  <c r="AB1797" i="1" s="1"/>
  <c r="AB1559" i="1" a="1"/>
  <c r="AB1559" i="1" s="1"/>
  <c r="AB361" i="1" a="1"/>
  <c r="AB361" i="1" s="1"/>
  <c r="AB1759" i="1" a="1"/>
  <c r="AB1759" i="1" s="1"/>
  <c r="AB319" i="1" a="1"/>
  <c r="AB319" i="1" s="1"/>
  <c r="AB1131" i="1" a="1"/>
  <c r="AB1131" i="1" s="1"/>
  <c r="AB226" i="1" a="1"/>
  <c r="AB226" i="1" s="1"/>
  <c r="AB1210" i="1" a="1"/>
  <c r="AB1210" i="1" s="1"/>
  <c r="AB284" i="1" a="1"/>
  <c r="AB284" i="1" s="1"/>
  <c r="AB81" i="1" a="1"/>
  <c r="AB81" i="1" s="1"/>
  <c r="AB208" i="1" a="1"/>
  <c r="AB208" i="1" s="1"/>
  <c r="AB1710" i="1" a="1"/>
  <c r="AB1710" i="1" s="1"/>
  <c r="AB117" i="1" a="1"/>
  <c r="AB117" i="1" s="1"/>
  <c r="AB1970" i="1" a="1"/>
  <c r="AB1970" i="1" s="1"/>
  <c r="AB1063" i="1" a="1"/>
  <c r="AB1063" i="1" s="1"/>
  <c r="AB389" i="1" a="1"/>
  <c r="AB389" i="1" s="1"/>
  <c r="AB1311" i="1" a="1"/>
  <c r="AB1311" i="1" s="1"/>
  <c r="AB1590" i="1" a="1"/>
  <c r="AB1590" i="1" s="1"/>
  <c r="AB1915" i="1" a="1"/>
  <c r="AB1915" i="1" s="1"/>
  <c r="AB191" i="1" a="1"/>
  <c r="AB191" i="1" s="1"/>
  <c r="AB160" i="1" a="1"/>
  <c r="AB160" i="1" s="1"/>
  <c r="AB34" i="1" a="1"/>
  <c r="AB34" i="1" s="1"/>
  <c r="AB1792" i="1" a="1"/>
  <c r="AB1792" i="1" s="1"/>
  <c r="AB1183" i="1" a="1"/>
  <c r="AB1183" i="1" s="1"/>
  <c r="AB1888" i="1" a="1"/>
  <c r="AB1888" i="1" s="1"/>
  <c r="AB362" i="1" a="1"/>
  <c r="AB362" i="1" s="1"/>
  <c r="AB184" i="1" a="1"/>
  <c r="AB184" i="1" s="1"/>
  <c r="AB1919" i="1" a="1"/>
  <c r="AB1919" i="1" s="1"/>
  <c r="AB1896" i="1" a="1"/>
  <c r="AB1896" i="1" s="1"/>
  <c r="AB1971" i="1" a="1"/>
  <c r="AB1971" i="1" s="1"/>
  <c r="AB863" i="1" a="1"/>
  <c r="AB863" i="1" s="1"/>
  <c r="AB2007" i="1" a="1"/>
  <c r="AB2007" i="1" s="1"/>
  <c r="AB446" i="1" a="1"/>
  <c r="AB446" i="1" s="1"/>
  <c r="AB1517" i="1" a="1"/>
  <c r="AB1517" i="1" s="1"/>
  <c r="AB1299" i="1" a="1"/>
  <c r="AB1299" i="1" s="1"/>
  <c r="AB1529" i="1" a="1"/>
  <c r="AB1529" i="1" s="1"/>
  <c r="AB1693" i="1" a="1"/>
  <c r="AB1693" i="1" s="1"/>
  <c r="AB272" i="1" a="1"/>
  <c r="AB272" i="1" s="1"/>
  <c r="AB845" i="1" a="1"/>
  <c r="AB845" i="1" s="1"/>
  <c r="AB1350" i="1" a="1"/>
  <c r="AB1350" i="1" s="1"/>
  <c r="AB137" i="1" a="1"/>
  <c r="AB137" i="1" s="1"/>
  <c r="AB1370" i="1" a="1"/>
  <c r="AB1370" i="1" s="1"/>
  <c r="AB1937" i="1" a="1"/>
  <c r="AB1937" i="1" s="1"/>
  <c r="AB1624" i="1" a="1"/>
  <c r="AB1624" i="1" s="1"/>
  <c r="AB412" i="1" a="1"/>
  <c r="AB412" i="1" s="1"/>
  <c r="AB1847" i="1" a="1"/>
  <c r="AB1847" i="1" s="1"/>
  <c r="AB99" i="1" a="1"/>
  <c r="AB99" i="1" s="1"/>
  <c r="AB1480" i="1" a="1"/>
  <c r="AB1480" i="1" s="1"/>
  <c r="AB777" i="1" a="1"/>
  <c r="AB777" i="1" s="1"/>
  <c r="AB725" i="1" a="1"/>
  <c r="AB725" i="1" s="1"/>
  <c r="AB1740" i="1" a="1"/>
  <c r="AB1740" i="1" s="1"/>
  <c r="AB864" i="1" a="1"/>
  <c r="AB864" i="1" s="1"/>
  <c r="AB1688" i="1" a="1"/>
  <c r="AB1688" i="1" s="1"/>
  <c r="AB1869" i="1" a="1"/>
  <c r="AB1869" i="1" s="1"/>
  <c r="AB1659" i="1" a="1"/>
  <c r="AB1659" i="1" s="1"/>
  <c r="AB162" i="1" a="1"/>
  <c r="AB162" i="1" s="1"/>
  <c r="AB93" i="1" a="1"/>
  <c r="AB93" i="1" s="1"/>
  <c r="AB1056" i="1" a="1"/>
  <c r="AB1056" i="1" s="1"/>
  <c r="AB956" i="1" a="1"/>
  <c r="AB956" i="1" s="1"/>
  <c r="AB332" i="1" a="1"/>
  <c r="AB332" i="1" s="1"/>
  <c r="AB1644" i="1" a="1"/>
  <c r="AB1644" i="1" s="1"/>
  <c r="AB1652" i="1" a="1"/>
  <c r="AB1652" i="1" s="1"/>
  <c r="AB835" i="1" a="1"/>
  <c r="AB835" i="1" s="1"/>
  <c r="AB1745" i="1" a="1"/>
  <c r="AB1745" i="1" s="1"/>
  <c r="AB796" i="1" a="1"/>
  <c r="AB796" i="1" s="1"/>
  <c r="AB1770" i="1" a="1"/>
  <c r="AB1770" i="1" s="1"/>
  <c r="AB1732" i="1" a="1"/>
  <c r="AB1732" i="1" s="1"/>
  <c r="AB1258" i="1" a="1"/>
  <c r="AB1258" i="1" s="1"/>
  <c r="AB1211" i="1" a="1"/>
  <c r="AB1211" i="1" s="1"/>
  <c r="AB1065" i="1" a="1"/>
  <c r="AB1065" i="1" s="1"/>
  <c r="AB545" i="1" a="1"/>
  <c r="AB545" i="1" s="1"/>
  <c r="AB814" i="1" a="1"/>
  <c r="AB814" i="1" s="1"/>
  <c r="AB761" i="1" a="1"/>
  <c r="AB761" i="1" s="1"/>
  <c r="AB1746" i="1" a="1"/>
  <c r="AB1746" i="1" s="1"/>
  <c r="AB1093" i="1" a="1"/>
  <c r="AB1093" i="1"/>
  <c r="AB810" i="1" a="1"/>
  <c r="AB810" i="1" s="1"/>
  <c r="AB574" i="1" a="1"/>
  <c r="AB574" i="1" s="1"/>
  <c r="AB757" i="1" a="1"/>
  <c r="AB757" i="1"/>
  <c r="AB367" i="1" a="1"/>
  <c r="AB367" i="1" s="1"/>
  <c r="AB1586" i="1" a="1"/>
  <c r="AB1586" i="1" s="1"/>
  <c r="AB888" i="1" a="1"/>
  <c r="AB888" i="1" s="1"/>
  <c r="AB1187" i="1" a="1"/>
  <c r="AB1187" i="1" s="1"/>
  <c r="AB1125" i="1" a="1"/>
  <c r="AB1125" i="1" s="1"/>
  <c r="AB106" i="1" a="1"/>
  <c r="AB106" i="1" s="1"/>
  <c r="AB100" i="1" a="1"/>
  <c r="AB100" i="1" s="1"/>
  <c r="AB476" i="1" a="1"/>
  <c r="AB476" i="1" s="1"/>
  <c r="AB1870" i="1" a="1"/>
  <c r="AB1870" i="1" s="1"/>
  <c r="AB323" i="1" a="1"/>
  <c r="AB323" i="1" s="1"/>
  <c r="AB999" i="1" a="1"/>
  <c r="AB999" i="1" s="1"/>
  <c r="AB1945" i="1" a="1"/>
  <c r="AB1945" i="1" s="1"/>
  <c r="AB1779" i="1" a="1"/>
  <c r="AB1779" i="1" s="1"/>
  <c r="AB1398" i="1" a="1"/>
  <c r="AB1398" i="1" s="1"/>
  <c r="AB558" i="1" a="1"/>
  <c r="AB558" i="1" s="1"/>
  <c r="AB548" i="1" a="1"/>
  <c r="AB548" i="1" s="1"/>
  <c r="AB1597" i="1" a="1"/>
  <c r="AB1597" i="1" s="1"/>
  <c r="AB1013" i="1" a="1"/>
  <c r="AB1013" i="1" s="1"/>
  <c r="AB550" i="1" a="1"/>
  <c r="AB550" i="1" s="1"/>
  <c r="AB661" i="1" a="1"/>
  <c r="AB661" i="1" s="1"/>
  <c r="AB1879" i="1" a="1"/>
  <c r="AB1879" i="1" s="1"/>
  <c r="AB1625" i="1" a="1"/>
  <c r="AB1625" i="1" s="1"/>
  <c r="AB846" i="1" a="1"/>
  <c r="AB846" i="1" s="1"/>
  <c r="AB528" i="1" a="1"/>
  <c r="AB528" i="1" s="1"/>
  <c r="AB467" i="1" a="1"/>
  <c r="AB467" i="1" s="1"/>
  <c r="AB1798" i="1" a="1"/>
  <c r="AB1798" i="1" s="1"/>
  <c r="AB909" i="1" a="1"/>
  <c r="AB909" i="1" s="1"/>
  <c r="AB726" i="1" a="1"/>
  <c r="AB726" i="1" s="1"/>
  <c r="AB596" i="1" a="1"/>
  <c r="AB596" i="1" s="1"/>
  <c r="AB1272" i="1" a="1"/>
  <c r="AB1272" i="1" s="1"/>
  <c r="AB1076" i="1" a="1"/>
  <c r="AB1076" i="1" s="1"/>
  <c r="AB236" i="1" a="1"/>
  <c r="AB236" i="1" s="1"/>
  <c r="AB134" i="1" a="1"/>
  <c r="AB134" i="1" s="1"/>
  <c r="AB400" i="1" a="1"/>
  <c r="AB400" i="1" s="1"/>
  <c r="AB1351" i="1" a="1"/>
  <c r="AB1351" i="1" s="1"/>
  <c r="AB768" i="1" a="1"/>
  <c r="AB768" i="1" s="1"/>
  <c r="AB1530" i="1" a="1"/>
  <c r="AB1530" i="1" s="1"/>
  <c r="AB413" i="1" a="1"/>
  <c r="AB413" i="1" s="1"/>
  <c r="AB1103" i="1" a="1"/>
  <c r="AB1103" i="1" s="1"/>
  <c r="AB1057" i="1" a="1"/>
  <c r="AB1057" i="1" s="1"/>
  <c r="AB1660" i="1" a="1"/>
  <c r="AB1660" i="1" s="1"/>
  <c r="AB541" i="1" a="1"/>
  <c r="AB541" i="1" s="1"/>
  <c r="AB1512" i="1" a="1"/>
  <c r="AB1512" i="1" s="1"/>
  <c r="AB1259" i="1" a="1"/>
  <c r="AB1259" i="1" s="1"/>
  <c r="AB910" i="1" a="1"/>
  <c r="AB910" i="1" s="1"/>
  <c r="AB1051" i="1" a="1"/>
  <c r="AB1051" i="1" s="1"/>
  <c r="AB867" i="1" a="1"/>
  <c r="AB867" i="1" s="1"/>
  <c r="AB1593" i="1" a="1"/>
  <c r="AB1593" i="1" s="1"/>
  <c r="AB646" i="1" a="1"/>
  <c r="AB646" i="1" s="1"/>
  <c r="AB370" i="1" a="1"/>
  <c r="AB370" i="1" s="1"/>
  <c r="AB1317" i="1" a="1"/>
  <c r="AB1317" i="1" s="1"/>
  <c r="AB427" i="1" a="1"/>
  <c r="AB427" i="1" s="1"/>
  <c r="AB1331" i="1" a="1"/>
  <c r="AB1331" i="1" s="1"/>
  <c r="AB679" i="1" a="1"/>
  <c r="AB679" i="1" s="1"/>
  <c r="AB1678" i="1" a="1"/>
  <c r="AB1678" i="1" s="1"/>
  <c r="AB1332" i="1" a="1"/>
  <c r="AB1332" i="1" s="1"/>
  <c r="AB1534" i="1" a="1"/>
  <c r="AB1534" i="1" s="1"/>
  <c r="AB655" i="1" a="1"/>
  <c r="AB655" i="1" s="1"/>
  <c r="AB1640" i="1" a="1"/>
  <c r="AB1640" i="1" s="1"/>
  <c r="AB1889" i="1" a="1"/>
  <c r="AB1889" i="1" s="1"/>
  <c r="AB1382" i="1" a="1"/>
  <c r="AB1382" i="1" s="1"/>
  <c r="AB681" i="1" a="1"/>
  <c r="AB681" i="1" s="1"/>
  <c r="AB1808" i="1" a="1"/>
  <c r="AB1808" i="1" s="1"/>
  <c r="AB1347" i="1" a="1"/>
  <c r="AB1347" i="1" s="1"/>
  <c r="AB1946" i="1" a="1"/>
  <c r="AB1946" i="1" s="1"/>
  <c r="AB1194" i="1" a="1"/>
  <c r="AB1194" i="1" s="1"/>
  <c r="AB285" i="1" a="1"/>
  <c r="AB285" i="1" s="1"/>
  <c r="AB1653" i="1" a="1"/>
  <c r="AB1653" i="1"/>
  <c r="AB935" i="1" a="1"/>
  <c r="AB935" i="1" s="1"/>
  <c r="AB1371" i="1" a="1"/>
  <c r="AB1371" i="1" s="1"/>
  <c r="AB1204" i="1" a="1"/>
  <c r="AB1204" i="1" s="1"/>
  <c r="AB1830" i="1" a="1"/>
  <c r="AB1830" i="1"/>
  <c r="AB559" i="1" a="1"/>
  <c r="AB559" i="1" s="1"/>
  <c r="AB868" i="1" a="1"/>
  <c r="AB868" i="1" s="1"/>
  <c r="AB744" i="1" a="1"/>
  <c r="AB744" i="1" s="1"/>
  <c r="AB414" i="1" a="1"/>
  <c r="AB414" i="1" s="1"/>
  <c r="AB57" i="1" a="1"/>
  <c r="AB57" i="1" s="1"/>
  <c r="AB981" i="1" a="1"/>
  <c r="AB981" i="1" s="1"/>
  <c r="AB703" i="1" a="1"/>
  <c r="AB703" i="1" s="1"/>
  <c r="AB1988" i="1" a="1"/>
  <c r="AB1988" i="1" s="1"/>
  <c r="AB222" i="1" a="1"/>
  <c r="AB222" i="1" s="1"/>
  <c r="AB772" i="1" a="1"/>
  <c r="AB772" i="1" s="1"/>
  <c r="AB293" i="1" a="1"/>
  <c r="AB293" i="1" s="1"/>
  <c r="AB1114" i="1" a="1"/>
  <c r="AB1114" i="1" s="1"/>
  <c r="AB1158" i="1" a="1"/>
  <c r="AB1158" i="1" s="1"/>
  <c r="AB1705" i="1" a="1"/>
  <c r="AB1705" i="1" s="1"/>
  <c r="AB1661" i="1" a="1"/>
  <c r="AB1661" i="1" s="1"/>
  <c r="AB590" i="1" a="1"/>
  <c r="AB590" i="1" s="1"/>
  <c r="AB1043" i="1" a="1"/>
  <c r="AB1043" i="1" s="1"/>
  <c r="AB513" i="1" a="1"/>
  <c r="AB513" i="1" s="1"/>
  <c r="AB94" i="1" a="1"/>
  <c r="AB94" i="1" s="1"/>
  <c r="AB1104" i="1" a="1"/>
  <c r="AB1104" i="1" s="1"/>
  <c r="AB1572" i="1" a="1"/>
  <c r="AB1572" i="1" s="1"/>
  <c r="AB1981" i="1" a="1"/>
  <c r="AB1981" i="1"/>
  <c r="AB882" i="1" a="1"/>
  <c r="AB882" i="1" s="1"/>
  <c r="AB1017" i="1" a="1"/>
  <c r="AB1017" i="1" s="1"/>
  <c r="AB915" i="1" a="1"/>
  <c r="AB915" i="1" s="1"/>
  <c r="AB1248" i="1" a="1"/>
  <c r="AB1248" i="1" s="1"/>
  <c r="AB333" i="1" a="1"/>
  <c r="AB333" i="1" s="1"/>
  <c r="AB521" i="1" a="1"/>
  <c r="AB521" i="1" s="1"/>
  <c r="AB1225" i="1" a="1"/>
  <c r="AB1225" i="1" s="1"/>
  <c r="AB1720" i="1" a="1"/>
  <c r="AB1720" i="1" s="1"/>
  <c r="AB260" i="1" a="1"/>
  <c r="AB260" i="1" s="1"/>
  <c r="AB24" i="1" a="1"/>
  <c r="AB24" i="1" s="1"/>
  <c r="AB1951" i="1" a="1"/>
  <c r="AB1951" i="1" s="1"/>
  <c r="AB1411" i="1" a="1"/>
  <c r="AB1411" i="1" s="1"/>
  <c r="AB109" i="1" a="1"/>
  <c r="AB109" i="1" s="1"/>
  <c r="AB1282" i="1" a="1"/>
  <c r="AB1282" i="1" s="1"/>
  <c r="AB751" i="1" a="1"/>
  <c r="AB751" i="1" s="1"/>
  <c r="AB682" i="1" a="1"/>
  <c r="AB682" i="1" s="1"/>
  <c r="AB392" i="1" a="1"/>
  <c r="AB392" i="1" s="1"/>
  <c r="AB146" i="1" a="1"/>
  <c r="AB146" i="1" s="1"/>
  <c r="AB865" i="1" a="1"/>
  <c r="AB865" i="1" s="1"/>
  <c r="AB1222" i="1" a="1"/>
  <c r="AB1222" i="1" s="1"/>
  <c r="AB1890" i="1" a="1"/>
  <c r="AB1890" i="1" s="1"/>
  <c r="AB1052" i="1" a="1"/>
  <c r="AB1052" i="1" s="1"/>
  <c r="AB1721" i="1" a="1"/>
  <c r="AB1721" i="1" s="1"/>
  <c r="AB533" i="1" a="1"/>
  <c r="AB533" i="1" s="1"/>
  <c r="AB1105" i="1" a="1"/>
  <c r="AB1105" i="1" s="1"/>
  <c r="AB1972" i="1" a="1"/>
  <c r="AB1972" i="1" s="1"/>
  <c r="AB567" i="1" a="1"/>
  <c r="AB567" i="1"/>
  <c r="AB982" i="1" a="1"/>
  <c r="AB982" i="1" s="1"/>
  <c r="AB1598" i="1" a="1"/>
  <c r="AB1598" i="1" s="1"/>
  <c r="AB647" i="1" a="1"/>
  <c r="AB647" i="1" s="1"/>
  <c r="AB1044" i="1" a="1"/>
  <c r="AB1044" i="1" s="1"/>
  <c r="AB930" i="1" a="1"/>
  <c r="AB930" i="1" s="1"/>
  <c r="AB878" i="1" a="1"/>
  <c r="AB878" i="1" s="1"/>
  <c r="AB158" i="1" a="1"/>
  <c r="AB158" i="1" s="1"/>
  <c r="AB28" i="1" a="1"/>
  <c r="AB28" i="1" s="1"/>
  <c r="AB690" i="1" a="1"/>
  <c r="AB690" i="1" s="1"/>
  <c r="AB25" i="1" a="1"/>
  <c r="AB25" i="1" s="1"/>
  <c r="AB1027" i="1" a="1"/>
  <c r="AB1027" i="1" s="1"/>
  <c r="AB279" i="1" a="1"/>
  <c r="AB279" i="1" s="1"/>
  <c r="AB68" i="1" a="1"/>
  <c r="AB68" i="1" s="1"/>
  <c r="AB1165" i="1" a="1"/>
  <c r="AB1165" i="1" s="1"/>
  <c r="AB1809" i="1" a="1"/>
  <c r="AB1809" i="1" s="1"/>
  <c r="AB1107" i="1" a="1"/>
  <c r="AB1107" i="1" s="1"/>
  <c r="AB1694" i="1" a="1"/>
  <c r="AB1694" i="1" s="1"/>
  <c r="AB601" i="1" a="1"/>
  <c r="AB601" i="1"/>
  <c r="AB1352" i="1" a="1"/>
  <c r="AB1352" i="1" s="1"/>
  <c r="AB1461" i="1" a="1"/>
  <c r="AB1461" i="1" s="1"/>
  <c r="AB1576" i="1" a="1"/>
  <c r="AB1576" i="1" s="1"/>
  <c r="AB1086" i="1" a="1"/>
  <c r="AB1086" i="1" s="1"/>
  <c r="AB899" i="1" a="1"/>
  <c r="AB899" i="1" s="1"/>
  <c r="AB1810" i="1" a="1"/>
  <c r="AB1810" i="1" s="1"/>
  <c r="AB1766" i="1" a="1"/>
  <c r="AB1766" i="1" s="1"/>
  <c r="AB401" i="1" a="1"/>
  <c r="AB401" i="1" s="1"/>
  <c r="AB604" i="1" a="1"/>
  <c r="AB604" i="1" s="1"/>
  <c r="AB1695" i="1" a="1"/>
  <c r="AB1695" i="1" s="1"/>
  <c r="AB1189" i="1" a="1"/>
  <c r="AB1189" i="1" s="1"/>
  <c r="AB1340" i="1" a="1"/>
  <c r="AB1340" i="1" s="1"/>
  <c r="AB851" i="1" a="1"/>
  <c r="AB851" i="1" s="1"/>
  <c r="AB869" i="1" a="1"/>
  <c r="AB869" i="1" s="1"/>
  <c r="AB573" i="1" a="1"/>
  <c r="AB573" i="1" s="1"/>
  <c r="AB949" i="1" a="1"/>
  <c r="AB949" i="1" s="1"/>
  <c r="AB950" i="1" a="1"/>
  <c r="AB950" i="1" s="1"/>
  <c r="AB240" i="1" a="1"/>
  <c r="AB240" i="1" s="1"/>
  <c r="AB396" i="1" a="1"/>
  <c r="AB396" i="1" s="1"/>
  <c r="AB536" i="1" a="1"/>
  <c r="AB536" i="1" s="1"/>
  <c r="AB161" i="1" a="1"/>
  <c r="AB161" i="1" s="1"/>
  <c r="AB1129" i="1" a="1"/>
  <c r="AB1129" i="1" s="1"/>
  <c r="AB499" i="1" a="1"/>
  <c r="AB499" i="1" s="1"/>
  <c r="AB1449" i="1" a="1"/>
  <c r="AB1449" i="1" s="1"/>
  <c r="AB483" i="1" a="1"/>
  <c r="AB483" i="1" s="1"/>
  <c r="AB1018" i="1" a="1"/>
  <c r="AB1018" i="1" s="1"/>
  <c r="AB128" i="1" a="1"/>
  <c r="AB128" i="1"/>
  <c r="AB1548" i="1" a="1"/>
  <c r="AB1548" i="1" s="1"/>
  <c r="AB662" i="1" a="1"/>
  <c r="AB662" i="1" s="1"/>
  <c r="AB1429" i="1" a="1"/>
  <c r="AB1429" i="1" s="1"/>
  <c r="AB1367" i="1" a="1"/>
  <c r="AB1367" i="1" s="1"/>
  <c r="AB1243" i="1" a="1"/>
  <c r="AB1243" i="1" s="1"/>
  <c r="AB397" i="1" a="1"/>
  <c r="AB397" i="1" s="1"/>
  <c r="AB1399" i="1" a="1"/>
  <c r="AB1399" i="1" s="1"/>
  <c r="AB346" i="1" a="1"/>
  <c r="AB346" i="1" s="1"/>
  <c r="AB713" i="1" a="1"/>
  <c r="AB713" i="1" s="1"/>
  <c r="AB916" i="1" a="1"/>
  <c r="AB916" i="1" s="1"/>
  <c r="AB1168" i="1" a="1"/>
  <c r="AB1168" i="1" s="1"/>
  <c r="AB830" i="1" a="1"/>
  <c r="AB830" i="1" s="1"/>
  <c r="AB1345" i="1" a="1"/>
  <c r="AB1345" i="1"/>
  <c r="AB802" i="1" a="1"/>
  <c r="AB802" i="1" s="1"/>
  <c r="AB1908" i="1" a="1"/>
  <c r="AB1908" i="1" s="1"/>
  <c r="AB1662" i="1" a="1"/>
  <c r="AB1662" i="1" s="1"/>
  <c r="AB820" i="1" a="1"/>
  <c r="AB820" i="1" s="1"/>
  <c r="AB1341" i="1" a="1"/>
  <c r="AB1341" i="1" s="1"/>
  <c r="AB1654" i="1" a="1"/>
  <c r="AB1654" i="1" s="1"/>
  <c r="AB732" i="1" a="1"/>
  <c r="AB732" i="1" s="1"/>
  <c r="AB1058" i="1" a="1"/>
  <c r="AB1058" i="1" s="1"/>
  <c r="AB1947" i="1" a="1"/>
  <c r="AB1947" i="1" s="1"/>
  <c r="AB192" i="1" a="1"/>
  <c r="AB192" i="1" s="1"/>
  <c r="AB1504" i="1" a="1"/>
  <c r="AB1504" i="1"/>
  <c r="AB110" i="1" a="1"/>
  <c r="AB110" i="1" s="1"/>
  <c r="AB1091" i="1" a="1"/>
  <c r="AB1091" i="1" s="1"/>
  <c r="AB1698" i="1" a="1"/>
  <c r="AB1698" i="1" s="1"/>
  <c r="AB352" i="1" a="1"/>
  <c r="AB352" i="1" s="1"/>
  <c r="AB84" i="1" a="1"/>
  <c r="AB84" i="1" s="1"/>
  <c r="AB1666" i="1" a="1"/>
  <c r="AB1666" i="1" s="1"/>
  <c r="AB1767" i="1" a="1"/>
  <c r="AB1767" i="1" s="1"/>
  <c r="AB1885" i="1" a="1"/>
  <c r="AB1885" i="1"/>
  <c r="AB1497" i="1" a="1"/>
  <c r="AB1497" i="1" s="1"/>
  <c r="AB1360" i="1" a="1"/>
  <c r="AB1360" i="1" s="1"/>
  <c r="AB1514" i="1" a="1"/>
  <c r="AB1514" i="1" s="1"/>
  <c r="AB1319" i="1" a="1"/>
  <c r="AB1319" i="1" s="1"/>
  <c r="AB769" i="1" a="1"/>
  <c r="AB769" i="1" s="1"/>
  <c r="AB1994" i="1" a="1"/>
  <c r="AB1994" i="1" s="1"/>
  <c r="AB1084" i="1" a="1"/>
  <c r="AB1084" i="1" s="1"/>
  <c r="AB1132" i="1" a="1"/>
  <c r="AB1132" i="1" s="1"/>
  <c r="AB525" i="1" a="1"/>
  <c r="AB525" i="1" s="1"/>
  <c r="AB764" i="1" a="1"/>
  <c r="AB764" i="1" s="1"/>
  <c r="AB644" i="1" a="1"/>
  <c r="AB644" i="1" s="1"/>
  <c r="AB1477" i="1" a="1"/>
  <c r="AB1477" i="1" s="1"/>
  <c r="AB849" i="1" a="1"/>
  <c r="AB849" i="1" s="1"/>
  <c r="AB1573" i="1" a="1"/>
  <c r="AB1573" i="1" s="1"/>
  <c r="AB1106" i="1" a="1"/>
  <c r="AB1106" i="1" s="1"/>
  <c r="AB894" i="1" a="1"/>
  <c r="AB894" i="1" s="1"/>
  <c r="AB275" i="1" a="1"/>
  <c r="AB275" i="1" s="1"/>
  <c r="AB218" i="1" a="1"/>
  <c r="AB218" i="1" s="1"/>
  <c r="AB748" i="1" a="1"/>
  <c r="AB748" i="1" s="1"/>
  <c r="AB232" i="1" a="1"/>
  <c r="AB232" i="1" s="1"/>
  <c r="AB286" i="1" a="1"/>
  <c r="AB286" i="1" s="1"/>
  <c r="AB630" i="1" a="1"/>
  <c r="AB630" i="1" s="1"/>
  <c r="AB990" i="1" a="1"/>
  <c r="AB990" i="1" s="1"/>
  <c r="AB1755" i="1" a="1"/>
  <c r="AB1755" i="1" s="1"/>
  <c r="AB121" i="1" a="1"/>
  <c r="AB121" i="1" s="1"/>
  <c r="AB683" i="1" a="1"/>
  <c r="AB683" i="1" s="1"/>
  <c r="AB1657" i="1" a="1"/>
  <c r="AB1657" i="1"/>
  <c r="AB663" i="1" a="1"/>
  <c r="AB663" i="1" s="1"/>
  <c r="AB783" i="1" a="1"/>
  <c r="AB783" i="1" s="1"/>
  <c r="AB438" i="1" a="1"/>
  <c r="AB438" i="1" s="1"/>
  <c r="AB797" i="1" a="1"/>
  <c r="AB797" i="1" s="1"/>
  <c r="AB219" i="1" a="1"/>
  <c r="AB219" i="1" s="1"/>
  <c r="AB1876" i="1" a="1"/>
  <c r="AB1876" i="1" s="1"/>
  <c r="AB711" i="1" a="1"/>
  <c r="AB711" i="1" s="1"/>
  <c r="AB1094" i="1" a="1"/>
  <c r="AB1094" i="1" s="1"/>
  <c r="AB575" i="1" a="1"/>
  <c r="AB575" i="1"/>
  <c r="AB1387" i="1" a="1"/>
  <c r="AB1387" i="1" s="1"/>
  <c r="AB151" i="1" a="1"/>
  <c r="AB151" i="1" s="1"/>
  <c r="AB1071" i="1" a="1"/>
  <c r="AB1071" i="1" s="1"/>
  <c r="AB349" i="1" a="1"/>
  <c r="AB349" i="1" s="1"/>
  <c r="AB95" i="1" a="1"/>
  <c r="AB95" i="1" s="1"/>
  <c r="AB773" i="1" a="1"/>
  <c r="AB773" i="1" s="1"/>
  <c r="AB1816" i="1" a="1"/>
  <c r="AB1816" i="1" s="1"/>
  <c r="AB1219" i="1" a="1"/>
  <c r="AB1219" i="1" s="1"/>
  <c r="AB334" i="1" a="1"/>
  <c r="AB334" i="1"/>
  <c r="AB1118" i="1" a="1"/>
  <c r="AB1118" i="1" s="1"/>
  <c r="AB664" i="1" a="1"/>
  <c r="AB664" i="1" s="1"/>
  <c r="AB514" i="1" a="1"/>
  <c r="AB514" i="1" s="1"/>
  <c r="AB1902" i="1" a="1"/>
  <c r="AB1902" i="1" s="1"/>
  <c r="AB677" i="1" a="1"/>
  <c r="AB677" i="1" s="1"/>
  <c r="AB1609" i="1" a="1"/>
  <c r="AB1609" i="1" s="1"/>
  <c r="AB503" i="1" a="1"/>
  <c r="AB503" i="1" s="1"/>
  <c r="AB576" i="1" a="1"/>
  <c r="AB576" i="1" s="1"/>
  <c r="AB1020" i="1" a="1"/>
  <c r="AB1020" i="1" s="1"/>
  <c r="AB1581" i="1" a="1"/>
  <c r="AB1581" i="1" s="1"/>
  <c r="AB1087" i="1" a="1"/>
  <c r="AB1087" i="1" s="1"/>
  <c r="AB1714" i="1" a="1"/>
  <c r="AB1714" i="1" s="1"/>
  <c r="AB1549" i="1" a="1"/>
  <c r="AB1549" i="1" s="1"/>
  <c r="AB1159" i="1" a="1"/>
  <c r="AB1159" i="1" s="1"/>
  <c r="AB1348" i="1" a="1"/>
  <c r="AB1348" i="1" s="1"/>
  <c r="AB1439" i="1" a="1"/>
  <c r="AB1439" i="1" s="1"/>
  <c r="AB371" i="1" a="1"/>
  <c r="AB371" i="1" s="1"/>
  <c r="AB1923" i="1" a="1"/>
  <c r="AB1923" i="1" s="1"/>
  <c r="AB287" i="1" a="1"/>
  <c r="AB287" i="1" s="1"/>
  <c r="AB571" i="1" a="1"/>
  <c r="AB571" i="1" s="1"/>
  <c r="AB1523" i="1" a="1"/>
  <c r="AB1523" i="1" s="1"/>
  <c r="AB493" i="1" a="1"/>
  <c r="AB493" i="1" s="1"/>
  <c r="AB1236" i="1" a="1"/>
  <c r="AB1236" i="1" s="1"/>
  <c r="AB251" i="1" a="1"/>
  <c r="AB251" i="1" s="1"/>
  <c r="AB746" i="1" a="1"/>
  <c r="AB746" i="1"/>
  <c r="AB1405" i="1" a="1"/>
  <c r="AB1405" i="1" s="1"/>
  <c r="AB747" i="1" a="1"/>
  <c r="AB747" i="1" s="1"/>
  <c r="AB577" i="1" a="1"/>
  <c r="AB577" i="1" s="1"/>
  <c r="AB447" i="1" a="1"/>
  <c r="AB447" i="1" s="1"/>
  <c r="AB1212" i="1" a="1"/>
  <c r="AB1212" i="1"/>
  <c r="AB903" i="1" a="1"/>
  <c r="AB903" i="1" s="1"/>
  <c r="AB320" i="1" a="1"/>
  <c r="AB320" i="1" s="1"/>
  <c r="AB1641" i="1" a="1"/>
  <c r="AB1641" i="1" s="1"/>
  <c r="AB1135" i="1" a="1"/>
  <c r="AB1135" i="1" s="1"/>
  <c r="AB1435" i="1" a="1"/>
  <c r="AB1435" i="1" s="1"/>
  <c r="AB1190" i="1" a="1"/>
  <c r="AB1190" i="1" s="1"/>
  <c r="AB487" i="1" a="1"/>
  <c r="AB487" i="1" s="1"/>
  <c r="AB1756" i="1" a="1"/>
  <c r="AB1756" i="1" s="1"/>
  <c r="AB1133" i="1" a="1"/>
  <c r="AB1133" i="1" s="1"/>
  <c r="AB90" i="1" a="1"/>
  <c r="AB90" i="1" s="1"/>
  <c r="AB1859" i="1" a="1"/>
  <c r="AB1859" i="1" s="1"/>
  <c r="AB294" i="1" a="1"/>
  <c r="AB294" i="1" s="1"/>
  <c r="AB668" i="1" a="1"/>
  <c r="AB668" i="1" s="1"/>
  <c r="AB1667" i="1" a="1"/>
  <c r="AB1667" i="1" s="1"/>
  <c r="AB1934" i="1" a="1"/>
  <c r="AB1934" i="1" s="1"/>
  <c r="AB1378" i="1" a="1"/>
  <c r="AB1378" i="1" s="1"/>
  <c r="AB1312" i="1" a="1"/>
  <c r="AB1312" i="1" s="1"/>
  <c r="AB1733" i="1" a="1"/>
  <c r="AB1733" i="1" s="1"/>
  <c r="AB987" i="1" a="1"/>
  <c r="AB987" i="1" s="1"/>
  <c r="AB695" i="1" a="1"/>
  <c r="AB695" i="1" s="1"/>
  <c r="AB1355" i="1" a="1"/>
  <c r="AB1355" i="1" s="1"/>
  <c r="AB1147" i="1" a="1"/>
  <c r="AB1147" i="1" s="1"/>
  <c r="AB1520" i="1" a="1"/>
  <c r="AB1520" i="1" s="1"/>
  <c r="AB991" i="1" a="1"/>
  <c r="AB991" i="1" s="1"/>
  <c r="AB1948" i="1" a="1"/>
  <c r="AB1948" i="1" s="1"/>
  <c r="AB669" i="1" a="1"/>
  <c r="AB669" i="1" s="1"/>
  <c r="AB1599" i="1" a="1"/>
  <c r="AB1599" i="1" s="1"/>
  <c r="AB1505" i="1" a="1"/>
  <c r="AB1505" i="1" s="1"/>
  <c r="H5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<sst xmlns="http://schemas.openxmlformats.org/spreadsheetml/2006/main" count="24086" uniqueCount="4055">
  <si>
    <t>Customer_ID</t>
  </si>
  <si>
    <t>Name</t>
  </si>
  <si>
    <t>Age</t>
  </si>
  <si>
    <t>Gender</t>
  </si>
  <si>
    <t>Marital_Status</t>
  </si>
  <si>
    <t>Education</t>
  </si>
  <si>
    <t>Employment_Status</t>
  </si>
  <si>
    <t>Annual_Income</t>
  </si>
  <si>
    <t>Credit_Score</t>
  </si>
  <si>
    <t>Loan_Amount</t>
  </si>
  <si>
    <t>Loan_Term_Months</t>
  </si>
  <si>
    <t>Interest_Rate</t>
  </si>
  <si>
    <t>Loan_Purpose</t>
  </si>
  <si>
    <t>Property_Ownership</t>
  </si>
  <si>
    <t>Residence_Years</t>
  </si>
  <si>
    <t>Dependents</t>
  </si>
  <si>
    <t>Bank_Account</t>
  </si>
  <si>
    <t>Credit_Card</t>
  </si>
  <si>
    <t>Existing_Loans_Count</t>
  </si>
  <si>
    <t>Total_Loan_Amount</t>
  </si>
  <si>
    <t>Monthly_Debt</t>
  </si>
  <si>
    <t>Debt_to_Income_Ratio</t>
  </si>
  <si>
    <t>Loan_Application_Date</t>
  </si>
  <si>
    <t>Loan_Approval_Status</t>
  </si>
  <si>
    <t>Default_Status</t>
  </si>
  <si>
    <t>Brett Morton</t>
  </si>
  <si>
    <t>Male</t>
  </si>
  <si>
    <t>Single</t>
  </si>
  <si>
    <t>Graduate</t>
  </si>
  <si>
    <t>Unemployed</t>
  </si>
  <si>
    <t>Owned</t>
  </si>
  <si>
    <t>Yes</t>
  </si>
  <si>
    <t>Rejected</t>
  </si>
  <si>
    <t>No</t>
  </si>
  <si>
    <t>Lauren Jensen</t>
  </si>
  <si>
    <t>Widowed</t>
  </si>
  <si>
    <t>High School</t>
  </si>
  <si>
    <t>Business</t>
  </si>
  <si>
    <t>Approved</t>
  </si>
  <si>
    <t>Miss Crystal Zimmerman PhD</t>
  </si>
  <si>
    <t>Employed</t>
  </si>
  <si>
    <t>Home</t>
  </si>
  <si>
    <t>Kelli Nelson</t>
  </si>
  <si>
    <t>Felicia Anderson</t>
  </si>
  <si>
    <t>Female</t>
  </si>
  <si>
    <t>Married</t>
  </si>
  <si>
    <t>Medical</t>
  </si>
  <si>
    <t>Rented</t>
  </si>
  <si>
    <t>Christine Green</t>
  </si>
  <si>
    <t>Meghan Jackson</t>
  </si>
  <si>
    <t>Mortgaged</t>
  </si>
  <si>
    <t>Alexander Taylor</t>
  </si>
  <si>
    <t>Car</t>
  </si>
  <si>
    <t>Corey Glass</t>
  </si>
  <si>
    <t>PhD</t>
  </si>
  <si>
    <t>Allison James</t>
  </si>
  <si>
    <t>Divorced</t>
  </si>
  <si>
    <t>Retired</t>
  </si>
  <si>
    <t>Michael Young</t>
  </si>
  <si>
    <t>Self-employed</t>
  </si>
  <si>
    <t>Grant Smith</t>
  </si>
  <si>
    <t>Postgraduate</t>
  </si>
  <si>
    <t>Mary Alexander</t>
  </si>
  <si>
    <t>Personal</t>
  </si>
  <si>
    <t>Collin Foster</t>
  </si>
  <si>
    <t>Diane Schwartz</t>
  </si>
  <si>
    <t>Robert Weaver</t>
  </si>
  <si>
    <t>Zachary Brandt</t>
  </si>
  <si>
    <t>Peggy Jackson</t>
  </si>
  <si>
    <t>Michael Boyle</t>
  </si>
  <si>
    <t>Jorge Tyler</t>
  </si>
  <si>
    <t>Antonio Parker</t>
  </si>
  <si>
    <t>Hailey Lopez</t>
  </si>
  <si>
    <t>Damon Rogers</t>
  </si>
  <si>
    <t>Jose Martinez</t>
  </si>
  <si>
    <t>Steven Lee</t>
  </si>
  <si>
    <t>Samuel Ramos</t>
  </si>
  <si>
    <t>Joshua Williams</t>
  </si>
  <si>
    <t>Cindy Hartman</t>
  </si>
  <si>
    <t>Janet Turner</t>
  </si>
  <si>
    <t>Rhonda Brown</t>
  </si>
  <si>
    <t>John Washington</t>
  </si>
  <si>
    <t>Cristina Brown MD</t>
  </si>
  <si>
    <t>Anna Nicholson</t>
  </si>
  <si>
    <t>Connie Hill</t>
  </si>
  <si>
    <t>Jay Benson</t>
  </si>
  <si>
    <t>Megan Castro</t>
  </si>
  <si>
    <t>Patricia Fernandez</t>
  </si>
  <si>
    <t>Dustin Cooley</t>
  </si>
  <si>
    <t>Erin White</t>
  </si>
  <si>
    <t>Michael Waters</t>
  </si>
  <si>
    <t>David Romero</t>
  </si>
  <si>
    <t>Michael Warner</t>
  </si>
  <si>
    <t>Diane King</t>
  </si>
  <si>
    <t>Matthew Delgado</t>
  </si>
  <si>
    <t>Valerie Mckee</t>
  </si>
  <si>
    <t>Charles Hogan</t>
  </si>
  <si>
    <t>Brian Wall</t>
  </si>
  <si>
    <t>Kevin Carter</t>
  </si>
  <si>
    <t>Tamara Blair</t>
  </si>
  <si>
    <t>Stacy Harper</t>
  </si>
  <si>
    <t>Luis Hoffman</t>
  </si>
  <si>
    <t>Tanner Diaz</t>
  </si>
  <si>
    <t>Jessica Hamilton</t>
  </si>
  <si>
    <t>Brittany Fuller</t>
  </si>
  <si>
    <t>Chris Bridges</t>
  </si>
  <si>
    <t>Jordan Chung</t>
  </si>
  <si>
    <t>John Vega</t>
  </si>
  <si>
    <t>Kevin Powers</t>
  </si>
  <si>
    <t>Angela Moran</t>
  </si>
  <si>
    <t>Cynthia Bradford</t>
  </si>
  <si>
    <t>Colleen Collins</t>
  </si>
  <si>
    <t>Tristan Pena</t>
  </si>
  <si>
    <t>George Moody</t>
  </si>
  <si>
    <t>Chelsea Wood</t>
  </si>
  <si>
    <t>Stephanie Thornton</t>
  </si>
  <si>
    <t>Cody Smith</t>
  </si>
  <si>
    <t>Tammy Shannon</t>
  </si>
  <si>
    <t>Anthony Finley</t>
  </si>
  <si>
    <t>Belinda Hogan</t>
  </si>
  <si>
    <t>Rhonda Smith</t>
  </si>
  <si>
    <t>Amy Barrett</t>
  </si>
  <si>
    <t>Michelle Murphy DDS</t>
  </si>
  <si>
    <t>Tammy Valdez</t>
  </si>
  <si>
    <t>Andrew Davenport</t>
  </si>
  <si>
    <t>Brian Lewis</t>
  </si>
  <si>
    <t>Clifford Rivers</t>
  </si>
  <si>
    <t>Jackson Jimenez DVM</t>
  </si>
  <si>
    <t>William Brown</t>
  </si>
  <si>
    <t>Pamela Sanders</t>
  </si>
  <si>
    <t>Raymond Miller</t>
  </si>
  <si>
    <t>Rachel Mckee</t>
  </si>
  <si>
    <t>Nathan Carter</t>
  </si>
  <si>
    <t>Natalie Brown</t>
  </si>
  <si>
    <t>Mary Hansen DVM</t>
  </si>
  <si>
    <t>Tamara Kim</t>
  </si>
  <si>
    <t>Nathan Dodson</t>
  </si>
  <si>
    <t>Eugene Smith</t>
  </si>
  <si>
    <t>Anna Douglas</t>
  </si>
  <si>
    <t>Eric Olsen</t>
  </si>
  <si>
    <t>Ashley Williams</t>
  </si>
  <si>
    <t>Anita Newman</t>
  </si>
  <si>
    <t>Greg James</t>
  </si>
  <si>
    <t>Lynn Bailey</t>
  </si>
  <si>
    <t>Pamela Green</t>
  </si>
  <si>
    <t>Michelle Morgan</t>
  </si>
  <si>
    <t>Emily Morrison</t>
  </si>
  <si>
    <t>Gloria Irwin</t>
  </si>
  <si>
    <t>Monique Thompson</t>
  </si>
  <si>
    <t>Gilbert Hampton</t>
  </si>
  <si>
    <t>Megan Carpenter</t>
  </si>
  <si>
    <t>Ashley Shelton</t>
  </si>
  <si>
    <t>Robert Richards</t>
  </si>
  <si>
    <t>Robert Perkins</t>
  </si>
  <si>
    <t>Victoria Wheeler</t>
  </si>
  <si>
    <t>Angela Smith</t>
  </si>
  <si>
    <t>Nathaniel Smith</t>
  </si>
  <si>
    <t>Michael Garcia MD</t>
  </si>
  <si>
    <t>James Burns</t>
  </si>
  <si>
    <t>Mrs. Ashley Ellis</t>
  </si>
  <si>
    <t>Andrew Navarro</t>
  </si>
  <si>
    <t>Kimberly Hodges</t>
  </si>
  <si>
    <t>Julia Mata</t>
  </si>
  <si>
    <t>Brian Kim</t>
  </si>
  <si>
    <t>Shannon Alvarado</t>
  </si>
  <si>
    <t>Teresa Haney</t>
  </si>
  <si>
    <t>Ruth Rivera</t>
  </si>
  <si>
    <t>Adam Walter</t>
  </si>
  <si>
    <t>Leonard Thompson</t>
  </si>
  <si>
    <t>David Fletcher</t>
  </si>
  <si>
    <t>Anne Grant</t>
  </si>
  <si>
    <t>Morgan Turner</t>
  </si>
  <si>
    <t>Raymond Martin</t>
  </si>
  <si>
    <t>Cynthia Johnson</t>
  </si>
  <si>
    <t>Jennifer Morgan</t>
  </si>
  <si>
    <t>William Warren</t>
  </si>
  <si>
    <t>Michele Smith</t>
  </si>
  <si>
    <t>Richard Walsh</t>
  </si>
  <si>
    <t>Jack Brown</t>
  </si>
  <si>
    <t>Mark Brown</t>
  </si>
  <si>
    <t>Pamela Webb</t>
  </si>
  <si>
    <t>Scott Rice</t>
  </si>
  <si>
    <t>Makayla Adams</t>
  </si>
  <si>
    <t>Joshua Eaton</t>
  </si>
  <si>
    <t>Don Haney</t>
  </si>
  <si>
    <t>Brandon Potts</t>
  </si>
  <si>
    <t>Jonathan Taylor</t>
  </si>
  <si>
    <t>Lisa Elliott</t>
  </si>
  <si>
    <t>Kenneth Richardson</t>
  </si>
  <si>
    <t>Michelle Jones</t>
  </si>
  <si>
    <t>Sharon Jensen</t>
  </si>
  <si>
    <t>Steven Nelson</t>
  </si>
  <si>
    <t>Alicia Jackson</t>
  </si>
  <si>
    <t>Christine Russo</t>
  </si>
  <si>
    <t>Drew Berry</t>
  </si>
  <si>
    <t>Sherry Thompson</t>
  </si>
  <si>
    <t>Jacob Deleon</t>
  </si>
  <si>
    <t>Richard Jones</t>
  </si>
  <si>
    <t>Frederick Flores</t>
  </si>
  <si>
    <t>Nathan Dawson</t>
  </si>
  <si>
    <t>Allison Wilson</t>
  </si>
  <si>
    <t>Aaron Rhodes</t>
  </si>
  <si>
    <t>Ashley Perez</t>
  </si>
  <si>
    <t>Mark Holmes</t>
  </si>
  <si>
    <t>Elizabeth Hall</t>
  </si>
  <si>
    <t>Craig Jones</t>
  </si>
  <si>
    <t>Jonathan Mendoza</t>
  </si>
  <si>
    <t>Ryan Bright</t>
  </si>
  <si>
    <t>Lisa Christian</t>
  </si>
  <si>
    <t>Michelle Hamilton</t>
  </si>
  <si>
    <t>Travis Tyler</t>
  </si>
  <si>
    <t>Eugene Castro</t>
  </si>
  <si>
    <t>Miranda Stevens</t>
  </si>
  <si>
    <t>Jenny Tran</t>
  </si>
  <si>
    <t>Rose Wilson</t>
  </si>
  <si>
    <t>Danielle Hickman</t>
  </si>
  <si>
    <t>Tara Skinner PhD</t>
  </si>
  <si>
    <t>Eric Johnson</t>
  </si>
  <si>
    <t>Matthew West</t>
  </si>
  <si>
    <t>Jennifer Davis</t>
  </si>
  <si>
    <t>James Wilson</t>
  </si>
  <si>
    <t>Stephanie Martin</t>
  </si>
  <si>
    <t>John Bell</t>
  </si>
  <si>
    <t>Dominique Young</t>
  </si>
  <si>
    <t>Michelle Brown</t>
  </si>
  <si>
    <t>Robert Bell</t>
  </si>
  <si>
    <t>Linda Taylor</t>
  </si>
  <si>
    <t>Anna Jones</t>
  </si>
  <si>
    <t>Ashley Jackson</t>
  </si>
  <si>
    <t>Larry Walters</t>
  </si>
  <si>
    <t>Sean James</t>
  </si>
  <si>
    <t>Samuel Stone</t>
  </si>
  <si>
    <t>Joyce Guerra</t>
  </si>
  <si>
    <t>Andrew Wilson</t>
  </si>
  <si>
    <t>Jason Diaz</t>
  </si>
  <si>
    <t>Craig Miller</t>
  </si>
  <si>
    <t>Karen Lester</t>
  </si>
  <si>
    <t>Steven Stevens</t>
  </si>
  <si>
    <t>Katie Harvey</t>
  </si>
  <si>
    <t>Kathleen Riley</t>
  </si>
  <si>
    <t>Sandra Smith</t>
  </si>
  <si>
    <t>Kathryn Smith</t>
  </si>
  <si>
    <t>Luis Smith</t>
  </si>
  <si>
    <t>Deborah Davis</t>
  </si>
  <si>
    <t>Michael Taylor</t>
  </si>
  <si>
    <t>Jack Wells</t>
  </si>
  <si>
    <t>Lori Dawson</t>
  </si>
  <si>
    <t>Tiffany Payne</t>
  </si>
  <si>
    <t>Michael Bennett</t>
  </si>
  <si>
    <t>Samantha Brennan</t>
  </si>
  <si>
    <t>Sarah Little</t>
  </si>
  <si>
    <t>Alyssa White</t>
  </si>
  <si>
    <t>Caroline Cruz</t>
  </si>
  <si>
    <t>Steven Webb</t>
  </si>
  <si>
    <t>Samuel Myers MD</t>
  </si>
  <si>
    <t>Christina Soto</t>
  </si>
  <si>
    <t>Sophia Allen</t>
  </si>
  <si>
    <t>Timothy Hooper</t>
  </si>
  <si>
    <t>Sean Shields</t>
  </si>
  <si>
    <t>Diane Owens</t>
  </si>
  <si>
    <t>David Barnes</t>
  </si>
  <si>
    <t>Joseph Watkins</t>
  </si>
  <si>
    <t>Thomas Ramirez</t>
  </si>
  <si>
    <t>William Baker</t>
  </si>
  <si>
    <t>Rose Tran</t>
  </si>
  <si>
    <t>Rita Jackson</t>
  </si>
  <si>
    <t>Christina Donovan</t>
  </si>
  <si>
    <t>Taylor Green</t>
  </si>
  <si>
    <t>Tami Perez</t>
  </si>
  <si>
    <t>Mary Rivera</t>
  </si>
  <si>
    <t>Natasha Snyder</t>
  </si>
  <si>
    <t>Amanda Castro</t>
  </si>
  <si>
    <t>Jessica Mccoy</t>
  </si>
  <si>
    <t>Sharon Miller</t>
  </si>
  <si>
    <t>Anna Olson</t>
  </si>
  <si>
    <t>David Little</t>
  </si>
  <si>
    <t>Michael Potter</t>
  </si>
  <si>
    <t>Gina Hughes</t>
  </si>
  <si>
    <t>Eric Keith</t>
  </si>
  <si>
    <t>Kaitlyn Williams</t>
  </si>
  <si>
    <t>Alexandra Mcclure</t>
  </si>
  <si>
    <t>Sara Lopez</t>
  </si>
  <si>
    <t>Michael Gibbs</t>
  </si>
  <si>
    <t>Melanie Berry</t>
  </si>
  <si>
    <t>Mr. Christopher Watson Jr.</t>
  </si>
  <si>
    <t>Tina Walters</t>
  </si>
  <si>
    <t>Nancy Wilson</t>
  </si>
  <si>
    <t>Mark Sanders</t>
  </si>
  <si>
    <t>Kim Frye</t>
  </si>
  <si>
    <t>Ellen Phillips</t>
  </si>
  <si>
    <t>Sharon Bell</t>
  </si>
  <si>
    <t>Jane Smith</t>
  </si>
  <si>
    <t>John Nelson</t>
  </si>
  <si>
    <t>Ashley Aguilar</t>
  </si>
  <si>
    <t>Robin Taylor</t>
  </si>
  <si>
    <t>Jacob Doyle</t>
  </si>
  <si>
    <t>Samantha Williams</t>
  </si>
  <si>
    <t>Andrew Rivera</t>
  </si>
  <si>
    <t>Craig Cannon</t>
  </si>
  <si>
    <t>Maureen Young</t>
  </si>
  <si>
    <t>Dakota Jones</t>
  </si>
  <si>
    <t>Nathan Lopez</t>
  </si>
  <si>
    <t>Randy White</t>
  </si>
  <si>
    <t>Bruce Fisher</t>
  </si>
  <si>
    <t>Patrick Marshall</t>
  </si>
  <si>
    <t>Michael Church</t>
  </si>
  <si>
    <t>Joseph Hopkins</t>
  </si>
  <si>
    <t>Heather Christensen</t>
  </si>
  <si>
    <t>Austin Barry</t>
  </si>
  <si>
    <t>Joyce Lin</t>
  </si>
  <si>
    <t>Kelly Sanchez</t>
  </si>
  <si>
    <t>Daniel Hodges</t>
  </si>
  <si>
    <t>Susan Brown</t>
  </si>
  <si>
    <t>Timothy Smith</t>
  </si>
  <si>
    <t>David Porter</t>
  </si>
  <si>
    <t>Katherine Garrett</t>
  </si>
  <si>
    <t>Melissa Anderson</t>
  </si>
  <si>
    <t>Joe Valdez</t>
  </si>
  <si>
    <t>Karen Miller</t>
  </si>
  <si>
    <t>Michelle Cooper</t>
  </si>
  <si>
    <t>Kathy Salinas</t>
  </si>
  <si>
    <t>Tabitha Miller</t>
  </si>
  <si>
    <t>Vincent Beard</t>
  </si>
  <si>
    <t>Carolyn Mckinney</t>
  </si>
  <si>
    <t>Juan Edwards</t>
  </si>
  <si>
    <t>Megan Ward</t>
  </si>
  <si>
    <t>James Erickson</t>
  </si>
  <si>
    <t>Tammy Dennis</t>
  </si>
  <si>
    <t>Nicole Gibson</t>
  </si>
  <si>
    <t>Brittany Nolan</t>
  </si>
  <si>
    <t>Rebecca Williams</t>
  </si>
  <si>
    <t>Adrian Elliott</t>
  </si>
  <si>
    <t>Paige Thomas</t>
  </si>
  <si>
    <t>Jerry Dennis</t>
  </si>
  <si>
    <t>Timothy Jones</t>
  </si>
  <si>
    <t>Javier Sullivan</t>
  </si>
  <si>
    <t>Robert Frost</t>
  </si>
  <si>
    <t>Jodi Sellers</t>
  </si>
  <si>
    <t>Corey Herrera</t>
  </si>
  <si>
    <t>Kendra Scott</t>
  </si>
  <si>
    <t>Victoria Clark</t>
  </si>
  <si>
    <t>Chad Roach</t>
  </si>
  <si>
    <t>Anthony Osborn</t>
  </si>
  <si>
    <t>Ruth Marshall</t>
  </si>
  <si>
    <t>Michael Callahan</t>
  </si>
  <si>
    <t>Charles Cox</t>
  </si>
  <si>
    <t>Richard Hernandez</t>
  </si>
  <si>
    <t>Bob Rocha</t>
  </si>
  <si>
    <t>Mike Lucas</t>
  </si>
  <si>
    <t>Brenda Brady</t>
  </si>
  <si>
    <t>Kevin Nelson</t>
  </si>
  <si>
    <t>William Werner</t>
  </si>
  <si>
    <t>Jo Nguyen</t>
  </si>
  <si>
    <t>Lauren King</t>
  </si>
  <si>
    <t>Erica Strickland MD</t>
  </si>
  <si>
    <t>Catherine Navarro</t>
  </si>
  <si>
    <t>William Levine</t>
  </si>
  <si>
    <t>Jill Peterson</t>
  </si>
  <si>
    <t>Brandon Huff</t>
  </si>
  <si>
    <t>Steven Woods</t>
  </si>
  <si>
    <t>Tara Brooks</t>
  </si>
  <si>
    <t>Robert Anderson</t>
  </si>
  <si>
    <t>Teresa Walker</t>
  </si>
  <si>
    <t>Matthew Ross</t>
  </si>
  <si>
    <t>Scott Hobbs</t>
  </si>
  <si>
    <t>Ashlee Torres</t>
  </si>
  <si>
    <t>Diane Cole</t>
  </si>
  <si>
    <t>Dr. Katherine Lynch</t>
  </si>
  <si>
    <t>Kristin Espinoza</t>
  </si>
  <si>
    <t>Amanda Mcgee</t>
  </si>
  <si>
    <t>Jaime Hill</t>
  </si>
  <si>
    <t>Robert Harvey</t>
  </si>
  <si>
    <t>Warren Powell</t>
  </si>
  <si>
    <t>Angela Garrison</t>
  </si>
  <si>
    <t>Caitlin Wheeler</t>
  </si>
  <si>
    <t>Steven Simon</t>
  </si>
  <si>
    <t>Cheryl Walters</t>
  </si>
  <si>
    <t>Brittany Cowan</t>
  </si>
  <si>
    <t>Karen Carter</t>
  </si>
  <si>
    <t>Samantha Fernandez</t>
  </si>
  <si>
    <t>Jenna Collier</t>
  </si>
  <si>
    <t>Shawn White</t>
  </si>
  <si>
    <t>Carl Smith</t>
  </si>
  <si>
    <t>Christopher Martin</t>
  </si>
  <si>
    <t>Anthony Harrison</t>
  </si>
  <si>
    <t>Samantha Miller</t>
  </si>
  <si>
    <t>Justin Day</t>
  </si>
  <si>
    <t>Katherine Bryan DVM</t>
  </si>
  <si>
    <t>Shirley Ryan</t>
  </si>
  <si>
    <t>Karen Baker</t>
  </si>
  <si>
    <t>Lance Hill</t>
  </si>
  <si>
    <t>Alexis Daniels</t>
  </si>
  <si>
    <t>Anthony Turner</t>
  </si>
  <si>
    <t>Jennifer Nelson</t>
  </si>
  <si>
    <t>Bryan Bradford</t>
  </si>
  <si>
    <t>Timothy Ryan</t>
  </si>
  <si>
    <t>Michele Cabrera</t>
  </si>
  <si>
    <t>Glenda Baxter</t>
  </si>
  <si>
    <t>Derrick Martinez</t>
  </si>
  <si>
    <t>Joseph Jacobs</t>
  </si>
  <si>
    <t>Kristen Hernandez</t>
  </si>
  <si>
    <t>Dr. Jennifer Moreno</t>
  </si>
  <si>
    <t>John Chambers</t>
  </si>
  <si>
    <t>Denise Hamilton</t>
  </si>
  <si>
    <t>James Gray</t>
  </si>
  <si>
    <t>Dawn Jackson</t>
  </si>
  <si>
    <t>Kevin Olson</t>
  </si>
  <si>
    <t>Patrick Cox</t>
  </si>
  <si>
    <t>Sandy Johnson</t>
  </si>
  <si>
    <t>Charlene Carter</t>
  </si>
  <si>
    <t>Elizabeth Riley</t>
  </si>
  <si>
    <t>Nicholas Rodriguez</t>
  </si>
  <si>
    <t>Laura Espinoza</t>
  </si>
  <si>
    <t>Christopher Scott</t>
  </si>
  <si>
    <t>Veronica Yang</t>
  </si>
  <si>
    <t>Roy White</t>
  </si>
  <si>
    <t>Christine Oneal</t>
  </si>
  <si>
    <t>Alexander Johnson</t>
  </si>
  <si>
    <t>Rebecca Allen</t>
  </si>
  <si>
    <t>Selena Jordan</t>
  </si>
  <si>
    <t>Bryan Lee</t>
  </si>
  <si>
    <t>Richard White MD</t>
  </si>
  <si>
    <t>Stephanie Baker</t>
  </si>
  <si>
    <t>Madison Oliver</t>
  </si>
  <si>
    <t>Tonya Byrd</t>
  </si>
  <si>
    <t>Jeffery Nicholson</t>
  </si>
  <si>
    <t>Tony Ryan</t>
  </si>
  <si>
    <t>Jordan Nash</t>
  </si>
  <si>
    <t>Kristen Kirk</t>
  </si>
  <si>
    <t>Sarah Robinson</t>
  </si>
  <si>
    <t>Dylan Guzman</t>
  </si>
  <si>
    <t>Joseph Wells</t>
  </si>
  <si>
    <t>Stacey Banks</t>
  </si>
  <si>
    <t>Carrie Burgess</t>
  </si>
  <si>
    <t>Norman Davis</t>
  </si>
  <si>
    <t>Edward Hughes</t>
  </si>
  <si>
    <t>Thomas Miller</t>
  </si>
  <si>
    <t>Brandon Lutz</t>
  </si>
  <si>
    <t>Stacy White</t>
  </si>
  <si>
    <t>Alexander Miller</t>
  </si>
  <si>
    <t>John Edwards</t>
  </si>
  <si>
    <t>Angela Clark</t>
  </si>
  <si>
    <t>Jose Harvey</t>
  </si>
  <si>
    <t>Kenneth Beltran</t>
  </si>
  <si>
    <t>David Underwood</t>
  </si>
  <si>
    <t>David Daugherty</t>
  </si>
  <si>
    <t>Amber Price</t>
  </si>
  <si>
    <t>Carolyn Hardy</t>
  </si>
  <si>
    <t>Amy Clark</t>
  </si>
  <si>
    <t>James Phillips</t>
  </si>
  <si>
    <t>Miranda Serrano</t>
  </si>
  <si>
    <t>Christopher Mcmillan</t>
  </si>
  <si>
    <t>Natalie Hinton</t>
  </si>
  <si>
    <t>Austin Cunningham</t>
  </si>
  <si>
    <t>Tiffany Cervantes</t>
  </si>
  <si>
    <t>James Caldwell</t>
  </si>
  <si>
    <t>Patricia Velasquez</t>
  </si>
  <si>
    <t>Lisa Armstrong</t>
  </si>
  <si>
    <t>Amy Carter</t>
  </si>
  <si>
    <t>Robert Harper</t>
  </si>
  <si>
    <t>Bradley Chandler</t>
  </si>
  <si>
    <t>Brooke Sloan</t>
  </si>
  <si>
    <t>Shelby Graham</t>
  </si>
  <si>
    <t>James Pacheco</t>
  </si>
  <si>
    <t>Scott Hunt</t>
  </si>
  <si>
    <t>Tracey Allen</t>
  </si>
  <si>
    <t>Emily King</t>
  </si>
  <si>
    <t>Ricky Huffman</t>
  </si>
  <si>
    <t>Jeremy Williams</t>
  </si>
  <si>
    <t>Mark Rice</t>
  </si>
  <si>
    <t>Emma Aguilar</t>
  </si>
  <si>
    <t>Patricia Lee</t>
  </si>
  <si>
    <t>Tracey Lawson</t>
  </si>
  <si>
    <t>William Gordon</t>
  </si>
  <si>
    <t>Dennis Olson</t>
  </si>
  <si>
    <t>Allison Dunlap</t>
  </si>
  <si>
    <t>Shane Parker</t>
  </si>
  <si>
    <t>Jason Johnson</t>
  </si>
  <si>
    <t>Claire Mitchell</t>
  </si>
  <si>
    <t>Tyler Wood</t>
  </si>
  <si>
    <t>Jason Boone</t>
  </si>
  <si>
    <t>Matthew Fields</t>
  </si>
  <si>
    <t>Steven Jackson</t>
  </si>
  <si>
    <t>Lauren Collins</t>
  </si>
  <si>
    <t>Gary Pena</t>
  </si>
  <si>
    <t>James Wilkerson</t>
  </si>
  <si>
    <t>Douglas Brown</t>
  </si>
  <si>
    <t>Samantha Warner</t>
  </si>
  <si>
    <t>Theresa Taylor</t>
  </si>
  <si>
    <t>Christopher Wyatt</t>
  </si>
  <si>
    <t>Phillip Orozco</t>
  </si>
  <si>
    <t>Kimberly Villegas</t>
  </si>
  <si>
    <t>Michelle Simpson</t>
  </si>
  <si>
    <t>Jacob Salazar</t>
  </si>
  <si>
    <t>Sarah White</t>
  </si>
  <si>
    <t>Ronald Odom</t>
  </si>
  <si>
    <t>Julie Sanchez</t>
  </si>
  <si>
    <t>Kathryn Mason</t>
  </si>
  <si>
    <t>Kenneth Harris</t>
  </si>
  <si>
    <t>Michael Little</t>
  </si>
  <si>
    <t>Megan Farmer</t>
  </si>
  <si>
    <t>Jason Wright</t>
  </si>
  <si>
    <t>Angel Reynolds</t>
  </si>
  <si>
    <t>Andrea Perez</t>
  </si>
  <si>
    <t>Debra Weber</t>
  </si>
  <si>
    <t>Chelsea Shields</t>
  </si>
  <si>
    <t>Angela Johnson</t>
  </si>
  <si>
    <t>Dennis Perry</t>
  </si>
  <si>
    <t>Heather Bass</t>
  </si>
  <si>
    <t>Jessica Hayes</t>
  </si>
  <si>
    <t>Nathan Chen</t>
  </si>
  <si>
    <t>Latoya Smith</t>
  </si>
  <si>
    <t>Steven Nguyen</t>
  </si>
  <si>
    <t>John Martinez</t>
  </si>
  <si>
    <t>Samantha Bradley</t>
  </si>
  <si>
    <t>Michael Armstrong</t>
  </si>
  <si>
    <t>Amber Fernandez</t>
  </si>
  <si>
    <t>Angelica Nichols</t>
  </si>
  <si>
    <t>Dylan Kaiser</t>
  </si>
  <si>
    <t>Brooke Lin</t>
  </si>
  <si>
    <t>Shannon Smith</t>
  </si>
  <si>
    <t>Brian Myers</t>
  </si>
  <si>
    <t>Andrew Taylor</t>
  </si>
  <si>
    <t>Nicole Garrison</t>
  </si>
  <si>
    <t>Danielle Griffin</t>
  </si>
  <si>
    <t>Julia Richards</t>
  </si>
  <si>
    <t>Luke Petersen</t>
  </si>
  <si>
    <t>Susan Taylor</t>
  </si>
  <si>
    <t>Christopher Chase</t>
  </si>
  <si>
    <t>James King</t>
  </si>
  <si>
    <t>Rebecca Lopez</t>
  </si>
  <si>
    <t>Jeffrey Williams</t>
  </si>
  <si>
    <t>Robert Williamson</t>
  </si>
  <si>
    <t>Haley Ritter</t>
  </si>
  <si>
    <t>Lori Mcpherson</t>
  </si>
  <si>
    <t>Joel Smith</t>
  </si>
  <si>
    <t>Andrew Alexander</t>
  </si>
  <si>
    <t>Megan Valdez DDS</t>
  </si>
  <si>
    <t>Barbara Wise</t>
  </si>
  <si>
    <t>Johnathan Franklin</t>
  </si>
  <si>
    <t>Donna Welch</t>
  </si>
  <si>
    <t>Michael Wilson</t>
  </si>
  <si>
    <t>Jerry Wang</t>
  </si>
  <si>
    <t>Regina Wilson</t>
  </si>
  <si>
    <t>Brian Sellers</t>
  </si>
  <si>
    <t>Sandra Nelson</t>
  </si>
  <si>
    <t>Jordan Gonzales</t>
  </si>
  <si>
    <t>Meagan Pierce</t>
  </si>
  <si>
    <t>Christine Lewis</t>
  </si>
  <si>
    <t>Joel Malone</t>
  </si>
  <si>
    <t>Angela Nelson</t>
  </si>
  <si>
    <t>Devon Valenzuela</t>
  </si>
  <si>
    <t>Kyle Douglas MD</t>
  </si>
  <si>
    <t>Michael Wu</t>
  </si>
  <si>
    <t>David Rodriguez</t>
  </si>
  <si>
    <t>Mark Avila</t>
  </si>
  <si>
    <t>Stephen Maldonado</t>
  </si>
  <si>
    <t>Scott Mcdonald</t>
  </si>
  <si>
    <t>Darren Barton</t>
  </si>
  <si>
    <t>Zachary Briggs</t>
  </si>
  <si>
    <t>Timothy Carter</t>
  </si>
  <si>
    <t>Kayla Jones</t>
  </si>
  <si>
    <t>Alison Kennedy</t>
  </si>
  <si>
    <t>Tyler Schneider</t>
  </si>
  <si>
    <t>Colin Baird</t>
  </si>
  <si>
    <t>Amber Salazar</t>
  </si>
  <si>
    <t>Karen Pacheco</t>
  </si>
  <si>
    <t>Brian Newman</t>
  </si>
  <si>
    <t>Patrick Smith</t>
  </si>
  <si>
    <t>Edward Santana</t>
  </si>
  <si>
    <t>Hannah Thomas</t>
  </si>
  <si>
    <t>Jenna Washington</t>
  </si>
  <si>
    <t>Angela Miller</t>
  </si>
  <si>
    <t>Mrs. Leslie Barrett MD</t>
  </si>
  <si>
    <t>Amanda Berry</t>
  </si>
  <si>
    <t>Nancy Todd</t>
  </si>
  <si>
    <t>Kurt Herrera</t>
  </si>
  <si>
    <t>Desiree Warner</t>
  </si>
  <si>
    <t>Tiffany Hill</t>
  </si>
  <si>
    <t>Maria Hansen</t>
  </si>
  <si>
    <t>Jamie Valencia</t>
  </si>
  <si>
    <t>Lisa Hall</t>
  </si>
  <si>
    <t>Robert Hull</t>
  </si>
  <si>
    <t>Jacqueline Moore</t>
  </si>
  <si>
    <t>Matthew Jennings</t>
  </si>
  <si>
    <t>Hunter Howard</t>
  </si>
  <si>
    <t>Jason Reyes</t>
  </si>
  <si>
    <t>Ricardo Fowler</t>
  </si>
  <si>
    <t>David Hall</t>
  </si>
  <si>
    <t>Lydia Young</t>
  </si>
  <si>
    <t>Derek Thompson MD</t>
  </si>
  <si>
    <t>Ryan Wheeler</t>
  </si>
  <si>
    <t>Eric Rodriguez</t>
  </si>
  <si>
    <t>Dustin Meyers</t>
  </si>
  <si>
    <t>Joseph Stewart</t>
  </si>
  <si>
    <t>Mr. Phillip Rosario</t>
  </si>
  <si>
    <t>Tracy Smith</t>
  </si>
  <si>
    <t>Andrew Phillips</t>
  </si>
  <si>
    <t>Michael Mueller</t>
  </si>
  <si>
    <t>Melissa Ramirez</t>
  </si>
  <si>
    <t>Troy Jordan</t>
  </si>
  <si>
    <t>Tonya Stevens</t>
  </si>
  <si>
    <t>Rachel Everett</t>
  </si>
  <si>
    <t>Julia Reyes</t>
  </si>
  <si>
    <t>Travis Shaw</t>
  </si>
  <si>
    <t>Heather Sullivan</t>
  </si>
  <si>
    <t>Anthony Knox</t>
  </si>
  <si>
    <t>Robin Duncan</t>
  </si>
  <si>
    <t>Earl Hernandez</t>
  </si>
  <si>
    <t>Isaiah Kennedy</t>
  </si>
  <si>
    <t>Rhonda Ford</t>
  </si>
  <si>
    <t>Kelly Doyle</t>
  </si>
  <si>
    <t>John Graves</t>
  </si>
  <si>
    <t>Jordan Barnett</t>
  </si>
  <si>
    <t>Marco Garcia</t>
  </si>
  <si>
    <t>Ruben Garcia</t>
  </si>
  <si>
    <t>Sean Cooke</t>
  </si>
  <si>
    <t>Claudia Duke</t>
  </si>
  <si>
    <t>Phillip Sanchez</t>
  </si>
  <si>
    <t>Suzanne Thompson</t>
  </si>
  <si>
    <t>Rebecca Gomez</t>
  </si>
  <si>
    <t>Robin Williams</t>
  </si>
  <si>
    <t>Allison White</t>
  </si>
  <si>
    <t>Carolyn Riley</t>
  </si>
  <si>
    <t>Michael Mcconnell</t>
  </si>
  <si>
    <t>Amy Mcclure</t>
  </si>
  <si>
    <t>David Parks</t>
  </si>
  <si>
    <t>Yesenia Lang</t>
  </si>
  <si>
    <t>Christopher Dean</t>
  </si>
  <si>
    <t>Jordan Williams</t>
  </si>
  <si>
    <t>Shelly Miller</t>
  </si>
  <si>
    <t>Sarah Rodriguez</t>
  </si>
  <si>
    <t>Kristen Scott</t>
  </si>
  <si>
    <t>Jody Zhang</t>
  </si>
  <si>
    <t>Andrew Miller</t>
  </si>
  <si>
    <t>Rachel Bishop</t>
  </si>
  <si>
    <t>Patricia Diaz</t>
  </si>
  <si>
    <t>Nathan Cruz</t>
  </si>
  <si>
    <t>Emily Jackson</t>
  </si>
  <si>
    <t>Teresa Orr</t>
  </si>
  <si>
    <t>Timothy Morgan</t>
  </si>
  <si>
    <t>Julie Ramsey</t>
  </si>
  <si>
    <t>John Christian</t>
  </si>
  <si>
    <t>Darin Murillo</t>
  </si>
  <si>
    <t>Mark Anderson</t>
  </si>
  <si>
    <t>Kevin Farmer</t>
  </si>
  <si>
    <t>Alex Ross</t>
  </si>
  <si>
    <t>Lori Brown</t>
  </si>
  <si>
    <t>Melissa Beck</t>
  </si>
  <si>
    <t>Gina Patterson</t>
  </si>
  <si>
    <t>Sharon Lee</t>
  </si>
  <si>
    <t>Megan Barnett</t>
  </si>
  <si>
    <t>Zachary Nielsen</t>
  </si>
  <si>
    <t>Michael Cruz</t>
  </si>
  <si>
    <t>Bruce Graham</t>
  </si>
  <si>
    <t>Holly Castro</t>
  </si>
  <si>
    <t>Anthony Adams</t>
  </si>
  <si>
    <t>Samuel Hernandez</t>
  </si>
  <si>
    <t>Melissa Murphy MD</t>
  </si>
  <si>
    <t>Samantha Barber</t>
  </si>
  <si>
    <t>Grant Martin</t>
  </si>
  <si>
    <t>Travis Walker</t>
  </si>
  <si>
    <t>Charles Chen</t>
  </si>
  <si>
    <t>Ronald Singleton</t>
  </si>
  <si>
    <t>Gary Bennett</t>
  </si>
  <si>
    <t>Jeremiah Wilson</t>
  </si>
  <si>
    <t>Jeffery Pratt</t>
  </si>
  <si>
    <t>Thomas Harris</t>
  </si>
  <si>
    <t>Barbara Lopez</t>
  </si>
  <si>
    <t>Robert Roberts</t>
  </si>
  <si>
    <t>Jonathan Black</t>
  </si>
  <si>
    <t>Benjamin Perez</t>
  </si>
  <si>
    <t>Angela Holland</t>
  </si>
  <si>
    <t>Joshua Harrison</t>
  </si>
  <si>
    <t>Hunter Spears</t>
  </si>
  <si>
    <t>Stephanie Church</t>
  </si>
  <si>
    <t>Eric Morgan</t>
  </si>
  <si>
    <t>Laura Hernandez</t>
  </si>
  <si>
    <t>Kari Trevino</t>
  </si>
  <si>
    <t>Jennifer Cruz</t>
  </si>
  <si>
    <t>Sara York</t>
  </si>
  <si>
    <t>Michael Thompson</t>
  </si>
  <si>
    <t>Craig Chambers</t>
  </si>
  <si>
    <t>Jonathan Thompson</t>
  </si>
  <si>
    <t>Isaac Jackson</t>
  </si>
  <si>
    <t>Karen Warren</t>
  </si>
  <si>
    <t>Mary Gardner</t>
  </si>
  <si>
    <t>Barry Weaver</t>
  </si>
  <si>
    <t>Danielle Knight</t>
  </si>
  <si>
    <t>Mary Howell</t>
  </si>
  <si>
    <t>Timothy Watts</t>
  </si>
  <si>
    <t>Eric Guerra</t>
  </si>
  <si>
    <t>Steven Thompson</t>
  </si>
  <si>
    <t>Gregory Walker</t>
  </si>
  <si>
    <t>Anna Wolfe</t>
  </si>
  <si>
    <t>Danielle Cooper</t>
  </si>
  <si>
    <t>Sarah Cole</t>
  </si>
  <si>
    <t>Phillip Vargas</t>
  </si>
  <si>
    <t>Joseph Odonnell</t>
  </si>
  <si>
    <t>Joseph Carter</t>
  </si>
  <si>
    <t>Jackson Wilson</t>
  </si>
  <si>
    <t>Mrs. Tiffany Sharp</t>
  </si>
  <si>
    <t>Stephanie Smith</t>
  </si>
  <si>
    <t>Deborah Byrd</t>
  </si>
  <si>
    <t>Michael Moran</t>
  </si>
  <si>
    <t>Mrs. Amy Conley</t>
  </si>
  <si>
    <t>Amber Joyce</t>
  </si>
  <si>
    <t>Laurie Davis</t>
  </si>
  <si>
    <t>Alyssa Reid</t>
  </si>
  <si>
    <t>Katherine Hernandez</t>
  </si>
  <si>
    <t>Travis Cline</t>
  </si>
  <si>
    <t>Wendy Brown</t>
  </si>
  <si>
    <t>Christian Ortiz</t>
  </si>
  <si>
    <t>Nicholas Johnson</t>
  </si>
  <si>
    <t>Kristina Wood</t>
  </si>
  <si>
    <t>Cory Franco</t>
  </si>
  <si>
    <t>Jeffrey Liu</t>
  </si>
  <si>
    <t>Sheila Marquez</t>
  </si>
  <si>
    <t>Steven Fox</t>
  </si>
  <si>
    <t>Luis Townsend</t>
  </si>
  <si>
    <t>Tyler Gutierrez</t>
  </si>
  <si>
    <t>Robert Martin</t>
  </si>
  <si>
    <t>Jack Harper</t>
  </si>
  <si>
    <t>James Morgan</t>
  </si>
  <si>
    <t>Mindy Jefferson</t>
  </si>
  <si>
    <t>Tina Thompson</t>
  </si>
  <si>
    <t>Stacey Martinez</t>
  </si>
  <si>
    <t>Nichole Williams</t>
  </si>
  <si>
    <t>Carlos Gonzalez</t>
  </si>
  <si>
    <t>Jeffrey Hoffman</t>
  </si>
  <si>
    <t>Mr. Jeffrey Harrison</t>
  </si>
  <si>
    <t>Angela Jackson</t>
  </si>
  <si>
    <t>John Jackson</t>
  </si>
  <si>
    <t>Randall Rios</t>
  </si>
  <si>
    <t>Michael Howell</t>
  </si>
  <si>
    <t>Victoria Oneill</t>
  </si>
  <si>
    <t>Carlos Alvarez</t>
  </si>
  <si>
    <t>Elizabeth Hines</t>
  </si>
  <si>
    <t>Kathleen Nguyen</t>
  </si>
  <si>
    <t>Anthony Gonzalez</t>
  </si>
  <si>
    <t>Pamela Roberts</t>
  </si>
  <si>
    <t>Isabella Castaneda</t>
  </si>
  <si>
    <t>Nancy Nelson</t>
  </si>
  <si>
    <t>Tanya Waters</t>
  </si>
  <si>
    <t>Daniel Kim</t>
  </si>
  <si>
    <t>Sonya Anderson</t>
  </si>
  <si>
    <t>Steven Reeves</t>
  </si>
  <si>
    <t>Jay Payne</t>
  </si>
  <si>
    <t>Roy Stevenson</t>
  </si>
  <si>
    <t>Mr. Mark Berger</t>
  </si>
  <si>
    <t>Caroline Johnson</t>
  </si>
  <si>
    <t>Sharon Fowler</t>
  </si>
  <si>
    <t>Thomas Lopez</t>
  </si>
  <si>
    <t>Wendy Alexander</t>
  </si>
  <si>
    <t>Charlotte Fuller</t>
  </si>
  <si>
    <t>Allison Bailey</t>
  </si>
  <si>
    <t>Ellen Flores</t>
  </si>
  <si>
    <t>Elizabeth Griffith</t>
  </si>
  <si>
    <t>Mrs. Cassandra Berry</t>
  </si>
  <si>
    <t>Molly Bennett</t>
  </si>
  <si>
    <t>Michael Li</t>
  </si>
  <si>
    <t>Gabriel Henry</t>
  </si>
  <si>
    <t>Breanna Walker</t>
  </si>
  <si>
    <t>Stephanie Bradshaw</t>
  </si>
  <si>
    <t>Gerald Shannon</t>
  </si>
  <si>
    <t>Melissa Sanchez</t>
  </si>
  <si>
    <t>Shannon Griffith</t>
  </si>
  <si>
    <t>Laura Ross</t>
  </si>
  <si>
    <t>John Fitzgerald</t>
  </si>
  <si>
    <t>Randall White</t>
  </si>
  <si>
    <t>Tracy Mendoza</t>
  </si>
  <si>
    <t>Michael Harvey</t>
  </si>
  <si>
    <t>Martin Carlson</t>
  </si>
  <si>
    <t>Angela Holmes</t>
  </si>
  <si>
    <t>Frederick Murphy</t>
  </si>
  <si>
    <t>Lauren Fields DVM</t>
  </si>
  <si>
    <t>Randy Parker</t>
  </si>
  <si>
    <t>Jeffrey Harrington</t>
  </si>
  <si>
    <t>Sandra Evans</t>
  </si>
  <si>
    <t>Brandon Erickson</t>
  </si>
  <si>
    <t>Albert Hebert</t>
  </si>
  <si>
    <t>Laura Carroll</t>
  </si>
  <si>
    <t>Nancy Hudson</t>
  </si>
  <si>
    <t>Megan Mcconnell</t>
  </si>
  <si>
    <t>Todd Johnson</t>
  </si>
  <si>
    <t>Doris Mcconnell</t>
  </si>
  <si>
    <t>Beth Moyer</t>
  </si>
  <si>
    <t>Daniel Burton</t>
  </si>
  <si>
    <t>Christine Miller</t>
  </si>
  <si>
    <t>Jeremy Fitzgerald</t>
  </si>
  <si>
    <t>Ashley Brown</t>
  </si>
  <si>
    <t>David Fuller</t>
  </si>
  <si>
    <t>Brian Davis</t>
  </si>
  <si>
    <t>George Mosley</t>
  </si>
  <si>
    <t>Michael Shaw</t>
  </si>
  <si>
    <t>Jenna Adkins</t>
  </si>
  <si>
    <t>Mr. Donald Morgan</t>
  </si>
  <si>
    <t>Robert Bright</t>
  </si>
  <si>
    <t>Jeremy Hunter</t>
  </si>
  <si>
    <t>Kayla Fuller</t>
  </si>
  <si>
    <t>Kimberly Brown</t>
  </si>
  <si>
    <t>Kara Valdez</t>
  </si>
  <si>
    <t>Linda Hunt</t>
  </si>
  <si>
    <t>Abigail Green</t>
  </si>
  <si>
    <t>Bethany Spencer</t>
  </si>
  <si>
    <t>Steven Melendez</t>
  </si>
  <si>
    <t>Chelsea Jones</t>
  </si>
  <si>
    <t>Michelle Peck</t>
  </si>
  <si>
    <t>Jason White</t>
  </si>
  <si>
    <t>Gabrielle Fowler</t>
  </si>
  <si>
    <t>Mr. Dennis Harvey</t>
  </si>
  <si>
    <t>Victoria Ponce</t>
  </si>
  <si>
    <t>Robert Mclean</t>
  </si>
  <si>
    <t>Jasmine Hartman</t>
  </si>
  <si>
    <t>Brandon Gomez</t>
  </si>
  <si>
    <t>Paul Morrison</t>
  </si>
  <si>
    <t>Michael Nelson</t>
  </si>
  <si>
    <t>Daniel Johnson</t>
  </si>
  <si>
    <t>Lori Alvarez</t>
  </si>
  <si>
    <t>Mary Payne</t>
  </si>
  <si>
    <t>Sean Rivas</t>
  </si>
  <si>
    <t>Scott Haley</t>
  </si>
  <si>
    <t>Kimberly Carter</t>
  </si>
  <si>
    <t>David Ruiz</t>
  </si>
  <si>
    <t>Jessica Gray</t>
  </si>
  <si>
    <t>Jacob Olson</t>
  </si>
  <si>
    <t>Vincent Sheppard</t>
  </si>
  <si>
    <t>Natasha Fuentes</t>
  </si>
  <si>
    <t>Michael Marshall</t>
  </si>
  <si>
    <t>Nichole Garcia</t>
  </si>
  <si>
    <t>Jasmine Morales</t>
  </si>
  <si>
    <t>Erica Smith</t>
  </si>
  <si>
    <t>Joseph Moreno</t>
  </si>
  <si>
    <t>Dale Taylor</t>
  </si>
  <si>
    <t>Ricardo Smith</t>
  </si>
  <si>
    <t>Donald Ho</t>
  </si>
  <si>
    <t>Bryan Thomas</t>
  </si>
  <si>
    <t>Thomas Love</t>
  </si>
  <si>
    <t>Kimberly Walls</t>
  </si>
  <si>
    <t>Amy Koch</t>
  </si>
  <si>
    <t>William Carroll</t>
  </si>
  <si>
    <t>Megan Nicholson</t>
  </si>
  <si>
    <t>Sean Smith</t>
  </si>
  <si>
    <t>Courtney Sims</t>
  </si>
  <si>
    <t>James Oconnor</t>
  </si>
  <si>
    <t>Matthew Jackson</t>
  </si>
  <si>
    <t>Patrick Anderson</t>
  </si>
  <si>
    <t>Joseph Romero</t>
  </si>
  <si>
    <t>Erika Strong</t>
  </si>
  <si>
    <t>Stacy Goodman</t>
  </si>
  <si>
    <t>Sean Mcdowell</t>
  </si>
  <si>
    <t>Robert Fowler</t>
  </si>
  <si>
    <t>Ricky Jones</t>
  </si>
  <si>
    <t>Jorge Buchanan</t>
  </si>
  <si>
    <t>Andrew Neal</t>
  </si>
  <si>
    <t>Jenna Shannon</t>
  </si>
  <si>
    <t>Craig Jackson</t>
  </si>
  <si>
    <t>Angela Rodriguez</t>
  </si>
  <si>
    <t>Stacy Tanner</t>
  </si>
  <si>
    <t>Stephanie Clayton</t>
  </si>
  <si>
    <t>Elizabeth Cox</t>
  </si>
  <si>
    <t>Mrs. Haley Evans MD</t>
  </si>
  <si>
    <t>Audrey Perez</t>
  </si>
  <si>
    <t>Sean Cline PhD</t>
  </si>
  <si>
    <t>Andrea Taylor</t>
  </si>
  <si>
    <t>Monica Fischer</t>
  </si>
  <si>
    <t>Christopher Kennedy</t>
  </si>
  <si>
    <t>Christopher Johnson</t>
  </si>
  <si>
    <t>Christine Barr</t>
  </si>
  <si>
    <t>Ellen Glass</t>
  </si>
  <si>
    <t>Mr. Brian Hernandez</t>
  </si>
  <si>
    <t>Tracy Huber</t>
  </si>
  <si>
    <t>Franklin Alexander</t>
  </si>
  <si>
    <t>Bradley Williams</t>
  </si>
  <si>
    <t>Sherry Thomas</t>
  </si>
  <si>
    <t>Danny Smith</t>
  </si>
  <si>
    <t>Cathy Smith</t>
  </si>
  <si>
    <t>Nicholas Lewis</t>
  </si>
  <si>
    <t>Ryan Miranda</t>
  </si>
  <si>
    <t>Lauren Sexton</t>
  </si>
  <si>
    <t>Melanie Brown</t>
  </si>
  <si>
    <t>William Turner</t>
  </si>
  <si>
    <t>Antonio Taylor</t>
  </si>
  <si>
    <t>Natasha Bennett</t>
  </si>
  <si>
    <t>Anthony Taylor</t>
  </si>
  <si>
    <t>Brenda Allen</t>
  </si>
  <si>
    <t>Crystal Smith</t>
  </si>
  <si>
    <t>Christopher Frazier</t>
  </si>
  <si>
    <t>Travis Huffman</t>
  </si>
  <si>
    <t>Wanda Brown</t>
  </si>
  <si>
    <t>Amanda Foster</t>
  </si>
  <si>
    <t>Julia Patel</t>
  </si>
  <si>
    <t>Leonard Baxter</t>
  </si>
  <si>
    <t>Pamela Stone</t>
  </si>
  <si>
    <t>Susan Gordon</t>
  </si>
  <si>
    <t>Kristin Friedman</t>
  </si>
  <si>
    <t>Abigail Allen</t>
  </si>
  <si>
    <t>Amy Brown</t>
  </si>
  <si>
    <t>Traci Johnson</t>
  </si>
  <si>
    <t>Amber Bowen</t>
  </si>
  <si>
    <t>Madison Bell</t>
  </si>
  <si>
    <t>Mrs. Donna Sandoval</t>
  </si>
  <si>
    <t>Jessica Schmitt</t>
  </si>
  <si>
    <t>Rebecca Carter</t>
  </si>
  <si>
    <t>Stacey Campbell</t>
  </si>
  <si>
    <t>Daniel Gardner</t>
  </si>
  <si>
    <t>Brian Moreno</t>
  </si>
  <si>
    <t>Deborah Maddox</t>
  </si>
  <si>
    <t>Brooke Sutton</t>
  </si>
  <si>
    <t>James Schroeder</t>
  </si>
  <si>
    <t>Sydney Morrow</t>
  </si>
  <si>
    <t>Danielle Flores</t>
  </si>
  <si>
    <t>Lorraine Carter</t>
  </si>
  <si>
    <t>Diana Garcia</t>
  </si>
  <si>
    <t>Amy Hebert</t>
  </si>
  <si>
    <t>Carolyn Butler</t>
  </si>
  <si>
    <t>Kenneth Jones</t>
  </si>
  <si>
    <t>Matthew Long</t>
  </si>
  <si>
    <t>Jessica Brown</t>
  </si>
  <si>
    <t>David Jackson</t>
  </si>
  <si>
    <t>Cynthia Ruiz</t>
  </si>
  <si>
    <t>Karen Little</t>
  </si>
  <si>
    <t>Christine Drake</t>
  </si>
  <si>
    <t>Michael Moody</t>
  </si>
  <si>
    <t>Angela Harris</t>
  </si>
  <si>
    <t>Stephanie Fitzgerald</t>
  </si>
  <si>
    <t>Anne Fowler</t>
  </si>
  <si>
    <t>David Sawyer</t>
  </si>
  <si>
    <t>Christine Gutierrez</t>
  </si>
  <si>
    <t>Ashley Swanson</t>
  </si>
  <si>
    <t>Robert Lee</t>
  </si>
  <si>
    <t>Benjamin Vaughn</t>
  </si>
  <si>
    <t>Jaime Scott</t>
  </si>
  <si>
    <t>Erik Carter</t>
  </si>
  <si>
    <t>Kristi Sawyer</t>
  </si>
  <si>
    <t>Kimberly Chan</t>
  </si>
  <si>
    <t>Ray Rodriguez</t>
  </si>
  <si>
    <t>Sarah Reyes</t>
  </si>
  <si>
    <t>Tina Cooper</t>
  </si>
  <si>
    <t>Jasmine Black</t>
  </si>
  <si>
    <t>Amber Brooks</t>
  </si>
  <si>
    <t>Patrick Ramsey</t>
  </si>
  <si>
    <t>John Woods</t>
  </si>
  <si>
    <t>Mark Ware</t>
  </si>
  <si>
    <t>Katrina Wise</t>
  </si>
  <si>
    <t>Tiffany Thompson</t>
  </si>
  <si>
    <t>Mackenzie Frank</t>
  </si>
  <si>
    <t>Nathan Campos</t>
  </si>
  <si>
    <t>Veronica Rodriguez</t>
  </si>
  <si>
    <t>Malik Macias</t>
  </si>
  <si>
    <t>Brian Walker</t>
  </si>
  <si>
    <t>James Burnett</t>
  </si>
  <si>
    <t>Dr. Kristine Reynolds</t>
  </si>
  <si>
    <t>Patrick Hunt</t>
  </si>
  <si>
    <t>Theresa Olson</t>
  </si>
  <si>
    <t>Michael Johnson</t>
  </si>
  <si>
    <t>Erica Hines</t>
  </si>
  <si>
    <t>Austin Price</t>
  </si>
  <si>
    <t>Crystal Garcia</t>
  </si>
  <si>
    <t>Michael Floyd</t>
  </si>
  <si>
    <t>Michael Gallagher</t>
  </si>
  <si>
    <t>Roger Lane</t>
  </si>
  <si>
    <t>Ariel Garcia</t>
  </si>
  <si>
    <t>Megan Baker DDS</t>
  </si>
  <si>
    <t>Breanna Brown</t>
  </si>
  <si>
    <t>Cynthia Williams</t>
  </si>
  <si>
    <t>Christian Cross</t>
  </si>
  <si>
    <t>Jessica Taylor</t>
  </si>
  <si>
    <t>Angela Huff</t>
  </si>
  <si>
    <t>Joseph Hodges</t>
  </si>
  <si>
    <t>Erica Jensen</t>
  </si>
  <si>
    <t>Mackenzie Obrien</t>
  </si>
  <si>
    <t>Crystal Tucker</t>
  </si>
  <si>
    <t>Alexandra Rodriguez</t>
  </si>
  <si>
    <t>Casey Morales</t>
  </si>
  <si>
    <t>Stephanie Hodges</t>
  </si>
  <si>
    <t>Kelsey Burke</t>
  </si>
  <si>
    <t>Matthew Carr</t>
  </si>
  <si>
    <t>Margaret Jones</t>
  </si>
  <si>
    <t>Margaret Perry</t>
  </si>
  <si>
    <t>Nicole Davis</t>
  </si>
  <si>
    <t>Ryan Riley</t>
  </si>
  <si>
    <t>Katelyn Stewart</t>
  </si>
  <si>
    <t>Jennifer Gordon</t>
  </si>
  <si>
    <t>Mr. Charles Mitchell</t>
  </si>
  <si>
    <t>Christina Strickland</t>
  </si>
  <si>
    <t>Bridget Neal</t>
  </si>
  <si>
    <t>Diane Dennis</t>
  </si>
  <si>
    <t>Mary Smith</t>
  </si>
  <si>
    <t>Angela Collier</t>
  </si>
  <si>
    <t>Heather Taylor</t>
  </si>
  <si>
    <t>Christine Perez</t>
  </si>
  <si>
    <t>Dr. Jason Henderson</t>
  </si>
  <si>
    <t>Robin Davis</t>
  </si>
  <si>
    <t>Brent Rivera</t>
  </si>
  <si>
    <t>Hector Ortega</t>
  </si>
  <si>
    <t>Mr. Jorge Mitchell</t>
  </si>
  <si>
    <t>Glen Perry</t>
  </si>
  <si>
    <t>Samuel Hayes</t>
  </si>
  <si>
    <t>Kimberly Porter</t>
  </si>
  <si>
    <t>Erika Cross</t>
  </si>
  <si>
    <t>Harry Jenkins</t>
  </si>
  <si>
    <t>Jeffrey Silva</t>
  </si>
  <si>
    <t>William Green</t>
  </si>
  <si>
    <t>Daniel Wyatt</t>
  </si>
  <si>
    <t>Frank Nichols</t>
  </si>
  <si>
    <t>Dr. Kenneth Lawrence DDS</t>
  </si>
  <si>
    <t>Amber Cabrera</t>
  </si>
  <si>
    <t>Troy Greene</t>
  </si>
  <si>
    <t>Tiffany Bailey</t>
  </si>
  <si>
    <t>Alex Hayden</t>
  </si>
  <si>
    <t>Daniel Parks</t>
  </si>
  <si>
    <t>Jason Short</t>
  </si>
  <si>
    <t>Bryan Stewart</t>
  </si>
  <si>
    <t>Trevor Thompson</t>
  </si>
  <si>
    <t>Roberto Smith</t>
  </si>
  <si>
    <t>Amy Miller</t>
  </si>
  <si>
    <t>Diana Warren</t>
  </si>
  <si>
    <t>Jessica Finley</t>
  </si>
  <si>
    <t>Roberto Gray</t>
  </si>
  <si>
    <t>Desiree Clark</t>
  </si>
  <si>
    <t>David Mitchell</t>
  </si>
  <si>
    <t>Gabrielle Fox</t>
  </si>
  <si>
    <t>Glenda Bailey</t>
  </si>
  <si>
    <t>Philip Bryant</t>
  </si>
  <si>
    <t>Jacqueline Wilson</t>
  </si>
  <si>
    <t>Kevin Goodman</t>
  </si>
  <si>
    <t>Jeremy Estrada</t>
  </si>
  <si>
    <t>Alison Donovan</t>
  </si>
  <si>
    <t>David Petersen</t>
  </si>
  <si>
    <t>Alyssa Butler</t>
  </si>
  <si>
    <t>Martin Perry</t>
  </si>
  <si>
    <t>Monique Ray</t>
  </si>
  <si>
    <t>Mark Nash</t>
  </si>
  <si>
    <t>Elizabeth Glover</t>
  </si>
  <si>
    <t>William Jacobs</t>
  </si>
  <si>
    <t>Virginia Adams</t>
  </si>
  <si>
    <t>Andrew Smith</t>
  </si>
  <si>
    <t>Charles Mcknight</t>
  </si>
  <si>
    <t>Courtney White</t>
  </si>
  <si>
    <t>Jessica Sampson</t>
  </si>
  <si>
    <t>Jessica Rodriguez</t>
  </si>
  <si>
    <t>Jennifer Adams</t>
  </si>
  <si>
    <t>Scott Hull</t>
  </si>
  <si>
    <t>Cheryl Wilson</t>
  </si>
  <si>
    <t>Tony Hernandez</t>
  </si>
  <si>
    <t>Stephanie Jones</t>
  </si>
  <si>
    <t>Carolyn Fletcher</t>
  </si>
  <si>
    <t>Jesus White</t>
  </si>
  <si>
    <t>Melissa Mendoza</t>
  </si>
  <si>
    <t>Tina Patterson</t>
  </si>
  <si>
    <t>Angela Ellison</t>
  </si>
  <si>
    <t>Megan Hamilton</t>
  </si>
  <si>
    <t>Todd Wood</t>
  </si>
  <si>
    <t>Brandon Morgan</t>
  </si>
  <si>
    <t>Emily Roach</t>
  </si>
  <si>
    <t>Gary Smith</t>
  </si>
  <si>
    <t>Derrick Beard</t>
  </si>
  <si>
    <t>Curtis Jacobson</t>
  </si>
  <si>
    <t>Carolyn Dixon</t>
  </si>
  <si>
    <t>Sara Watson</t>
  </si>
  <si>
    <t>Michael Noble</t>
  </si>
  <si>
    <t>David Lopez</t>
  </si>
  <si>
    <t>Christopher Jensen</t>
  </si>
  <si>
    <t>Jennifer Baird</t>
  </si>
  <si>
    <t>Samantha Hill</t>
  </si>
  <si>
    <t>Ronald Thompson</t>
  </si>
  <si>
    <t>Michele Jackson</t>
  </si>
  <si>
    <t>Jesse Wells</t>
  </si>
  <si>
    <t>Lindsay Jones</t>
  </si>
  <si>
    <t>Jerry Martin</t>
  </si>
  <si>
    <t>Kenneth Martin</t>
  </si>
  <si>
    <t>David Bailey</t>
  </si>
  <si>
    <t>Jonathan Smith</t>
  </si>
  <si>
    <t>Travis Hogan</t>
  </si>
  <si>
    <t>Joel Dawson</t>
  </si>
  <si>
    <t>Leslie York</t>
  </si>
  <si>
    <t>Jorge Murphy</t>
  </si>
  <si>
    <t>Brian Johnson</t>
  </si>
  <si>
    <t>Brooke Booker</t>
  </si>
  <si>
    <t>Shannon Hall</t>
  </si>
  <si>
    <t>Jonathan Dixon</t>
  </si>
  <si>
    <t>Matthew Frey</t>
  </si>
  <si>
    <t>David Moore</t>
  </si>
  <si>
    <t>Ashlee Austin</t>
  </si>
  <si>
    <t>Kathleen Burton</t>
  </si>
  <si>
    <t>Tyler Haynes</t>
  </si>
  <si>
    <t>Robert Clark</t>
  </si>
  <si>
    <t>Justin Wilson</t>
  </si>
  <si>
    <t>Jared Sandoval</t>
  </si>
  <si>
    <t>Kelsey Kelly</t>
  </si>
  <si>
    <t>Regina Ellis</t>
  </si>
  <si>
    <t>Richard Allen</t>
  </si>
  <si>
    <t>Randall Davis</t>
  </si>
  <si>
    <t>Michael Adams</t>
  </si>
  <si>
    <t>Connie Mcdonald</t>
  </si>
  <si>
    <t>Jose Marquez</t>
  </si>
  <si>
    <t>James Vargas</t>
  </si>
  <si>
    <t>Anthony Cook</t>
  </si>
  <si>
    <t>Jason Farrell</t>
  </si>
  <si>
    <t>Charles Martinez</t>
  </si>
  <si>
    <t>Brad Mcmillan</t>
  </si>
  <si>
    <t>Todd Schneider</t>
  </si>
  <si>
    <t>Rebecca Smith</t>
  </si>
  <si>
    <t>Maria Fletcher</t>
  </si>
  <si>
    <t>Andrew Evans</t>
  </si>
  <si>
    <t>Lisa Sanders</t>
  </si>
  <si>
    <t>Ronald Hays</t>
  </si>
  <si>
    <t>Steven Simmons</t>
  </si>
  <si>
    <t>Joshua Owens</t>
  </si>
  <si>
    <t>Todd James</t>
  </si>
  <si>
    <t>David James</t>
  </si>
  <si>
    <t>Tyler Ray</t>
  </si>
  <si>
    <t>Ryan Zhang</t>
  </si>
  <si>
    <t>Taylor Perry</t>
  </si>
  <si>
    <t>Gloria Williams</t>
  </si>
  <si>
    <t>Maureen Gutierrez</t>
  </si>
  <si>
    <t>Sarah Mendoza</t>
  </si>
  <si>
    <t>Julie Hardy</t>
  </si>
  <si>
    <t>Michelle Mathews</t>
  </si>
  <si>
    <t>Holly Arias</t>
  </si>
  <si>
    <t>David Fowler</t>
  </si>
  <si>
    <t>Kimberly Sanders</t>
  </si>
  <si>
    <t>Debbie Taylor</t>
  </si>
  <si>
    <t>Omar Kelley</t>
  </si>
  <si>
    <t>Cynthia Bryant</t>
  </si>
  <si>
    <t>Colleen Harvey</t>
  </si>
  <si>
    <t>Patrick Robertson</t>
  </si>
  <si>
    <t>Sherri Johnson</t>
  </si>
  <si>
    <t>Amy George</t>
  </si>
  <si>
    <t>Jason Perkins</t>
  </si>
  <si>
    <t>Brian Ramirez</t>
  </si>
  <si>
    <t>Nicholas Fuller</t>
  </si>
  <si>
    <t>Matthew Gonzalez</t>
  </si>
  <si>
    <t>Donna Torres</t>
  </si>
  <si>
    <t>Denise Hatfield</t>
  </si>
  <si>
    <t>James Franklin</t>
  </si>
  <si>
    <t>Tyler Munoz</t>
  </si>
  <si>
    <t>Eric Wilkinson</t>
  </si>
  <si>
    <t>Allison Gonzalez</t>
  </si>
  <si>
    <t>Larry Webb</t>
  </si>
  <si>
    <t>Jeffery Smith</t>
  </si>
  <si>
    <t>Joseph Johnson</t>
  </si>
  <si>
    <t>Sherry Fernandez</t>
  </si>
  <si>
    <t>Felicia Kennedy</t>
  </si>
  <si>
    <t>George Martin</t>
  </si>
  <si>
    <t>Peter Mitchell</t>
  </si>
  <si>
    <t>Jack Horne</t>
  </si>
  <si>
    <t>Meghan Austin</t>
  </si>
  <si>
    <t>Barry Petty</t>
  </si>
  <si>
    <t>Paul Young</t>
  </si>
  <si>
    <t>Jose Garrison</t>
  </si>
  <si>
    <t>Rhonda Wood</t>
  </si>
  <si>
    <t>Alexis Mullins</t>
  </si>
  <si>
    <t>Thomas Schmidt</t>
  </si>
  <si>
    <t>Robert Olson</t>
  </si>
  <si>
    <t>Connie Ramirez</t>
  </si>
  <si>
    <t>Danielle Flowers</t>
  </si>
  <si>
    <t>Tonya Parker</t>
  </si>
  <si>
    <t>Joanne Miller</t>
  </si>
  <si>
    <t>Benjamin Smith</t>
  </si>
  <si>
    <t>Jennifer Martinez</t>
  </si>
  <si>
    <t>Gregory Johnson</t>
  </si>
  <si>
    <t>Matthew Anderson</t>
  </si>
  <si>
    <t>Chase Campbell</t>
  </si>
  <si>
    <t>Stephen Lewis</t>
  </si>
  <si>
    <t>David Stafford</t>
  </si>
  <si>
    <t>Sean Hicks</t>
  </si>
  <si>
    <t>Robert Christensen</t>
  </si>
  <si>
    <t>Amanda Fuller</t>
  </si>
  <si>
    <t>John Brown</t>
  </si>
  <si>
    <t>Andrew Alvarez</t>
  </si>
  <si>
    <t>Miss Deanna Bailey</t>
  </si>
  <si>
    <t>Amy Graves</t>
  </si>
  <si>
    <t>Tracy Johnson</t>
  </si>
  <si>
    <t>Crystal Taylor</t>
  </si>
  <si>
    <t>Gabriella Morgan</t>
  </si>
  <si>
    <t>Frank Hartman</t>
  </si>
  <si>
    <t>Jonathan Adams</t>
  </si>
  <si>
    <t>Crystal Farmer</t>
  </si>
  <si>
    <t>Mrs. Martha Burke</t>
  </si>
  <si>
    <t>Charles Pearson</t>
  </si>
  <si>
    <t>Christopher Wall</t>
  </si>
  <si>
    <t>Michelle Gonzalez</t>
  </si>
  <si>
    <t>Jamie Edwards</t>
  </si>
  <si>
    <t>Stacie Park</t>
  </si>
  <si>
    <t>Thomas Jackson</t>
  </si>
  <si>
    <t>Andrea Nash</t>
  </si>
  <si>
    <t>Wesley Smith</t>
  </si>
  <si>
    <t>Andrea Smith</t>
  </si>
  <si>
    <t>Monica Davis</t>
  </si>
  <si>
    <t>John Gomez</t>
  </si>
  <si>
    <t>David Bruce</t>
  </si>
  <si>
    <t>David Hamilton</t>
  </si>
  <si>
    <t>James Pena</t>
  </si>
  <si>
    <t>Jamie Hall</t>
  </si>
  <si>
    <t>Barbara Patrick</t>
  </si>
  <si>
    <t>Candace Friedman</t>
  </si>
  <si>
    <t>Tammy Garcia</t>
  </si>
  <si>
    <t>Jacob Vasquez</t>
  </si>
  <si>
    <t>Morgan Cantu</t>
  </si>
  <si>
    <t>Julie Douglas</t>
  </si>
  <si>
    <t>Anne Moore</t>
  </si>
  <si>
    <t>Bruce Valdez</t>
  </si>
  <si>
    <t>Christina Young</t>
  </si>
  <si>
    <t>Oscar Mosley</t>
  </si>
  <si>
    <t>Anna Graham</t>
  </si>
  <si>
    <t>Tyler Dillon</t>
  </si>
  <si>
    <t>Victoria Butler</t>
  </si>
  <si>
    <t>Adrian Hendricks</t>
  </si>
  <si>
    <t>Jaime Mcdonald</t>
  </si>
  <si>
    <t>James Burke</t>
  </si>
  <si>
    <t>Andrew Morales</t>
  </si>
  <si>
    <t>Ashley Miller</t>
  </si>
  <si>
    <t>Amanda Allen</t>
  </si>
  <si>
    <t>Ricky Schmidt</t>
  </si>
  <si>
    <t>Shannon Blankenship</t>
  </si>
  <si>
    <t>Kimberly Erickson</t>
  </si>
  <si>
    <t>Jason Berry</t>
  </si>
  <si>
    <t>Lisa Henson</t>
  </si>
  <si>
    <t>Maria Miller</t>
  </si>
  <si>
    <t>Wayne Higgins</t>
  </si>
  <si>
    <t>Brian Fields</t>
  </si>
  <si>
    <t>Christopher Valdez</t>
  </si>
  <si>
    <t>Natalie Martinez</t>
  </si>
  <si>
    <t>Maria Chambers</t>
  </si>
  <si>
    <t>Erika Santos</t>
  </si>
  <si>
    <t>Christopher Taylor</t>
  </si>
  <si>
    <t>Karen Davis</t>
  </si>
  <si>
    <t>Erik Reyes</t>
  </si>
  <si>
    <t>Steven Hayes</t>
  </si>
  <si>
    <t>Miss Danielle Phillips</t>
  </si>
  <si>
    <t>Craig Lewis</t>
  </si>
  <si>
    <t>David Matthews</t>
  </si>
  <si>
    <t>Thomas Wood</t>
  </si>
  <si>
    <t>Kathleen Rogers</t>
  </si>
  <si>
    <t>Brian Doyle</t>
  </si>
  <si>
    <t>Brittany Rubio</t>
  </si>
  <si>
    <t>Stephanie Dyer</t>
  </si>
  <si>
    <t>Jonathan Martinez</t>
  </si>
  <si>
    <t>Douglas Butler</t>
  </si>
  <si>
    <t>Bob Hunter</t>
  </si>
  <si>
    <t>Janice Nelson</t>
  </si>
  <si>
    <t>Joshua Ramos</t>
  </si>
  <si>
    <t>Steven Hamilton</t>
  </si>
  <si>
    <t>Felicia Singh</t>
  </si>
  <si>
    <t>Jonathan Leonard</t>
  </si>
  <si>
    <t>Jared Lewis</t>
  </si>
  <si>
    <t>Brian Bentley</t>
  </si>
  <si>
    <t>Mary Hernandez</t>
  </si>
  <si>
    <t>Joseph Deleon</t>
  </si>
  <si>
    <t>Sarah Chandler</t>
  </si>
  <si>
    <t>Alexander Jenkins</t>
  </si>
  <si>
    <t>Tammie Jordan</t>
  </si>
  <si>
    <t>Ms. Diane Nixon</t>
  </si>
  <si>
    <t>Erika White</t>
  </si>
  <si>
    <t>Brittany Benjamin</t>
  </si>
  <si>
    <t>Jennifer Smith</t>
  </si>
  <si>
    <t>Holly Salas</t>
  </si>
  <si>
    <t>Eric York</t>
  </si>
  <si>
    <t>Javier Lewis V</t>
  </si>
  <si>
    <t>Mrs. Kelli Reyes</t>
  </si>
  <si>
    <t>Marvin Molina</t>
  </si>
  <si>
    <t>Tiffany Williams</t>
  </si>
  <si>
    <t>Paige Grant</t>
  </si>
  <si>
    <t>Jennifer Hughes</t>
  </si>
  <si>
    <t>Kristina Greer</t>
  </si>
  <si>
    <t>James Richards</t>
  </si>
  <si>
    <t>Peter Lawson</t>
  </si>
  <si>
    <t>Rebecca Fisher</t>
  </si>
  <si>
    <t>Bradley Porter</t>
  </si>
  <si>
    <t>Cody Grimes</t>
  </si>
  <si>
    <t>Veronica Black</t>
  </si>
  <si>
    <t>Kathleen Lloyd DVM</t>
  </si>
  <si>
    <t>Derrick Parker</t>
  </si>
  <si>
    <t>Jennifer Carter</t>
  </si>
  <si>
    <t>Megan Rodriguez</t>
  </si>
  <si>
    <t>Jennifer Nguyen</t>
  </si>
  <si>
    <t>Susan Cook</t>
  </si>
  <si>
    <t>Deborah Lopez</t>
  </si>
  <si>
    <t>Lisa Cobb</t>
  </si>
  <si>
    <t>Linda Schmidt</t>
  </si>
  <si>
    <t>Paul Weaver</t>
  </si>
  <si>
    <t>Ethan Stephens</t>
  </si>
  <si>
    <t>Tammy Williams</t>
  </si>
  <si>
    <t>Edwin Fischer</t>
  </si>
  <si>
    <t>Jonathan Vasquez</t>
  </si>
  <si>
    <t>Jessica Keller</t>
  </si>
  <si>
    <t>Christopher Gonzalez</t>
  </si>
  <si>
    <t>Melissa Weaver</t>
  </si>
  <si>
    <t>Nancy Sanford</t>
  </si>
  <si>
    <t>Meagan Martinez</t>
  </si>
  <si>
    <t>Victor Young</t>
  </si>
  <si>
    <t>Monica George</t>
  </si>
  <si>
    <t>Cheryl Myers</t>
  </si>
  <si>
    <t>Brian Lee</t>
  </si>
  <si>
    <t>Julian Perez</t>
  </si>
  <si>
    <t>Kyle Weaver</t>
  </si>
  <si>
    <t>Sandra Dickerson</t>
  </si>
  <si>
    <t>Sarah Fletcher</t>
  </si>
  <si>
    <t>David Wright</t>
  </si>
  <si>
    <t>Michael Hubbard</t>
  </si>
  <si>
    <t>Bradley Valdez</t>
  </si>
  <si>
    <t>Amanda Lee</t>
  </si>
  <si>
    <t>Heather Miller</t>
  </si>
  <si>
    <t>Leslie Williams</t>
  </si>
  <si>
    <t>Ryan Paul</t>
  </si>
  <si>
    <t>Kristy Reyes</t>
  </si>
  <si>
    <t>Alexander Sanders</t>
  </si>
  <si>
    <t>Timothy Calhoun</t>
  </si>
  <si>
    <t>Robert Hood</t>
  </si>
  <si>
    <t>Renee Garcia</t>
  </si>
  <si>
    <t>Marilyn Baker MD</t>
  </si>
  <si>
    <t>Lindsey Martinez</t>
  </si>
  <si>
    <t>Heather Phelps</t>
  </si>
  <si>
    <t>James Mccoy</t>
  </si>
  <si>
    <t>Kimberly Sanchez</t>
  </si>
  <si>
    <t>Courtney Reid</t>
  </si>
  <si>
    <t>Lisa Nelson</t>
  </si>
  <si>
    <t>Elizabeth Keith</t>
  </si>
  <si>
    <t>Charles Brown</t>
  </si>
  <si>
    <t>Erin Turner</t>
  </si>
  <si>
    <t>Bonnie Harris</t>
  </si>
  <si>
    <t>Heather Brennan</t>
  </si>
  <si>
    <t>Timothy Wilson</t>
  </si>
  <si>
    <t>Andres Hines</t>
  </si>
  <si>
    <t>John Mcbride</t>
  </si>
  <si>
    <t>Mitchell Allen</t>
  </si>
  <si>
    <t>Darlene Weeks</t>
  </si>
  <si>
    <t>Kimberly Jones</t>
  </si>
  <si>
    <t>Lauren Jones</t>
  </si>
  <si>
    <t>Andrew Webb</t>
  </si>
  <si>
    <t>Kyle Martin</t>
  </si>
  <si>
    <t>Steven Williams</t>
  </si>
  <si>
    <t>Matthew Jensen</t>
  </si>
  <si>
    <t>Andres Jimenez</t>
  </si>
  <si>
    <t>Laura Thomas</t>
  </si>
  <si>
    <t>Stephanie Thompson</t>
  </si>
  <si>
    <t>Elizabeth Martinez</t>
  </si>
  <si>
    <t>Edward Mann</t>
  </si>
  <si>
    <t>Marc Rowe</t>
  </si>
  <si>
    <t>Denise Padilla</t>
  </si>
  <si>
    <t>Michael Larson</t>
  </si>
  <si>
    <t>Evan Woods</t>
  </si>
  <si>
    <t>Raymond Woods</t>
  </si>
  <si>
    <t>Joshua Buchanan</t>
  </si>
  <si>
    <t>Sheila Smith</t>
  </si>
  <si>
    <t>Linda Rodriguez</t>
  </si>
  <si>
    <t>Vanessa Thompson</t>
  </si>
  <si>
    <t>Richard Stewart</t>
  </si>
  <si>
    <t>Ryan Davis</t>
  </si>
  <si>
    <t>John Thornton</t>
  </si>
  <si>
    <t>James Ortega</t>
  </si>
  <si>
    <t>Theresa Williams</t>
  </si>
  <si>
    <t>Maurice Ellis</t>
  </si>
  <si>
    <t>Alicia Vargas</t>
  </si>
  <si>
    <t>Christopher Davis</t>
  </si>
  <si>
    <t>Kimberly Walker</t>
  </si>
  <si>
    <t>Michael Ramsey</t>
  </si>
  <si>
    <t>Robin Holmes</t>
  </si>
  <si>
    <t>Sara Wheeler</t>
  </si>
  <si>
    <t>Vicki Berg</t>
  </si>
  <si>
    <t>Wayne Nelson</t>
  </si>
  <si>
    <t>Patrick Owens</t>
  </si>
  <si>
    <t>Roger Lindsey</t>
  </si>
  <si>
    <t>Vincent Chavez</t>
  </si>
  <si>
    <t>Pamela Fields</t>
  </si>
  <si>
    <t>Daniel Miranda</t>
  </si>
  <si>
    <t>Misty Robinson</t>
  </si>
  <si>
    <t>Leonard Garcia</t>
  </si>
  <si>
    <t>Julie Garcia</t>
  </si>
  <si>
    <t>Miguel Bell</t>
  </si>
  <si>
    <t>Christine York</t>
  </si>
  <si>
    <t>Grace Parks</t>
  </si>
  <si>
    <t>Christopher Williams</t>
  </si>
  <si>
    <t>Melinda Simpson</t>
  </si>
  <si>
    <t>Julie Stevenson</t>
  </si>
  <si>
    <t>Amy Sosa</t>
  </si>
  <si>
    <t>Bradley Lopez</t>
  </si>
  <si>
    <t>Sara Ewing</t>
  </si>
  <si>
    <t>Kathleen Larson</t>
  </si>
  <si>
    <t>Terri Allen</t>
  </si>
  <si>
    <t>Sarah Fleming</t>
  </si>
  <si>
    <t>David Lindsey</t>
  </si>
  <si>
    <t>Kenneth Gray</t>
  </si>
  <si>
    <t>David Rojas</t>
  </si>
  <si>
    <t>Mr. Jared Cook</t>
  </si>
  <si>
    <t>Lindsay Campbell</t>
  </si>
  <si>
    <t>Jake Lane</t>
  </si>
  <si>
    <t>Robert Ferguson</t>
  </si>
  <si>
    <t>Rebekah Taylor</t>
  </si>
  <si>
    <t>Frank Mccormick</t>
  </si>
  <si>
    <t>Autumn Hill</t>
  </si>
  <si>
    <t>Mark Trevino</t>
  </si>
  <si>
    <t>Anna Bowers</t>
  </si>
  <si>
    <t>Lauren Miller</t>
  </si>
  <si>
    <t>Mitchell Ramos</t>
  </si>
  <si>
    <t>Robin Smith</t>
  </si>
  <si>
    <t>Sonia Smith</t>
  </si>
  <si>
    <t>David Cook</t>
  </si>
  <si>
    <t>Sean Rodriguez</t>
  </si>
  <si>
    <t>Jacob Frank</t>
  </si>
  <si>
    <t>Julie Stewart</t>
  </si>
  <si>
    <t>Adam Kemp</t>
  </si>
  <si>
    <t>Billy Rubio</t>
  </si>
  <si>
    <t>Dan Dixon</t>
  </si>
  <si>
    <t>Crystal Juarez</t>
  </si>
  <si>
    <t>Shannon Whitehead</t>
  </si>
  <si>
    <t>Amy Robertson</t>
  </si>
  <si>
    <t>Savannah Esparza</t>
  </si>
  <si>
    <t>Mason Rodgers</t>
  </si>
  <si>
    <t>Bradley Schaefer</t>
  </si>
  <si>
    <t>Laurie Nelson</t>
  </si>
  <si>
    <t>Sara Fitzgerald</t>
  </si>
  <si>
    <t>James Valdez PhD</t>
  </si>
  <si>
    <t>Lisa Garcia</t>
  </si>
  <si>
    <t>Brianna Salas</t>
  </si>
  <si>
    <t>Luis Chandler</t>
  </si>
  <si>
    <t>Zachary Bailey</t>
  </si>
  <si>
    <t>Thomas Diaz</t>
  </si>
  <si>
    <t>Kim Moore</t>
  </si>
  <si>
    <t>Patrick Ray</t>
  </si>
  <si>
    <t>Jessica Wong</t>
  </si>
  <si>
    <t>Patrick Gomez</t>
  </si>
  <si>
    <t>Whitney Stevens</t>
  </si>
  <si>
    <t>Timothy Baker</t>
  </si>
  <si>
    <t>Matthew Phillips</t>
  </si>
  <si>
    <t>Lucas Farley</t>
  </si>
  <si>
    <t>Wanda Price</t>
  </si>
  <si>
    <t>Jerry Clay</t>
  </si>
  <si>
    <t>Brian Yang</t>
  </si>
  <si>
    <t>Susan Williams</t>
  </si>
  <si>
    <t>Ronald Wright</t>
  </si>
  <si>
    <t>Brenda Clayton</t>
  </si>
  <si>
    <t>Tonya Diaz</t>
  </si>
  <si>
    <t>Nancy Johnson</t>
  </si>
  <si>
    <t>Mark Cuevas</t>
  </si>
  <si>
    <t>David Washington</t>
  </si>
  <si>
    <t>Catherine Harris</t>
  </si>
  <si>
    <t>Tracy Mosley</t>
  </si>
  <si>
    <t>Rachel Moore</t>
  </si>
  <si>
    <t>Amy Montgomery</t>
  </si>
  <si>
    <t>Pamela Doyle</t>
  </si>
  <si>
    <t>Julia Williams</t>
  </si>
  <si>
    <t>Rebecca Oliver MD</t>
  </si>
  <si>
    <t>Andrea Valencia</t>
  </si>
  <si>
    <t>Robert Gonzales</t>
  </si>
  <si>
    <t>Ariana Roberts</t>
  </si>
  <si>
    <t>Miguel Harris</t>
  </si>
  <si>
    <t>Matthew Hobbs</t>
  </si>
  <si>
    <t>Kimberly Mccormick</t>
  </si>
  <si>
    <t>Kristin Lopez</t>
  </si>
  <si>
    <t>Ashley Vasquez</t>
  </si>
  <si>
    <t>Elizabeth Nunez</t>
  </si>
  <si>
    <t>Danielle Blackwell</t>
  </si>
  <si>
    <t>Peter Baker</t>
  </si>
  <si>
    <t>Carrie Wilkerson</t>
  </si>
  <si>
    <t>Christina Black</t>
  </si>
  <si>
    <t>Joseph Mendez</t>
  </si>
  <si>
    <t>Matthew Davis</t>
  </si>
  <si>
    <t>Denise Hanna</t>
  </si>
  <si>
    <t>Nicole Estrada</t>
  </si>
  <si>
    <t>Jorge Sanders</t>
  </si>
  <si>
    <t>Zachary King</t>
  </si>
  <si>
    <t>Jennifer Ashley</t>
  </si>
  <si>
    <t>James Harris</t>
  </si>
  <si>
    <t>William Dawson</t>
  </si>
  <si>
    <t>Joel Gonzalez</t>
  </si>
  <si>
    <t>Lisa Deleon</t>
  </si>
  <si>
    <t>Sarah Roach</t>
  </si>
  <si>
    <t>Curtis Turner</t>
  </si>
  <si>
    <t>Virginia Kramer</t>
  </si>
  <si>
    <t>Rebecca Hanson</t>
  </si>
  <si>
    <t>Brittany Lam</t>
  </si>
  <si>
    <t>David Alvarez</t>
  </si>
  <si>
    <t>Angela White</t>
  </si>
  <si>
    <t>Derrick Nash</t>
  </si>
  <si>
    <t>Patricia Pittman</t>
  </si>
  <si>
    <t>Ashley Wilson</t>
  </si>
  <si>
    <t>Taylor Gaines</t>
  </si>
  <si>
    <t>Shelley Harper</t>
  </si>
  <si>
    <t>Megan Brennan</t>
  </si>
  <si>
    <t>Kari White</t>
  </si>
  <si>
    <t>Lisa Terry</t>
  </si>
  <si>
    <t>Heather Mcneil</t>
  </si>
  <si>
    <t>Amanda Frost</t>
  </si>
  <si>
    <t>Amy Kerr</t>
  </si>
  <si>
    <t>Jack Zimmerman</t>
  </si>
  <si>
    <t>Larry Yoder</t>
  </si>
  <si>
    <t>Nicholas Villarreal</t>
  </si>
  <si>
    <t>Jason Miller</t>
  </si>
  <si>
    <t>Julia Avila</t>
  </si>
  <si>
    <t>Michael Matthews</t>
  </si>
  <si>
    <t>Laura Gonzalez</t>
  </si>
  <si>
    <t>Christie Hancock</t>
  </si>
  <si>
    <t>Joseph Hernandez</t>
  </si>
  <si>
    <t>James Kim</t>
  </si>
  <si>
    <t>Allison Stanley</t>
  </si>
  <si>
    <t>Rodney Evans</t>
  </si>
  <si>
    <t>Scott Russell</t>
  </si>
  <si>
    <t>Jennifer Livingston</t>
  </si>
  <si>
    <t>Brian Cooper</t>
  </si>
  <si>
    <t>Monica Martin MD</t>
  </si>
  <si>
    <t>Madison Webb</t>
  </si>
  <si>
    <t>Melissa Tucker</t>
  </si>
  <si>
    <t>Danny Crawford</t>
  </si>
  <si>
    <t>Angela Willis</t>
  </si>
  <si>
    <t>John Young</t>
  </si>
  <si>
    <t>Heidi Fleming</t>
  </si>
  <si>
    <t>Jeffrey Sloan</t>
  </si>
  <si>
    <t>Valerie Dennis</t>
  </si>
  <si>
    <t>Madeline Smith</t>
  </si>
  <si>
    <t>Anthony Hernandez</t>
  </si>
  <si>
    <t>Alan Howell</t>
  </si>
  <si>
    <t>James Davis</t>
  </si>
  <si>
    <t>Brandon Quinn</t>
  </si>
  <si>
    <t>Kari Smith</t>
  </si>
  <si>
    <t>Betty Roach</t>
  </si>
  <si>
    <t>Bradley Clark</t>
  </si>
  <si>
    <t>Aaron Novak</t>
  </si>
  <si>
    <t>Jennifer Forbes</t>
  </si>
  <si>
    <t>Christine Medina</t>
  </si>
  <si>
    <t>Jeffrey Galloway</t>
  </si>
  <si>
    <t>Heather Moore</t>
  </si>
  <si>
    <t>Robert Rogers MD</t>
  </si>
  <si>
    <t>Matthew Schmitt</t>
  </si>
  <si>
    <t>Elizabeth Williams</t>
  </si>
  <si>
    <t>Tracy Martinez</t>
  </si>
  <si>
    <t>Donald Anderson</t>
  </si>
  <si>
    <t>Michael Smith</t>
  </si>
  <si>
    <t>Lee Thomas</t>
  </si>
  <si>
    <t>Carl Knox</t>
  </si>
  <si>
    <t>Eugene Black</t>
  </si>
  <si>
    <t>Ryan Ferrell</t>
  </si>
  <si>
    <t>Kelli Crawford</t>
  </si>
  <si>
    <t>Scott Cook</t>
  </si>
  <si>
    <t>Tracy Hughes</t>
  </si>
  <si>
    <t>David Morales</t>
  </si>
  <si>
    <t>Kelly Strong</t>
  </si>
  <si>
    <t>Laura Hardy</t>
  </si>
  <si>
    <t>Jennifer Mcgee</t>
  </si>
  <si>
    <t>Marcus Miller</t>
  </si>
  <si>
    <t>Austin Bartlett</t>
  </si>
  <si>
    <t>Sara Barrera</t>
  </si>
  <si>
    <t>Joshua Johnson</t>
  </si>
  <si>
    <t>Mr. Miguel Carter</t>
  </si>
  <si>
    <t>Oscar Watson</t>
  </si>
  <si>
    <t>Jonathan Pugh</t>
  </si>
  <si>
    <t>Eric Esparza</t>
  </si>
  <si>
    <t>Matthew Mays</t>
  </si>
  <si>
    <t>Catherine Carter</t>
  </si>
  <si>
    <t>Christina Fisher</t>
  </si>
  <si>
    <t>Edward Hoover</t>
  </si>
  <si>
    <t>Ryan Meyer</t>
  </si>
  <si>
    <t>Jeremy White</t>
  </si>
  <si>
    <t>Kelly Armstrong</t>
  </si>
  <si>
    <t>Shelly Anderson</t>
  </si>
  <si>
    <t>Joseph Graham</t>
  </si>
  <si>
    <t>Yesenia Cooper</t>
  </si>
  <si>
    <t>Darin Lane</t>
  </si>
  <si>
    <t>George Gibson</t>
  </si>
  <si>
    <t>Wendy Carlson</t>
  </si>
  <si>
    <t>Mrs. Elizabeth Vargas</t>
  </si>
  <si>
    <t>Whitney Martinez</t>
  </si>
  <si>
    <t>Cynthia Evans</t>
  </si>
  <si>
    <t>Rebecca Perez</t>
  </si>
  <si>
    <t>Tyler White</t>
  </si>
  <si>
    <t>Justin Goodwin</t>
  </si>
  <si>
    <t>Yolanda Fisher</t>
  </si>
  <si>
    <t>Kyle Lewis</t>
  </si>
  <si>
    <t>Cassandra Long</t>
  </si>
  <si>
    <t>Jennifer Wolfe</t>
  </si>
  <si>
    <t>Eric Kelley</t>
  </si>
  <si>
    <t>Stacey Meyer</t>
  </si>
  <si>
    <t>Jacob Brown</t>
  </si>
  <si>
    <t>Krystal Townsend</t>
  </si>
  <si>
    <t>Cassandra Hamilton</t>
  </si>
  <si>
    <t>Daniel Fernandez</t>
  </si>
  <si>
    <t>William Horn</t>
  </si>
  <si>
    <t>Jack Mcbride</t>
  </si>
  <si>
    <t>Austin Elliott</t>
  </si>
  <si>
    <t>Robin Benson</t>
  </si>
  <si>
    <t>Laura Edwards</t>
  </si>
  <si>
    <t>Thomas Green</t>
  </si>
  <si>
    <t>Tiffany Howell</t>
  </si>
  <si>
    <t>Gordon Delacruz</t>
  </si>
  <si>
    <t>Jill Ross</t>
  </si>
  <si>
    <t>Kelly Romero</t>
  </si>
  <si>
    <t>Jacob Leblanc</t>
  </si>
  <si>
    <t>Patricia Henderson</t>
  </si>
  <si>
    <t>Mitchell Cooke</t>
  </si>
  <si>
    <t>Rose Sharp</t>
  </si>
  <si>
    <t>Linda Arnold</t>
  </si>
  <si>
    <t>Reginald Morgan</t>
  </si>
  <si>
    <t>Jamie Kline</t>
  </si>
  <si>
    <t>Bill Jacobson</t>
  </si>
  <si>
    <t>Alexis Cole</t>
  </si>
  <si>
    <t>Kayla Roach</t>
  </si>
  <si>
    <t>Scott Nicholson</t>
  </si>
  <si>
    <t>Edward Ross</t>
  </si>
  <si>
    <t>Kenneth Cox</t>
  </si>
  <si>
    <t>Calvin Jacobs</t>
  </si>
  <si>
    <t>Jennifer Soto</t>
  </si>
  <si>
    <t>Micheal Thompson</t>
  </si>
  <si>
    <t>Nathan Gonzalez</t>
  </si>
  <si>
    <t>Logan Delacruz</t>
  </si>
  <si>
    <t>Michelle Guerra</t>
  </si>
  <si>
    <t>Jessica Harris</t>
  </si>
  <si>
    <t>Christopher Watson</t>
  </si>
  <si>
    <t>Linda Larson</t>
  </si>
  <si>
    <t>Joshua Galvan</t>
  </si>
  <si>
    <t>Edgar Wise</t>
  </si>
  <si>
    <t>Clifford Avila</t>
  </si>
  <si>
    <t>Nicholas Morris</t>
  </si>
  <si>
    <t>Laura Wilson</t>
  </si>
  <si>
    <t>Kenneth Barker</t>
  </si>
  <si>
    <t>Joshua Wallace</t>
  </si>
  <si>
    <t>Todd Mcdonald</t>
  </si>
  <si>
    <t>Eric Howe</t>
  </si>
  <si>
    <t>Kathryn Little</t>
  </si>
  <si>
    <t>Laura Glass MD</t>
  </si>
  <si>
    <t>Sarah Johnson</t>
  </si>
  <si>
    <t>Pamela Torres</t>
  </si>
  <si>
    <t>Christopher Garrett</t>
  </si>
  <si>
    <t>Paula Watson</t>
  </si>
  <si>
    <t>Mr. Hector Wade</t>
  </si>
  <si>
    <t>Ashley Hunt</t>
  </si>
  <si>
    <t>Matthew Powell</t>
  </si>
  <si>
    <t>Heather Reed</t>
  </si>
  <si>
    <t>Shirley Smith</t>
  </si>
  <si>
    <t>Jennifer Gonzalez</t>
  </si>
  <si>
    <t>Jason Garcia</t>
  </si>
  <si>
    <t>Lauren Blanchard</t>
  </si>
  <si>
    <t>Steven Morgan</t>
  </si>
  <si>
    <t>Brandi Alvarez</t>
  </si>
  <si>
    <t>Robert Morgan</t>
  </si>
  <si>
    <t>Gina Clark</t>
  </si>
  <si>
    <t>Brent Garza</t>
  </si>
  <si>
    <t>Joseph Williams</t>
  </si>
  <si>
    <t>Amber Alexander</t>
  </si>
  <si>
    <t>Carolyn Smith</t>
  </si>
  <si>
    <t>William Cooper</t>
  </si>
  <si>
    <t>Melissa Myers</t>
  </si>
  <si>
    <t>Savannah Gonzalez</t>
  </si>
  <si>
    <t>Monica Gonzales</t>
  </si>
  <si>
    <t>Lance Rodriguez II</t>
  </si>
  <si>
    <t>Whitney Carlson</t>
  </si>
  <si>
    <t>Mary Fox</t>
  </si>
  <si>
    <t>Katie Glenn</t>
  </si>
  <si>
    <t>Jerry Allen</t>
  </si>
  <si>
    <t>Anthony Beasley</t>
  </si>
  <si>
    <t>Amy Coleman</t>
  </si>
  <si>
    <t>Jessica Smith</t>
  </si>
  <si>
    <t>Douglas Velasquez</t>
  </si>
  <si>
    <t>Chelsea Flores</t>
  </si>
  <si>
    <t>Norman Gomez</t>
  </si>
  <si>
    <t>Lindsay Gibbs</t>
  </si>
  <si>
    <t>Kyle Morgan</t>
  </si>
  <si>
    <t>Brian Brooks</t>
  </si>
  <si>
    <t>Michelle Foley</t>
  </si>
  <si>
    <t>David Martinez</t>
  </si>
  <si>
    <t>Richard Shaw</t>
  </si>
  <si>
    <t>Jeffrey Chen</t>
  </si>
  <si>
    <t>Zachary Morris</t>
  </si>
  <si>
    <t>Allen Anthony</t>
  </si>
  <si>
    <t>Michael Clements</t>
  </si>
  <si>
    <t>Adam Vasquez</t>
  </si>
  <si>
    <t>Richard Mckay</t>
  </si>
  <si>
    <t>Michael Jones</t>
  </si>
  <si>
    <t>April Williams</t>
  </si>
  <si>
    <t>Destiny Simmons</t>
  </si>
  <si>
    <t>Amanda Crawford</t>
  </si>
  <si>
    <t>Jennifer Calderon</t>
  </si>
  <si>
    <t>Jesse Riley</t>
  </si>
  <si>
    <t>Amber Miller</t>
  </si>
  <si>
    <t>Maureen Camacho</t>
  </si>
  <si>
    <t>Jacob Ramos</t>
  </si>
  <si>
    <t>Deborah Hoffman</t>
  </si>
  <si>
    <t>Sharon Morales</t>
  </si>
  <si>
    <t>Ryan Anderson</t>
  </si>
  <si>
    <t>Natalie Hansen</t>
  </si>
  <si>
    <t>Jimmy Pugh</t>
  </si>
  <si>
    <t>Anne Nguyen</t>
  </si>
  <si>
    <t>Rebecca Lambert</t>
  </si>
  <si>
    <t>Cindy Dunn</t>
  </si>
  <si>
    <t>Melissa Alvarez</t>
  </si>
  <si>
    <t>Melinda Beasley</t>
  </si>
  <si>
    <t>Mark Mathis</t>
  </si>
  <si>
    <t>Sharon Jimenez</t>
  </si>
  <si>
    <t>David Woods</t>
  </si>
  <si>
    <t>Jean Singh</t>
  </si>
  <si>
    <t>Tiffany Davis</t>
  </si>
  <si>
    <t>George Carlson</t>
  </si>
  <si>
    <t>Michaela Smith PhD</t>
  </si>
  <si>
    <t>Randall Gordon</t>
  </si>
  <si>
    <t>Melinda Harris</t>
  </si>
  <si>
    <t>Edwin Reyes</t>
  </si>
  <si>
    <t>Christopher Hooper</t>
  </si>
  <si>
    <t>Sandy Aguilar</t>
  </si>
  <si>
    <t>Malik Lane</t>
  </si>
  <si>
    <t>Lynn Pratt</t>
  </si>
  <si>
    <t>Misty Martinez</t>
  </si>
  <si>
    <t>Jennifer Hill</t>
  </si>
  <si>
    <t>Shawn Miles</t>
  </si>
  <si>
    <t>Jonathon Oconnor</t>
  </si>
  <si>
    <t>Katie Coleman</t>
  </si>
  <si>
    <t>Kelly Brown</t>
  </si>
  <si>
    <t>Stephanie Moore</t>
  </si>
  <si>
    <t>Joseph Reed</t>
  </si>
  <si>
    <t>Kimberly Butler</t>
  </si>
  <si>
    <t>Amy White</t>
  </si>
  <si>
    <t>Dr. Crystal Jenkins</t>
  </si>
  <si>
    <t>Cynthia Moody</t>
  </si>
  <si>
    <t>April Hudson</t>
  </si>
  <si>
    <t>Jennifer Ware</t>
  </si>
  <si>
    <t>Mike Rodriguez</t>
  </si>
  <si>
    <t>Keith Lewis</t>
  </si>
  <si>
    <t>Elizabeth Hernandez</t>
  </si>
  <si>
    <t>Joe Gonzalez</t>
  </si>
  <si>
    <t>Roy Schaefer</t>
  </si>
  <si>
    <t>Jennifer Bautista</t>
  </si>
  <si>
    <t>Jessica Lambert</t>
  </si>
  <si>
    <t>Ashley Ewing</t>
  </si>
  <si>
    <t>Derrick Flores</t>
  </si>
  <si>
    <t>Judith Miller</t>
  </si>
  <si>
    <t>Dwayne James</t>
  </si>
  <si>
    <t>Philip Orr</t>
  </si>
  <si>
    <t>Tracy Green</t>
  </si>
  <si>
    <t>Annette Griffin</t>
  </si>
  <si>
    <t>Aimee Diaz</t>
  </si>
  <si>
    <t>William Dalton</t>
  </si>
  <si>
    <t>Mark Gray</t>
  </si>
  <si>
    <t>Michael Lucas</t>
  </si>
  <si>
    <t>Julian Gonzales</t>
  </si>
  <si>
    <t>Sandra Huang</t>
  </si>
  <si>
    <t>Chad Davis</t>
  </si>
  <si>
    <t>Leah Flowers</t>
  </si>
  <si>
    <t>Gabriel Alexander</t>
  </si>
  <si>
    <t>Robert Jones</t>
  </si>
  <si>
    <t>Margaret Johnson</t>
  </si>
  <si>
    <t>Stacey Harris</t>
  </si>
  <si>
    <t>Sean Brown MD</t>
  </si>
  <si>
    <t>Ronald Moody</t>
  </si>
  <si>
    <t>Andrew Buchanan</t>
  </si>
  <si>
    <t>Timothy Medina</t>
  </si>
  <si>
    <t>Ronald Fischer</t>
  </si>
  <si>
    <t>Lindsey Barnett</t>
  </si>
  <si>
    <t>Richard Young</t>
  </si>
  <si>
    <t>Andrew Johnson</t>
  </si>
  <si>
    <t>Mrs. Monica Hansen</t>
  </si>
  <si>
    <t>Darren Bolton</t>
  </si>
  <si>
    <t>Jeremy Greene</t>
  </si>
  <si>
    <t>Nathan Anderson</t>
  </si>
  <si>
    <t>Dr. Jason Moran</t>
  </si>
  <si>
    <t>Darlene Miller</t>
  </si>
  <si>
    <t>Grace Anderson</t>
  </si>
  <si>
    <t>Robert Hughes</t>
  </si>
  <si>
    <t>Kathleen Ford</t>
  </si>
  <si>
    <t>Edward Welch</t>
  </si>
  <si>
    <t>Richard Owens</t>
  </si>
  <si>
    <t>Jose Diaz</t>
  </si>
  <si>
    <t>Nicholas Williams</t>
  </si>
  <si>
    <t>Jessica Wheeler</t>
  </si>
  <si>
    <t>Sandra Rodgers</t>
  </si>
  <si>
    <t>Henry Collins</t>
  </si>
  <si>
    <t>Emily Hall</t>
  </si>
  <si>
    <t>Laura Wolf</t>
  </si>
  <si>
    <t>Kirk Hughes</t>
  </si>
  <si>
    <t>Mathew Hobbs</t>
  </si>
  <si>
    <t>Dustin Hunt</t>
  </si>
  <si>
    <t>Cory Salinas</t>
  </si>
  <si>
    <t>Samantha Willis</t>
  </si>
  <si>
    <t>Mr. George Gibson</t>
  </si>
  <si>
    <t>Alex Jones</t>
  </si>
  <si>
    <t>Jennifer Simpson</t>
  </si>
  <si>
    <t>Robert Miller</t>
  </si>
  <si>
    <t>Nathan Holland</t>
  </si>
  <si>
    <t>David Davis</t>
  </si>
  <si>
    <t>Stacy Robinson</t>
  </si>
  <si>
    <t>Paula Wallace</t>
  </si>
  <si>
    <t>Robert Vasquez</t>
  </si>
  <si>
    <t>Travis Pratt</t>
  </si>
  <si>
    <t>Elizabeth Bryan</t>
  </si>
  <si>
    <t>Amy Garcia</t>
  </si>
  <si>
    <t>Christopher Johnson MD</t>
  </si>
  <si>
    <t>Alexis Weber</t>
  </si>
  <si>
    <t>Nicholas Sullivan</t>
  </si>
  <si>
    <t>Cesar Frederick</t>
  </si>
  <si>
    <t>Jeffrey Boyd</t>
  </si>
  <si>
    <t>Joshua Arellano</t>
  </si>
  <si>
    <t>Edward Brown</t>
  </si>
  <si>
    <t>Kathryn Zimmerman</t>
  </si>
  <si>
    <t>James Ross</t>
  </si>
  <si>
    <t>Javier Duarte</t>
  </si>
  <si>
    <t>Karen Wolf</t>
  </si>
  <si>
    <t>Tyrone Parrish</t>
  </si>
  <si>
    <t>Sabrina Lawrence</t>
  </si>
  <si>
    <t>Brenda Lopez</t>
  </si>
  <si>
    <t>Travis James MD</t>
  </si>
  <si>
    <t>Louis Mcknight</t>
  </si>
  <si>
    <t>David Butler</t>
  </si>
  <si>
    <t>Matthew Watson</t>
  </si>
  <si>
    <t>Johnny Garcia</t>
  </si>
  <si>
    <t>William Weiss</t>
  </si>
  <si>
    <t>Jacob Love</t>
  </si>
  <si>
    <t>Jessica Holmes</t>
  </si>
  <si>
    <t>Justin Hicks</t>
  </si>
  <si>
    <t>Nicole Hayden</t>
  </si>
  <si>
    <t>Alisha Smith</t>
  </si>
  <si>
    <t>Claire Conway</t>
  </si>
  <si>
    <t>Steve Mcdonald</t>
  </si>
  <si>
    <t>Lisa Smith</t>
  </si>
  <si>
    <t>Alexandra Hamilton</t>
  </si>
  <si>
    <t>Allison Whitehead</t>
  </si>
  <si>
    <t>Joe Ellis</t>
  </si>
  <si>
    <t>Mrs. Robin Buchanan</t>
  </si>
  <si>
    <t>Ian Gonzales Jr.</t>
  </si>
  <si>
    <t>Courtney Hooper</t>
  </si>
  <si>
    <t>Shannon Guerra</t>
  </si>
  <si>
    <t>Ms. Lauren Martin DDS</t>
  </si>
  <si>
    <t>Joseph Mullen</t>
  </si>
  <si>
    <t>Stephanie Best</t>
  </si>
  <si>
    <t>Tyler Pena</t>
  </si>
  <si>
    <t>Anthony Michael</t>
  </si>
  <si>
    <t>Juan Blevins</t>
  </si>
  <si>
    <t>Lauren Kelley</t>
  </si>
  <si>
    <t>Shawn Fischer</t>
  </si>
  <si>
    <t>Ricardo Figueroa</t>
  </si>
  <si>
    <t>Jesus Lee</t>
  </si>
  <si>
    <t>David Gonzalez</t>
  </si>
  <si>
    <t>Justin Thomas</t>
  </si>
  <si>
    <t>Angel Davis</t>
  </si>
  <si>
    <t>Jacob Peterson</t>
  </si>
  <si>
    <t>Jessica Vasquez</t>
  </si>
  <si>
    <t>James Robinson</t>
  </si>
  <si>
    <t>Richard Lee</t>
  </si>
  <si>
    <t>William Williams</t>
  </si>
  <si>
    <t>Karen Thomas</t>
  </si>
  <si>
    <t>Cynthia Turner</t>
  </si>
  <si>
    <t>Brianna Blake</t>
  </si>
  <si>
    <t>Justin Sloan</t>
  </si>
  <si>
    <t>Adrian Foster</t>
  </si>
  <si>
    <t>Bradley Flores</t>
  </si>
  <si>
    <t>Keith Johnson</t>
  </si>
  <si>
    <t>Carolyn Mcdonald</t>
  </si>
  <si>
    <t>Eric Cruz</t>
  </si>
  <si>
    <t>Tonya Young</t>
  </si>
  <si>
    <t>Patrick Price</t>
  </si>
  <si>
    <t>Tony Johnson</t>
  </si>
  <si>
    <t>Donald Robinson</t>
  </si>
  <si>
    <t>Timothy May</t>
  </si>
  <si>
    <t>Paul Mckay</t>
  </si>
  <si>
    <t>Megan Aguilar</t>
  </si>
  <si>
    <t>Karen Garcia</t>
  </si>
  <si>
    <t>Ryan Moore</t>
  </si>
  <si>
    <t>Carol Barnett</t>
  </si>
  <si>
    <t>Anthony Whitehead</t>
  </si>
  <si>
    <t>Joshua Hansen</t>
  </si>
  <si>
    <t>Katherine Boyle</t>
  </si>
  <si>
    <t>Holly Anderson</t>
  </si>
  <si>
    <t>Brad Thomas</t>
  </si>
  <si>
    <t>Joshua Baker</t>
  </si>
  <si>
    <t>Michelle Miller</t>
  </si>
  <si>
    <t>Jeremy Beck</t>
  </si>
  <si>
    <t>Rachael Peterson</t>
  </si>
  <si>
    <t>Dawn Fitzpatrick</t>
  </si>
  <si>
    <t>Heather Harrison</t>
  </si>
  <si>
    <t>Christopher Barnett</t>
  </si>
  <si>
    <t>Kayla Perez</t>
  </si>
  <si>
    <t>Sarah Abbott</t>
  </si>
  <si>
    <t>Jennifer Holland</t>
  </si>
  <si>
    <t>Mr. Michael Horn DDS</t>
  </si>
  <si>
    <t>Thomas Collins</t>
  </si>
  <si>
    <t>Debra Sanchez</t>
  </si>
  <si>
    <t>Erin Caldwell</t>
  </si>
  <si>
    <t>Bruce Wilson</t>
  </si>
  <si>
    <t>Jason Murray</t>
  </si>
  <si>
    <t>Mrs. Tara Watson</t>
  </si>
  <si>
    <t>Cynthia Ford</t>
  </si>
  <si>
    <t>Benjamin Barnett</t>
  </si>
  <si>
    <t>Shane Le</t>
  </si>
  <si>
    <t>Michaela White</t>
  </si>
  <si>
    <t>Marcus Heath</t>
  </si>
  <si>
    <t>Marilyn Foster</t>
  </si>
  <si>
    <t>Lisa Hunter</t>
  </si>
  <si>
    <t>Matthew Flores</t>
  </si>
  <si>
    <t>Donna Gonzalez</t>
  </si>
  <si>
    <t>Joshua Valencia</t>
  </si>
  <si>
    <t>Mikayla Smith</t>
  </si>
  <si>
    <t>Alicia Harris</t>
  </si>
  <si>
    <t>Maria Perez</t>
  </si>
  <si>
    <t>Terri Bowman</t>
  </si>
  <si>
    <t>Jorge English</t>
  </si>
  <si>
    <t>Donald Walker</t>
  </si>
  <si>
    <t>Amanda Clarke</t>
  </si>
  <si>
    <t>Jordan Daniels</t>
  </si>
  <si>
    <t>Pamela Roach</t>
  </si>
  <si>
    <t>Jennifer Rhodes</t>
  </si>
  <si>
    <t>Adam Mendoza</t>
  </si>
  <si>
    <t>Joshua Orozco</t>
  </si>
  <si>
    <t>Kerri Mendez</t>
  </si>
  <si>
    <t>Laura Aguirre</t>
  </si>
  <si>
    <t>Jason Lawson</t>
  </si>
  <si>
    <t>Scott Coleman</t>
  </si>
  <si>
    <t>Catherine White DVM</t>
  </si>
  <si>
    <t>Dawn Hubbard</t>
  </si>
  <si>
    <t>Brandy Holmes</t>
  </si>
  <si>
    <t>Matthew Chung</t>
  </si>
  <si>
    <t>Kevin Wong</t>
  </si>
  <si>
    <t>Jacob Todd</t>
  </si>
  <si>
    <t>James Campbell</t>
  </si>
  <si>
    <t>Steve Williams</t>
  </si>
  <si>
    <t>Stephen Mayo</t>
  </si>
  <si>
    <t>Mr. Thomas Flores</t>
  </si>
  <si>
    <t>Elizabeth Ortiz</t>
  </si>
  <si>
    <t>Mary White</t>
  </si>
  <si>
    <t>Christina Montgomery</t>
  </si>
  <si>
    <t>Christopher Jones</t>
  </si>
  <si>
    <t>Zachary Stone</t>
  </si>
  <si>
    <t>William Harrison DDS</t>
  </si>
  <si>
    <t>Amanda Dennis</t>
  </si>
  <si>
    <t>Samantha Mccann</t>
  </si>
  <si>
    <t>Kevin Wright</t>
  </si>
  <si>
    <t>Kimberly Khan</t>
  </si>
  <si>
    <t>Christopher Spencer</t>
  </si>
  <si>
    <t>Alan Brown</t>
  </si>
  <si>
    <t>Anna Maxwell</t>
  </si>
  <si>
    <t>Cindy Haney</t>
  </si>
  <si>
    <t>Veronica James</t>
  </si>
  <si>
    <t>Kristi Castillo</t>
  </si>
  <si>
    <t>David Yang</t>
  </si>
  <si>
    <t>Valerie Lawson</t>
  </si>
  <si>
    <t>James Green</t>
  </si>
  <si>
    <t>Chelsea Benson</t>
  </si>
  <si>
    <t>Kimberly Johnson</t>
  </si>
  <si>
    <t>Paula Thompson</t>
  </si>
  <si>
    <t>Michael May</t>
  </si>
  <si>
    <t>Austin Cannon</t>
  </si>
  <si>
    <t>Donald Mendez</t>
  </si>
  <si>
    <t>Lisa Taylor</t>
  </si>
  <si>
    <t>Cynthia Koch</t>
  </si>
  <si>
    <t>Colleen Hughes</t>
  </si>
  <si>
    <t>Melanie Taylor</t>
  </si>
  <si>
    <t>Cheryl Snyder</t>
  </si>
  <si>
    <t>George Wallace</t>
  </si>
  <si>
    <t>Monica Melendez</t>
  </si>
  <si>
    <t>Lindsey Green</t>
  </si>
  <si>
    <t>Tracy Miller</t>
  </si>
  <si>
    <t>Nicholas Torres</t>
  </si>
  <si>
    <t>Jacqueline Jenkins</t>
  </si>
  <si>
    <t>Stephen Rodriguez</t>
  </si>
  <si>
    <t>Michael Moss</t>
  </si>
  <si>
    <t>Richard Baldwin</t>
  </si>
  <si>
    <t>Latoya Stephens</t>
  </si>
  <si>
    <t>Debbie Gould</t>
  </si>
  <si>
    <t>Marie Martin</t>
  </si>
  <si>
    <t>Daniel Miller</t>
  </si>
  <si>
    <t>Brenda Lane</t>
  </si>
  <si>
    <t>David Wu</t>
  </si>
  <si>
    <t>Leroy Kaiser</t>
  </si>
  <si>
    <t>Natalie Patel</t>
  </si>
  <si>
    <t>Zachary Leblanc</t>
  </si>
  <si>
    <t>Patricia Smith</t>
  </si>
  <si>
    <t>William Gay</t>
  </si>
  <si>
    <t>John Bowman</t>
  </si>
  <si>
    <t>Regina Duarte</t>
  </si>
  <si>
    <t>Catherine Sanchez</t>
  </si>
  <si>
    <t>Jonathan Kim</t>
  </si>
  <si>
    <t>David Rios</t>
  </si>
  <si>
    <t>Tiffany Ewing</t>
  </si>
  <si>
    <t>Kevin Anderson</t>
  </si>
  <si>
    <t>Jeff Ford</t>
  </si>
  <si>
    <t>Rebecca Thomas</t>
  </si>
  <si>
    <t>Matthew Murphy</t>
  </si>
  <si>
    <t>Jacqueline Mcclain</t>
  </si>
  <si>
    <t>Mr. Curtis Hammond</t>
  </si>
  <si>
    <t>Stephen Taylor</t>
  </si>
  <si>
    <t>Laura Martin</t>
  </si>
  <si>
    <t>Felicia Harris</t>
  </si>
  <si>
    <t>Cindy Diaz</t>
  </si>
  <si>
    <t>Kevin Alvarez</t>
  </si>
  <si>
    <t>Kevin Crawford</t>
  </si>
  <si>
    <t>Lynn Munoz</t>
  </si>
  <si>
    <t>April Bennett</t>
  </si>
  <si>
    <t>Brittany Warner</t>
  </si>
  <si>
    <t>Albert Simmons</t>
  </si>
  <si>
    <t>David Molina</t>
  </si>
  <si>
    <t>Jeffrey Collins</t>
  </si>
  <si>
    <t>Amanda Brown</t>
  </si>
  <si>
    <t>Stephanie Bishop</t>
  </si>
  <si>
    <t>Jennifer Johnson</t>
  </si>
  <si>
    <t>David Hammond</t>
  </si>
  <si>
    <t>Joseph Nichols</t>
  </si>
  <si>
    <t>Russell Johnson</t>
  </si>
  <si>
    <t>Alexander Wood</t>
  </si>
  <si>
    <t>Melissa Stanley</t>
  </si>
  <si>
    <t>Dr. Nicholas Horn</t>
  </si>
  <si>
    <t>Brenda Brown</t>
  </si>
  <si>
    <t>Nathaniel Cochran</t>
  </si>
  <si>
    <t>Terrence Robertson</t>
  </si>
  <si>
    <t>Eric Armstrong</t>
  </si>
  <si>
    <t>James Cross</t>
  </si>
  <si>
    <t>Melissa Orr</t>
  </si>
  <si>
    <t>Eric Alexander</t>
  </si>
  <si>
    <t>Jessica Francis</t>
  </si>
  <si>
    <t>Randy Mueller</t>
  </si>
  <si>
    <t>Ryan Simpson</t>
  </si>
  <si>
    <t>Joseph Conner</t>
  </si>
  <si>
    <t>Mr. Jared Mason</t>
  </si>
  <si>
    <t>Alicia Kelley</t>
  </si>
  <si>
    <t>Steven Martin</t>
  </si>
  <si>
    <t>Zachary Thompson DDS</t>
  </si>
  <si>
    <t>Jonathon Harrington</t>
  </si>
  <si>
    <t>David Powell</t>
  </si>
  <si>
    <t>William Morse</t>
  </si>
  <si>
    <t>Joshua Kelly</t>
  </si>
  <si>
    <t>Juan Williams</t>
  </si>
  <si>
    <t>Brenda Holder</t>
  </si>
  <si>
    <t>Shawn Abbott</t>
  </si>
  <si>
    <t>Paula Wilkinson</t>
  </si>
  <si>
    <t>LM143001</t>
  </si>
  <si>
    <t>LM143002</t>
  </si>
  <si>
    <t>LM143003</t>
  </si>
  <si>
    <t>LM143004</t>
  </si>
  <si>
    <t>LM143005</t>
  </si>
  <si>
    <t>LM143006</t>
  </si>
  <si>
    <t>LM143007</t>
  </si>
  <si>
    <t>LM143008</t>
  </si>
  <si>
    <t>LM143009</t>
  </si>
  <si>
    <t>LM143010</t>
  </si>
  <si>
    <t>LM143011</t>
  </si>
  <si>
    <t>LM143012</t>
  </si>
  <si>
    <t>LM143013</t>
  </si>
  <si>
    <t>LM143014</t>
  </si>
  <si>
    <t>LM143015</t>
  </si>
  <si>
    <t>LM143016</t>
  </si>
  <si>
    <t>LM143017</t>
  </si>
  <si>
    <t>LM143018</t>
  </si>
  <si>
    <t>LM143019</t>
  </si>
  <si>
    <t>LM143020</t>
  </si>
  <si>
    <t>LM143021</t>
  </si>
  <si>
    <t>LM143022</t>
  </si>
  <si>
    <t>LM143023</t>
  </si>
  <si>
    <t>LM143024</t>
  </si>
  <si>
    <t>LM143025</t>
  </si>
  <si>
    <t>LM143026</t>
  </si>
  <si>
    <t>LM143027</t>
  </si>
  <si>
    <t>LM143028</t>
  </si>
  <si>
    <t>LM143029</t>
  </si>
  <si>
    <t>LM143030</t>
  </si>
  <si>
    <t>LM143031</t>
  </si>
  <si>
    <t>LM143032</t>
  </si>
  <si>
    <t>LM143033</t>
  </si>
  <si>
    <t>LM143034</t>
  </si>
  <si>
    <t>LM143035</t>
  </si>
  <si>
    <t>LM143036</t>
  </si>
  <si>
    <t>LM143037</t>
  </si>
  <si>
    <t>LM143038</t>
  </si>
  <si>
    <t>LM143039</t>
  </si>
  <si>
    <t>LM143040</t>
  </si>
  <si>
    <t>LM143041</t>
  </si>
  <si>
    <t>LM143042</t>
  </si>
  <si>
    <t>LM143043</t>
  </si>
  <si>
    <t>LM143044</t>
  </si>
  <si>
    <t>LM143045</t>
  </si>
  <si>
    <t>LM143046</t>
  </si>
  <si>
    <t>LM143047</t>
  </si>
  <si>
    <t>LM143048</t>
  </si>
  <si>
    <t>LM143049</t>
  </si>
  <si>
    <t>LM143050</t>
  </si>
  <si>
    <t>LM143051</t>
  </si>
  <si>
    <t>LM143052</t>
  </si>
  <si>
    <t>LM143053</t>
  </si>
  <si>
    <t>LM143054</t>
  </si>
  <si>
    <t>LM143055</t>
  </si>
  <si>
    <t>LM143056</t>
  </si>
  <si>
    <t>LM143057</t>
  </si>
  <si>
    <t>LM143058</t>
  </si>
  <si>
    <t>LM143059</t>
  </si>
  <si>
    <t>LM143060</t>
  </si>
  <si>
    <t>LM143061</t>
  </si>
  <si>
    <t>LM143062</t>
  </si>
  <si>
    <t>LM143063</t>
  </si>
  <si>
    <t>LM143064</t>
  </si>
  <si>
    <t>LM143065</t>
  </si>
  <si>
    <t>LM143066</t>
  </si>
  <si>
    <t>LM143067</t>
  </si>
  <si>
    <t>LM143068</t>
  </si>
  <si>
    <t>LM143069</t>
  </si>
  <si>
    <t>LM143070</t>
  </si>
  <si>
    <t>LM143071</t>
  </si>
  <si>
    <t>LM143072</t>
  </si>
  <si>
    <t>LM143073</t>
  </si>
  <si>
    <t>LM143074</t>
  </si>
  <si>
    <t>LM143075</t>
  </si>
  <si>
    <t>LM143076</t>
  </si>
  <si>
    <t>LM143077</t>
  </si>
  <si>
    <t>LM143078</t>
  </si>
  <si>
    <t>LM143079</t>
  </si>
  <si>
    <t>LM143080</t>
  </si>
  <si>
    <t>LM143081</t>
  </si>
  <si>
    <t>LM143082</t>
  </si>
  <si>
    <t>LM143083</t>
  </si>
  <si>
    <t>LM143084</t>
  </si>
  <si>
    <t>LM143085</t>
  </si>
  <si>
    <t>LM143086</t>
  </si>
  <si>
    <t>LM143087</t>
  </si>
  <si>
    <t>LM143088</t>
  </si>
  <si>
    <t>LM143089</t>
  </si>
  <si>
    <t>LM143090</t>
  </si>
  <si>
    <t>LM143091</t>
  </si>
  <si>
    <t>LM143092</t>
  </si>
  <si>
    <t>LM143093</t>
  </si>
  <si>
    <t>LM143094</t>
  </si>
  <si>
    <t>LM143095</t>
  </si>
  <si>
    <t>LM143096</t>
  </si>
  <si>
    <t>LM143097</t>
  </si>
  <si>
    <t>LM143098</t>
  </si>
  <si>
    <t>LM143099</t>
  </si>
  <si>
    <t>LM143100</t>
  </si>
  <si>
    <t>LM143101</t>
  </si>
  <si>
    <t>LM143102</t>
  </si>
  <si>
    <t>LM143103</t>
  </si>
  <si>
    <t>LM143104</t>
  </si>
  <si>
    <t>LM143105</t>
  </si>
  <si>
    <t>LM143106</t>
  </si>
  <si>
    <t>LM143107</t>
  </si>
  <si>
    <t>LM143108</t>
  </si>
  <si>
    <t>LM143109</t>
  </si>
  <si>
    <t>LM143110</t>
  </si>
  <si>
    <t>LM143111</t>
  </si>
  <si>
    <t>LM143112</t>
  </si>
  <si>
    <t>LM143113</t>
  </si>
  <si>
    <t>LM143114</t>
  </si>
  <si>
    <t>LM143115</t>
  </si>
  <si>
    <t>LM143116</t>
  </si>
  <si>
    <t>LM143117</t>
  </si>
  <si>
    <t>LM143118</t>
  </si>
  <si>
    <t>LM143119</t>
  </si>
  <si>
    <t>LM143120</t>
  </si>
  <si>
    <t>LM143121</t>
  </si>
  <si>
    <t>LM143122</t>
  </si>
  <si>
    <t>LM143123</t>
  </si>
  <si>
    <t>LM143124</t>
  </si>
  <si>
    <t>LM143125</t>
  </si>
  <si>
    <t>LM143126</t>
  </si>
  <si>
    <t>LM143127</t>
  </si>
  <si>
    <t>LM143128</t>
  </si>
  <si>
    <t>LM143129</t>
  </si>
  <si>
    <t>LM143130</t>
  </si>
  <si>
    <t>LM143131</t>
  </si>
  <si>
    <t>LM143132</t>
  </si>
  <si>
    <t>LM143133</t>
  </si>
  <si>
    <t>LM143134</t>
  </si>
  <si>
    <t>LM143135</t>
  </si>
  <si>
    <t>LM143136</t>
  </si>
  <si>
    <t>LM143137</t>
  </si>
  <si>
    <t>LM143138</t>
  </si>
  <si>
    <t>LM143139</t>
  </si>
  <si>
    <t>LM143140</t>
  </si>
  <si>
    <t>LM143141</t>
  </si>
  <si>
    <t>LM143142</t>
  </si>
  <si>
    <t>LM143143</t>
  </si>
  <si>
    <t>LM143144</t>
  </si>
  <si>
    <t>LM143145</t>
  </si>
  <si>
    <t>LM143146</t>
  </si>
  <si>
    <t>LM143147</t>
  </si>
  <si>
    <t>LM143148</t>
  </si>
  <si>
    <t>LM143149</t>
  </si>
  <si>
    <t>LM143150</t>
  </si>
  <si>
    <t>LM143151</t>
  </si>
  <si>
    <t>LM143152</t>
  </si>
  <si>
    <t>LM143153</t>
  </si>
  <si>
    <t>LM143154</t>
  </si>
  <si>
    <t>LM143155</t>
  </si>
  <si>
    <t>LM143156</t>
  </si>
  <si>
    <t>LM143157</t>
  </si>
  <si>
    <t>LM143158</t>
  </si>
  <si>
    <t>LM143159</t>
  </si>
  <si>
    <t>LM143160</t>
  </si>
  <si>
    <t>LM143161</t>
  </si>
  <si>
    <t>LM143162</t>
  </si>
  <si>
    <t>LM143163</t>
  </si>
  <si>
    <t>LM143164</t>
  </si>
  <si>
    <t>LM143165</t>
  </si>
  <si>
    <t>LM143166</t>
  </si>
  <si>
    <t>LM143167</t>
  </si>
  <si>
    <t>LM143168</t>
  </si>
  <si>
    <t>LM143169</t>
  </si>
  <si>
    <t>LM143170</t>
  </si>
  <si>
    <t>LM143171</t>
  </si>
  <si>
    <t>LM143172</t>
  </si>
  <si>
    <t>LM143173</t>
  </si>
  <si>
    <t>LM143174</t>
  </si>
  <si>
    <t>LM143175</t>
  </si>
  <si>
    <t>LM143176</t>
  </si>
  <si>
    <t>LM143177</t>
  </si>
  <si>
    <t>LM143178</t>
  </si>
  <si>
    <t>LM143179</t>
  </si>
  <si>
    <t>LM143180</t>
  </si>
  <si>
    <t>LM143181</t>
  </si>
  <si>
    <t>LM143182</t>
  </si>
  <si>
    <t>LM143183</t>
  </si>
  <si>
    <t>LM143184</t>
  </si>
  <si>
    <t>LM143185</t>
  </si>
  <si>
    <t>LM143186</t>
  </si>
  <si>
    <t>LM143187</t>
  </si>
  <si>
    <t>LM143188</t>
  </si>
  <si>
    <t>LM143189</t>
  </si>
  <si>
    <t>LM143190</t>
  </si>
  <si>
    <t>LM143191</t>
  </si>
  <si>
    <t>LM143192</t>
  </si>
  <si>
    <t>LM143193</t>
  </si>
  <si>
    <t>LM143194</t>
  </si>
  <si>
    <t>LM143195</t>
  </si>
  <si>
    <t>LM143196</t>
  </si>
  <si>
    <t>LM143197</t>
  </si>
  <si>
    <t>LM143198</t>
  </si>
  <si>
    <t>LM143199</t>
  </si>
  <si>
    <t>LM143200</t>
  </si>
  <si>
    <t>LM143201</t>
  </si>
  <si>
    <t>LM143202</t>
  </si>
  <si>
    <t>LM143203</t>
  </si>
  <si>
    <t>LM143204</t>
  </si>
  <si>
    <t>LM143205</t>
  </si>
  <si>
    <t>LM143206</t>
  </si>
  <si>
    <t>LM143207</t>
  </si>
  <si>
    <t>LM143208</t>
  </si>
  <si>
    <t>LM143209</t>
  </si>
  <si>
    <t>LM143210</t>
  </si>
  <si>
    <t>LM143211</t>
  </si>
  <si>
    <t>LM143212</t>
  </si>
  <si>
    <t>LM143213</t>
  </si>
  <si>
    <t>LM143214</t>
  </si>
  <si>
    <t>LM143215</t>
  </si>
  <si>
    <t>LM143216</t>
  </si>
  <si>
    <t>LM143217</t>
  </si>
  <si>
    <t>LM143218</t>
  </si>
  <si>
    <t>LM143219</t>
  </si>
  <si>
    <t>LM143220</t>
  </si>
  <si>
    <t>LM143221</t>
  </si>
  <si>
    <t>LM143222</t>
  </si>
  <si>
    <t>LM143223</t>
  </si>
  <si>
    <t>LM143224</t>
  </si>
  <si>
    <t>LM143225</t>
  </si>
  <si>
    <t>LM143226</t>
  </si>
  <si>
    <t>LM143227</t>
  </si>
  <si>
    <t>LM143228</t>
  </si>
  <si>
    <t>LM143229</t>
  </si>
  <si>
    <t>LM143230</t>
  </si>
  <si>
    <t>LM143231</t>
  </si>
  <si>
    <t>LM143232</t>
  </si>
  <si>
    <t>LM143233</t>
  </si>
  <si>
    <t>LM143234</t>
  </si>
  <si>
    <t>LM143235</t>
  </si>
  <si>
    <t>LM143236</t>
  </si>
  <si>
    <t>LM143237</t>
  </si>
  <si>
    <t>LM143238</t>
  </si>
  <si>
    <t>LM143239</t>
  </si>
  <si>
    <t>LM143240</t>
  </si>
  <si>
    <t>LM143241</t>
  </si>
  <si>
    <t>LM143242</t>
  </si>
  <si>
    <t>LM143243</t>
  </si>
  <si>
    <t>LM143244</t>
  </si>
  <si>
    <t>LM143245</t>
  </si>
  <si>
    <t>LM143246</t>
  </si>
  <si>
    <t>LM143247</t>
  </si>
  <si>
    <t>LM143248</t>
  </si>
  <si>
    <t>LM143249</t>
  </si>
  <si>
    <t>LM143250</t>
  </si>
  <si>
    <t>LM143251</t>
  </si>
  <si>
    <t>LM143252</t>
  </si>
  <si>
    <t>LM143253</t>
  </si>
  <si>
    <t>LM143254</t>
  </si>
  <si>
    <t>LM143255</t>
  </si>
  <si>
    <t>LM143256</t>
  </si>
  <si>
    <t>LM143257</t>
  </si>
  <si>
    <t>LM143258</t>
  </si>
  <si>
    <t>LM143259</t>
  </si>
  <si>
    <t>LM143260</t>
  </si>
  <si>
    <t>LM143261</t>
  </si>
  <si>
    <t>LM143262</t>
  </si>
  <si>
    <t>LM143263</t>
  </si>
  <si>
    <t>LM143264</t>
  </si>
  <si>
    <t>LM143265</t>
  </si>
  <si>
    <t>LM143266</t>
  </si>
  <si>
    <t>LM143267</t>
  </si>
  <si>
    <t>LM143268</t>
  </si>
  <si>
    <t>LM143269</t>
  </si>
  <si>
    <t>LM143270</t>
  </si>
  <si>
    <t>LM143271</t>
  </si>
  <si>
    <t>LM143272</t>
  </si>
  <si>
    <t>LM143273</t>
  </si>
  <si>
    <t>LM143274</t>
  </si>
  <si>
    <t>LM143275</t>
  </si>
  <si>
    <t>LM143276</t>
  </si>
  <si>
    <t>LM143277</t>
  </si>
  <si>
    <t>LM143278</t>
  </si>
  <si>
    <t>LM143279</t>
  </si>
  <si>
    <t>LM143280</t>
  </si>
  <si>
    <t>LM143281</t>
  </si>
  <si>
    <t>LM143282</t>
  </si>
  <si>
    <t>LM143283</t>
  </si>
  <si>
    <t>LM143284</t>
  </si>
  <si>
    <t>LM143285</t>
  </si>
  <si>
    <t>LM143286</t>
  </si>
  <si>
    <t>LM143287</t>
  </si>
  <si>
    <t>LM143288</t>
  </si>
  <si>
    <t>LM143289</t>
  </si>
  <si>
    <t>LM143290</t>
  </si>
  <si>
    <t>LM143291</t>
  </si>
  <si>
    <t>LM143292</t>
  </si>
  <si>
    <t>LM143293</t>
  </si>
  <si>
    <t>LM143294</t>
  </si>
  <si>
    <t>LM143295</t>
  </si>
  <si>
    <t>LM143296</t>
  </si>
  <si>
    <t>LM143297</t>
  </si>
  <si>
    <t>LM143298</t>
  </si>
  <si>
    <t>LM143299</t>
  </si>
  <si>
    <t>LM143300</t>
  </si>
  <si>
    <t>LM143301</t>
  </si>
  <si>
    <t>LM143302</t>
  </si>
  <si>
    <t>LM143303</t>
  </si>
  <si>
    <t>LM143304</t>
  </si>
  <si>
    <t>LM143305</t>
  </si>
  <si>
    <t>LM143306</t>
  </si>
  <si>
    <t>LM143307</t>
  </si>
  <si>
    <t>LM143308</t>
  </si>
  <si>
    <t>LM143309</t>
  </si>
  <si>
    <t>LM143310</t>
  </si>
  <si>
    <t>LM143311</t>
  </si>
  <si>
    <t>LM143312</t>
  </si>
  <si>
    <t>LM143313</t>
  </si>
  <si>
    <t>LM143314</t>
  </si>
  <si>
    <t>LM143315</t>
  </si>
  <si>
    <t>LM143316</t>
  </si>
  <si>
    <t>LM143317</t>
  </si>
  <si>
    <t>LM143318</t>
  </si>
  <si>
    <t>LM143319</t>
  </si>
  <si>
    <t>LM143320</t>
  </si>
  <si>
    <t>LM143321</t>
  </si>
  <si>
    <t>LM143322</t>
  </si>
  <si>
    <t>LM143323</t>
  </si>
  <si>
    <t>LM143324</t>
  </si>
  <si>
    <t>LM143325</t>
  </si>
  <si>
    <t>LM143326</t>
  </si>
  <si>
    <t>LM143327</t>
  </si>
  <si>
    <t>LM143328</t>
  </si>
  <si>
    <t>LM143329</t>
  </si>
  <si>
    <t>LM143330</t>
  </si>
  <si>
    <t>LM143331</t>
  </si>
  <si>
    <t>LM143332</t>
  </si>
  <si>
    <t>LM143333</t>
  </si>
  <si>
    <t>LM143334</t>
  </si>
  <si>
    <t>LM143335</t>
  </si>
  <si>
    <t>LM143336</t>
  </si>
  <si>
    <t>LM143337</t>
  </si>
  <si>
    <t>LM143338</t>
  </si>
  <si>
    <t>LM143339</t>
  </si>
  <si>
    <t>LM143340</t>
  </si>
  <si>
    <t>LM143341</t>
  </si>
  <si>
    <t>LM143342</t>
  </si>
  <si>
    <t>LM143343</t>
  </si>
  <si>
    <t>LM143344</t>
  </si>
  <si>
    <t>LM143345</t>
  </si>
  <si>
    <t>LM143346</t>
  </si>
  <si>
    <t>LM143347</t>
  </si>
  <si>
    <t>LM143348</t>
  </si>
  <si>
    <t>LM143349</t>
  </si>
  <si>
    <t>LM143350</t>
  </si>
  <si>
    <t>LM143351</t>
  </si>
  <si>
    <t>LM143352</t>
  </si>
  <si>
    <t>LM143353</t>
  </si>
  <si>
    <t>LM143354</t>
  </si>
  <si>
    <t>LM143355</t>
  </si>
  <si>
    <t>LM143356</t>
  </si>
  <si>
    <t>LM143357</t>
  </si>
  <si>
    <t>LM143358</t>
  </si>
  <si>
    <t>LM143359</t>
  </si>
  <si>
    <t>LM143360</t>
  </si>
  <si>
    <t>LM143361</t>
  </si>
  <si>
    <t>LM143362</t>
  </si>
  <si>
    <t>LM143363</t>
  </si>
  <si>
    <t>LM143364</t>
  </si>
  <si>
    <t>LM143365</t>
  </si>
  <si>
    <t>LM143366</t>
  </si>
  <si>
    <t>LM143367</t>
  </si>
  <si>
    <t>LM143368</t>
  </si>
  <si>
    <t>LM143369</t>
  </si>
  <si>
    <t>LM143370</t>
  </si>
  <si>
    <t>LM143371</t>
  </si>
  <si>
    <t>LM143372</t>
  </si>
  <si>
    <t>LM143373</t>
  </si>
  <si>
    <t>LM143374</t>
  </si>
  <si>
    <t>LM143375</t>
  </si>
  <si>
    <t>LM143376</t>
  </si>
  <si>
    <t>LM143377</t>
  </si>
  <si>
    <t>LM143378</t>
  </si>
  <si>
    <t>LM143379</t>
  </si>
  <si>
    <t>LM143380</t>
  </si>
  <si>
    <t>LM143381</t>
  </si>
  <si>
    <t>LM143382</t>
  </si>
  <si>
    <t>LM143383</t>
  </si>
  <si>
    <t>LM143384</t>
  </si>
  <si>
    <t>LM143385</t>
  </si>
  <si>
    <t>LM143386</t>
  </si>
  <si>
    <t>LM143387</t>
  </si>
  <si>
    <t>LM143388</t>
  </si>
  <si>
    <t>LM143389</t>
  </si>
  <si>
    <t>LM143390</t>
  </si>
  <si>
    <t>LM143391</t>
  </si>
  <si>
    <t>LM143392</t>
  </si>
  <si>
    <t>LM143393</t>
  </si>
  <si>
    <t>LM143394</t>
  </si>
  <si>
    <t>LM143395</t>
  </si>
  <si>
    <t>LM143396</t>
  </si>
  <si>
    <t>LM143397</t>
  </si>
  <si>
    <t>LM143398</t>
  </si>
  <si>
    <t>LM143399</t>
  </si>
  <si>
    <t>LM143400</t>
  </si>
  <si>
    <t>LM143401</t>
  </si>
  <si>
    <t>LM143402</t>
  </si>
  <si>
    <t>LM143403</t>
  </si>
  <si>
    <t>LM143404</t>
  </si>
  <si>
    <t>LM143405</t>
  </si>
  <si>
    <t>LM143406</t>
  </si>
  <si>
    <t>LM143407</t>
  </si>
  <si>
    <t>LM143408</t>
  </si>
  <si>
    <t>LM143409</t>
  </si>
  <si>
    <t>LM143410</t>
  </si>
  <si>
    <t>LM143411</t>
  </si>
  <si>
    <t>LM143412</t>
  </si>
  <si>
    <t>LM143413</t>
  </si>
  <si>
    <t>LM143414</t>
  </si>
  <si>
    <t>LM143415</t>
  </si>
  <si>
    <t>LM143416</t>
  </si>
  <si>
    <t>LM143417</t>
  </si>
  <si>
    <t>LM143418</t>
  </si>
  <si>
    <t>LM143419</t>
  </si>
  <si>
    <t>LM143420</t>
  </si>
  <si>
    <t>LM143421</t>
  </si>
  <si>
    <t>LM143422</t>
  </si>
  <si>
    <t>LM143423</t>
  </si>
  <si>
    <t>LM143424</t>
  </si>
  <si>
    <t>LM143425</t>
  </si>
  <si>
    <t>LM143426</t>
  </si>
  <si>
    <t>LM143427</t>
  </si>
  <si>
    <t>LM143428</t>
  </si>
  <si>
    <t>LM143429</t>
  </si>
  <si>
    <t>LM143430</t>
  </si>
  <si>
    <t>LM143431</t>
  </si>
  <si>
    <t>LM143432</t>
  </si>
  <si>
    <t>LM143433</t>
  </si>
  <si>
    <t>LM143434</t>
  </si>
  <si>
    <t>LM143435</t>
  </si>
  <si>
    <t>LM143436</t>
  </si>
  <si>
    <t>LM143437</t>
  </si>
  <si>
    <t>LM143438</t>
  </si>
  <si>
    <t>LM143439</t>
  </si>
  <si>
    <t>LM143440</t>
  </si>
  <si>
    <t>LM143441</t>
  </si>
  <si>
    <t>LM143442</t>
  </si>
  <si>
    <t>LM143443</t>
  </si>
  <si>
    <t>LM143444</t>
  </si>
  <si>
    <t>LM143445</t>
  </si>
  <si>
    <t>LM143446</t>
  </si>
  <si>
    <t>LM143447</t>
  </si>
  <si>
    <t>LM143448</t>
  </si>
  <si>
    <t>LM143449</t>
  </si>
  <si>
    <t>LM143450</t>
  </si>
  <si>
    <t>LM143451</t>
  </si>
  <si>
    <t>LM143452</t>
  </si>
  <si>
    <t>LM143453</t>
  </si>
  <si>
    <t>LM143454</t>
  </si>
  <si>
    <t>LM143455</t>
  </si>
  <si>
    <t>LM143456</t>
  </si>
  <si>
    <t>LM143457</t>
  </si>
  <si>
    <t>LM143458</t>
  </si>
  <si>
    <t>LM143459</t>
  </si>
  <si>
    <t>LM143460</t>
  </si>
  <si>
    <t>LM143461</t>
  </si>
  <si>
    <t>LM143462</t>
  </si>
  <si>
    <t>LM143463</t>
  </si>
  <si>
    <t>LM143464</t>
  </si>
  <si>
    <t>LM143465</t>
  </si>
  <si>
    <t>LM143466</t>
  </si>
  <si>
    <t>LM143467</t>
  </si>
  <si>
    <t>LM143468</t>
  </si>
  <si>
    <t>LM143469</t>
  </si>
  <si>
    <t>LM143470</t>
  </si>
  <si>
    <t>LM143471</t>
  </si>
  <si>
    <t>LM143472</t>
  </si>
  <si>
    <t>LM143473</t>
  </si>
  <si>
    <t>LM143474</t>
  </si>
  <si>
    <t>LM143475</t>
  </si>
  <si>
    <t>LM143476</t>
  </si>
  <si>
    <t>LM143477</t>
  </si>
  <si>
    <t>LM143478</t>
  </si>
  <si>
    <t>LM143479</t>
  </si>
  <si>
    <t>LM143480</t>
  </si>
  <si>
    <t>LM143481</t>
  </si>
  <si>
    <t>LM143482</t>
  </si>
  <si>
    <t>LM143483</t>
  </si>
  <si>
    <t>LM143484</t>
  </si>
  <si>
    <t>LM143485</t>
  </si>
  <si>
    <t>LM143486</t>
  </si>
  <si>
    <t>LM143487</t>
  </si>
  <si>
    <t>LM143488</t>
  </si>
  <si>
    <t>LM143489</t>
  </si>
  <si>
    <t>LM143490</t>
  </si>
  <si>
    <t>LM143491</t>
  </si>
  <si>
    <t>LM143492</t>
  </si>
  <si>
    <t>LM143493</t>
  </si>
  <si>
    <t>LM143494</t>
  </si>
  <si>
    <t>LM143495</t>
  </si>
  <si>
    <t>LM143496</t>
  </si>
  <si>
    <t>LM143497</t>
  </si>
  <si>
    <t>LM143498</t>
  </si>
  <si>
    <t>LM143499</t>
  </si>
  <si>
    <t>LM143500</t>
  </si>
  <si>
    <t>LM143501</t>
  </si>
  <si>
    <t>LM143502</t>
  </si>
  <si>
    <t>LM143503</t>
  </si>
  <si>
    <t>LM143504</t>
  </si>
  <si>
    <t>LM143505</t>
  </si>
  <si>
    <t>LM143506</t>
  </si>
  <si>
    <t>LM143507</t>
  </si>
  <si>
    <t>LM143508</t>
  </si>
  <si>
    <t>LM143509</t>
  </si>
  <si>
    <t>LM143510</t>
  </si>
  <si>
    <t>LM143511</t>
  </si>
  <si>
    <t>LM143512</t>
  </si>
  <si>
    <t>LM143513</t>
  </si>
  <si>
    <t>LM143514</t>
  </si>
  <si>
    <t>LM143515</t>
  </si>
  <si>
    <t>LM143516</t>
  </si>
  <si>
    <t>LM143517</t>
  </si>
  <si>
    <t>LM143518</t>
  </si>
  <si>
    <t>LM143519</t>
  </si>
  <si>
    <t>LM143520</t>
  </si>
  <si>
    <t>LM143521</t>
  </si>
  <si>
    <t>LM143522</t>
  </si>
  <si>
    <t>LM143523</t>
  </si>
  <si>
    <t>LM143524</t>
  </si>
  <si>
    <t>LM143525</t>
  </si>
  <si>
    <t>LM143526</t>
  </si>
  <si>
    <t>LM143527</t>
  </si>
  <si>
    <t>LM143528</t>
  </si>
  <si>
    <t>LM143529</t>
  </si>
  <si>
    <t>LM143530</t>
  </si>
  <si>
    <t>LM143531</t>
  </si>
  <si>
    <t>LM143532</t>
  </si>
  <si>
    <t>LM143533</t>
  </si>
  <si>
    <t>LM143534</t>
  </si>
  <si>
    <t>LM143535</t>
  </si>
  <si>
    <t>LM143536</t>
  </si>
  <si>
    <t>LM143537</t>
  </si>
  <si>
    <t>LM143538</t>
  </si>
  <si>
    <t>LM143539</t>
  </si>
  <si>
    <t>LM143540</t>
  </si>
  <si>
    <t>LM143541</t>
  </si>
  <si>
    <t>LM143542</t>
  </si>
  <si>
    <t>LM143543</t>
  </si>
  <si>
    <t>LM143544</t>
  </si>
  <si>
    <t>LM143545</t>
  </si>
  <si>
    <t>LM143546</t>
  </si>
  <si>
    <t>LM143547</t>
  </si>
  <si>
    <t>LM143548</t>
  </si>
  <si>
    <t>LM143549</t>
  </si>
  <si>
    <t>LM143550</t>
  </si>
  <si>
    <t>LM143551</t>
  </si>
  <si>
    <t>LM143552</t>
  </si>
  <si>
    <t>LM143553</t>
  </si>
  <si>
    <t>LM143554</t>
  </si>
  <si>
    <t>LM143555</t>
  </si>
  <si>
    <t>LM143556</t>
  </si>
  <si>
    <t>LM143557</t>
  </si>
  <si>
    <t>LM143558</t>
  </si>
  <si>
    <t>LM143559</t>
  </si>
  <si>
    <t>LM143560</t>
  </si>
  <si>
    <t>LM143561</t>
  </si>
  <si>
    <t>LM143562</t>
  </si>
  <si>
    <t>LM143563</t>
  </si>
  <si>
    <t>LM143564</t>
  </si>
  <si>
    <t>LM143565</t>
  </si>
  <si>
    <t>LM143566</t>
  </si>
  <si>
    <t>LM143567</t>
  </si>
  <si>
    <t>LM143568</t>
  </si>
  <si>
    <t>LM143569</t>
  </si>
  <si>
    <t>LM143570</t>
  </si>
  <si>
    <t>LM143571</t>
  </si>
  <si>
    <t>LM143572</t>
  </si>
  <si>
    <t>LM143573</t>
  </si>
  <si>
    <t>LM143574</t>
  </si>
  <si>
    <t>LM143575</t>
  </si>
  <si>
    <t>LM143576</t>
  </si>
  <si>
    <t>LM143577</t>
  </si>
  <si>
    <t>LM143578</t>
  </si>
  <si>
    <t>LM143579</t>
  </si>
  <si>
    <t>LM143580</t>
  </si>
  <si>
    <t>LM143581</t>
  </si>
  <si>
    <t>LM143582</t>
  </si>
  <si>
    <t>LM143583</t>
  </si>
  <si>
    <t>LM143584</t>
  </si>
  <si>
    <t>LM143585</t>
  </si>
  <si>
    <t>LM143586</t>
  </si>
  <si>
    <t>LM143587</t>
  </si>
  <si>
    <t>LM143588</t>
  </si>
  <si>
    <t>LM143589</t>
  </si>
  <si>
    <t>LM143590</t>
  </si>
  <si>
    <t>LM143591</t>
  </si>
  <si>
    <t>LM143592</t>
  </si>
  <si>
    <t>LM143593</t>
  </si>
  <si>
    <t>LM143594</t>
  </si>
  <si>
    <t>LM143595</t>
  </si>
  <si>
    <t>LM143596</t>
  </si>
  <si>
    <t>LM143597</t>
  </si>
  <si>
    <t>LM143598</t>
  </si>
  <si>
    <t>LM143599</t>
  </si>
  <si>
    <t>LM143600</t>
  </si>
  <si>
    <t>LM143601</t>
  </si>
  <si>
    <t>LM143602</t>
  </si>
  <si>
    <t>LM143603</t>
  </si>
  <si>
    <t>LM143604</t>
  </si>
  <si>
    <t>LM143605</t>
  </si>
  <si>
    <t>LM143606</t>
  </si>
  <si>
    <t>LM143607</t>
  </si>
  <si>
    <t>LM143608</t>
  </si>
  <si>
    <t>LM143609</t>
  </si>
  <si>
    <t>LM143610</t>
  </si>
  <si>
    <t>LM143611</t>
  </si>
  <si>
    <t>LM143612</t>
  </si>
  <si>
    <t>LM143613</t>
  </si>
  <si>
    <t>LM143614</t>
  </si>
  <si>
    <t>LM143615</t>
  </si>
  <si>
    <t>LM143616</t>
  </si>
  <si>
    <t>LM143617</t>
  </si>
  <si>
    <t>LM143618</t>
  </si>
  <si>
    <t>LM143619</t>
  </si>
  <si>
    <t>LM143620</t>
  </si>
  <si>
    <t>LM143621</t>
  </si>
  <si>
    <t>LM143622</t>
  </si>
  <si>
    <t>LM143623</t>
  </si>
  <si>
    <t>LM143624</t>
  </si>
  <si>
    <t>LM143625</t>
  </si>
  <si>
    <t>LM143626</t>
  </si>
  <si>
    <t>LM143627</t>
  </si>
  <si>
    <t>LM143628</t>
  </si>
  <si>
    <t>LM143629</t>
  </si>
  <si>
    <t>LM143630</t>
  </si>
  <si>
    <t>LM143631</t>
  </si>
  <si>
    <t>LM143632</t>
  </si>
  <si>
    <t>LM143633</t>
  </si>
  <si>
    <t>LM143634</t>
  </si>
  <si>
    <t>LM143635</t>
  </si>
  <si>
    <t>LM143636</t>
  </si>
  <si>
    <t>LM143637</t>
  </si>
  <si>
    <t>LM143638</t>
  </si>
  <si>
    <t>LM143639</t>
  </si>
  <si>
    <t>LM143640</t>
  </si>
  <si>
    <t>LM143641</t>
  </si>
  <si>
    <t>LM143642</t>
  </si>
  <si>
    <t>LM143643</t>
  </si>
  <si>
    <t>LM143644</t>
  </si>
  <si>
    <t>LM143645</t>
  </si>
  <si>
    <t>LM143646</t>
  </si>
  <si>
    <t>LM143647</t>
  </si>
  <si>
    <t>LM143648</t>
  </si>
  <si>
    <t>LM143649</t>
  </si>
  <si>
    <t>LM143650</t>
  </si>
  <si>
    <t>LM143651</t>
  </si>
  <si>
    <t>LM143652</t>
  </si>
  <si>
    <t>LM143653</t>
  </si>
  <si>
    <t>LM143654</t>
  </si>
  <si>
    <t>LM143655</t>
  </si>
  <si>
    <t>LM143656</t>
  </si>
  <si>
    <t>LM143657</t>
  </si>
  <si>
    <t>LM143658</t>
  </si>
  <si>
    <t>LM143659</t>
  </si>
  <si>
    <t>LM143660</t>
  </si>
  <si>
    <t>LM143661</t>
  </si>
  <si>
    <t>LM143662</t>
  </si>
  <si>
    <t>LM143663</t>
  </si>
  <si>
    <t>LM143664</t>
  </si>
  <si>
    <t>LM143665</t>
  </si>
  <si>
    <t>LM143666</t>
  </si>
  <si>
    <t>LM143667</t>
  </si>
  <si>
    <t>LM143668</t>
  </si>
  <si>
    <t>LM143669</t>
  </si>
  <si>
    <t>LM143670</t>
  </si>
  <si>
    <t>LM143671</t>
  </si>
  <si>
    <t>LM143672</t>
  </si>
  <si>
    <t>LM143673</t>
  </si>
  <si>
    <t>LM143674</t>
  </si>
  <si>
    <t>LM143675</t>
  </si>
  <si>
    <t>LM143676</t>
  </si>
  <si>
    <t>LM143677</t>
  </si>
  <si>
    <t>LM143678</t>
  </si>
  <si>
    <t>LM143679</t>
  </si>
  <si>
    <t>LM143680</t>
  </si>
  <si>
    <t>LM143681</t>
  </si>
  <si>
    <t>LM143682</t>
  </si>
  <si>
    <t>LM143683</t>
  </si>
  <si>
    <t>LM143684</t>
  </si>
  <si>
    <t>LM143685</t>
  </si>
  <si>
    <t>LM143686</t>
  </si>
  <si>
    <t>LM143687</t>
  </si>
  <si>
    <t>LM143688</t>
  </si>
  <si>
    <t>LM143689</t>
  </si>
  <si>
    <t>LM143690</t>
  </si>
  <si>
    <t>LM143691</t>
  </si>
  <si>
    <t>LM143692</t>
  </si>
  <si>
    <t>LM143693</t>
  </si>
  <si>
    <t>LM143694</t>
  </si>
  <si>
    <t>LM143695</t>
  </si>
  <si>
    <t>LM143696</t>
  </si>
  <si>
    <t>LM143697</t>
  </si>
  <si>
    <t>LM143698</t>
  </si>
  <si>
    <t>LM143699</t>
  </si>
  <si>
    <t>LM143700</t>
  </si>
  <si>
    <t>LM143701</t>
  </si>
  <si>
    <t>LM143702</t>
  </si>
  <si>
    <t>LM143703</t>
  </si>
  <si>
    <t>LM143704</t>
  </si>
  <si>
    <t>LM143705</t>
  </si>
  <si>
    <t>LM143706</t>
  </si>
  <si>
    <t>LM143707</t>
  </si>
  <si>
    <t>LM143708</t>
  </si>
  <si>
    <t>LM143709</t>
  </si>
  <si>
    <t>LM143710</t>
  </si>
  <si>
    <t>LM143711</t>
  </si>
  <si>
    <t>LM143712</t>
  </si>
  <si>
    <t>LM143713</t>
  </si>
  <si>
    <t>LM143714</t>
  </si>
  <si>
    <t>LM143715</t>
  </si>
  <si>
    <t>LM143716</t>
  </si>
  <si>
    <t>LM143717</t>
  </si>
  <si>
    <t>LM143718</t>
  </si>
  <si>
    <t>LM143719</t>
  </si>
  <si>
    <t>LM143720</t>
  </si>
  <si>
    <t>LM143721</t>
  </si>
  <si>
    <t>LM143722</t>
  </si>
  <si>
    <t>LM143723</t>
  </si>
  <si>
    <t>LM143724</t>
  </si>
  <si>
    <t>LM143725</t>
  </si>
  <si>
    <t>LM143726</t>
  </si>
  <si>
    <t>LM143727</t>
  </si>
  <si>
    <t>LM143728</t>
  </si>
  <si>
    <t>LM143729</t>
  </si>
  <si>
    <t>LM143730</t>
  </si>
  <si>
    <t>LM143731</t>
  </si>
  <si>
    <t>LM143732</t>
  </si>
  <si>
    <t>LM143733</t>
  </si>
  <si>
    <t>LM143734</t>
  </si>
  <si>
    <t>LM143735</t>
  </si>
  <si>
    <t>LM143736</t>
  </si>
  <si>
    <t>LM143737</t>
  </si>
  <si>
    <t>LM143738</t>
  </si>
  <si>
    <t>LM143739</t>
  </si>
  <si>
    <t>LM143740</t>
  </si>
  <si>
    <t>LM143741</t>
  </si>
  <si>
    <t>LM143742</t>
  </si>
  <si>
    <t>LM143743</t>
  </si>
  <si>
    <t>LM143744</t>
  </si>
  <si>
    <t>LM143745</t>
  </si>
  <si>
    <t>LM143746</t>
  </si>
  <si>
    <t>LM143747</t>
  </si>
  <si>
    <t>LM143748</t>
  </si>
  <si>
    <t>LM143749</t>
  </si>
  <si>
    <t>LM143750</t>
  </si>
  <si>
    <t>LM143751</t>
  </si>
  <si>
    <t>LM143752</t>
  </si>
  <si>
    <t>LM143753</t>
  </si>
  <si>
    <t>LM143754</t>
  </si>
  <si>
    <t>LM143755</t>
  </si>
  <si>
    <t>LM143756</t>
  </si>
  <si>
    <t>LM143757</t>
  </si>
  <si>
    <t>LM143758</t>
  </si>
  <si>
    <t>LM143759</t>
  </si>
  <si>
    <t>LM143760</t>
  </si>
  <si>
    <t>LM143761</t>
  </si>
  <si>
    <t>LM143762</t>
  </si>
  <si>
    <t>LM143763</t>
  </si>
  <si>
    <t>LM143764</t>
  </si>
  <si>
    <t>LM143765</t>
  </si>
  <si>
    <t>LM143766</t>
  </si>
  <si>
    <t>LM143767</t>
  </si>
  <si>
    <t>LM143768</t>
  </si>
  <si>
    <t>LM143769</t>
  </si>
  <si>
    <t>LM143770</t>
  </si>
  <si>
    <t>LM143771</t>
  </si>
  <si>
    <t>LM143772</t>
  </si>
  <si>
    <t>LM143773</t>
  </si>
  <si>
    <t>LM143774</t>
  </si>
  <si>
    <t>LM143775</t>
  </si>
  <si>
    <t>LM143776</t>
  </si>
  <si>
    <t>LM143777</t>
  </si>
  <si>
    <t>LM143778</t>
  </si>
  <si>
    <t>LM143779</t>
  </si>
  <si>
    <t>LM143780</t>
  </si>
  <si>
    <t>LM143781</t>
  </si>
  <si>
    <t>LM143782</t>
  </si>
  <si>
    <t>LM143783</t>
  </si>
  <si>
    <t>LM143784</t>
  </si>
  <si>
    <t>LM143785</t>
  </si>
  <si>
    <t>LM143786</t>
  </si>
  <si>
    <t>LM143787</t>
  </si>
  <si>
    <t>LM143788</t>
  </si>
  <si>
    <t>LM143789</t>
  </si>
  <si>
    <t>LM143790</t>
  </si>
  <si>
    <t>LM143791</t>
  </si>
  <si>
    <t>LM143792</t>
  </si>
  <si>
    <t>LM143793</t>
  </si>
  <si>
    <t>LM143794</t>
  </si>
  <si>
    <t>LM143795</t>
  </si>
  <si>
    <t>LM143796</t>
  </si>
  <si>
    <t>LM143797</t>
  </si>
  <si>
    <t>LM143798</t>
  </si>
  <si>
    <t>LM143799</t>
  </si>
  <si>
    <t>LM143800</t>
  </si>
  <si>
    <t>LM143801</t>
  </si>
  <si>
    <t>LM143802</t>
  </si>
  <si>
    <t>LM143803</t>
  </si>
  <si>
    <t>LM143804</t>
  </si>
  <si>
    <t>LM143805</t>
  </si>
  <si>
    <t>LM143806</t>
  </si>
  <si>
    <t>LM143807</t>
  </si>
  <si>
    <t>LM143808</t>
  </si>
  <si>
    <t>LM143809</t>
  </si>
  <si>
    <t>LM143810</t>
  </si>
  <si>
    <t>LM143811</t>
  </si>
  <si>
    <t>LM143812</t>
  </si>
  <si>
    <t>LM143813</t>
  </si>
  <si>
    <t>LM143814</t>
  </si>
  <si>
    <t>LM143815</t>
  </si>
  <si>
    <t>LM143816</t>
  </si>
  <si>
    <t>LM143817</t>
  </si>
  <si>
    <t>LM143818</t>
  </si>
  <si>
    <t>LM143819</t>
  </si>
  <si>
    <t>LM143820</t>
  </si>
  <si>
    <t>LM143821</t>
  </si>
  <si>
    <t>LM143822</t>
  </si>
  <si>
    <t>LM143823</t>
  </si>
  <si>
    <t>LM143824</t>
  </si>
  <si>
    <t>LM143825</t>
  </si>
  <si>
    <t>LM143826</t>
  </si>
  <si>
    <t>LM143827</t>
  </si>
  <si>
    <t>LM143828</t>
  </si>
  <si>
    <t>LM143829</t>
  </si>
  <si>
    <t>LM143830</t>
  </si>
  <si>
    <t>LM143831</t>
  </si>
  <si>
    <t>LM143832</t>
  </si>
  <si>
    <t>LM143833</t>
  </si>
  <si>
    <t>LM143834</t>
  </si>
  <si>
    <t>LM143835</t>
  </si>
  <si>
    <t>LM143836</t>
  </si>
  <si>
    <t>LM143837</t>
  </si>
  <si>
    <t>LM143838</t>
  </si>
  <si>
    <t>LM143839</t>
  </si>
  <si>
    <t>LM143840</t>
  </si>
  <si>
    <t>LM143841</t>
  </si>
  <si>
    <t>LM143842</t>
  </si>
  <si>
    <t>LM143843</t>
  </si>
  <si>
    <t>LM143844</t>
  </si>
  <si>
    <t>LM143845</t>
  </si>
  <si>
    <t>LM143846</t>
  </si>
  <si>
    <t>LM143847</t>
  </si>
  <si>
    <t>LM143848</t>
  </si>
  <si>
    <t>LM143849</t>
  </si>
  <si>
    <t>LM143850</t>
  </si>
  <si>
    <t>LM143851</t>
  </si>
  <si>
    <t>LM143852</t>
  </si>
  <si>
    <t>LM143853</t>
  </si>
  <si>
    <t>LM143854</t>
  </si>
  <si>
    <t>LM143855</t>
  </si>
  <si>
    <t>LM143856</t>
  </si>
  <si>
    <t>LM143857</t>
  </si>
  <si>
    <t>LM143858</t>
  </si>
  <si>
    <t>LM143859</t>
  </si>
  <si>
    <t>LM143860</t>
  </si>
  <si>
    <t>LM143861</t>
  </si>
  <si>
    <t>LM143862</t>
  </si>
  <si>
    <t>LM143863</t>
  </si>
  <si>
    <t>LM143864</t>
  </si>
  <si>
    <t>LM143865</t>
  </si>
  <si>
    <t>LM143866</t>
  </si>
  <si>
    <t>LM143867</t>
  </si>
  <si>
    <t>LM143868</t>
  </si>
  <si>
    <t>LM143869</t>
  </si>
  <si>
    <t>LM143870</t>
  </si>
  <si>
    <t>LM143871</t>
  </si>
  <si>
    <t>LM143872</t>
  </si>
  <si>
    <t>LM143873</t>
  </si>
  <si>
    <t>LM143874</t>
  </si>
  <si>
    <t>LM143875</t>
  </si>
  <si>
    <t>LM143876</t>
  </si>
  <si>
    <t>LM143877</t>
  </si>
  <si>
    <t>LM143878</t>
  </si>
  <si>
    <t>LM143879</t>
  </si>
  <si>
    <t>LM143880</t>
  </si>
  <si>
    <t>LM143881</t>
  </si>
  <si>
    <t>LM143882</t>
  </si>
  <si>
    <t>LM143883</t>
  </si>
  <si>
    <t>LM143884</t>
  </si>
  <si>
    <t>LM143885</t>
  </si>
  <si>
    <t>LM143886</t>
  </si>
  <si>
    <t>LM143887</t>
  </si>
  <si>
    <t>LM143888</t>
  </si>
  <si>
    <t>LM143889</t>
  </si>
  <si>
    <t>LM143890</t>
  </si>
  <si>
    <t>LM143891</t>
  </si>
  <si>
    <t>LM143892</t>
  </si>
  <si>
    <t>LM143893</t>
  </si>
  <si>
    <t>LM143894</t>
  </si>
  <si>
    <t>LM143895</t>
  </si>
  <si>
    <t>LM143896</t>
  </si>
  <si>
    <t>LM143897</t>
  </si>
  <si>
    <t>LM143898</t>
  </si>
  <si>
    <t>LM143899</t>
  </si>
  <si>
    <t>LM143900</t>
  </si>
  <si>
    <t>LM143901</t>
  </si>
  <si>
    <t>LM143902</t>
  </si>
  <si>
    <t>LM143903</t>
  </si>
  <si>
    <t>LM143904</t>
  </si>
  <si>
    <t>LM143905</t>
  </si>
  <si>
    <t>LM143906</t>
  </si>
  <si>
    <t>LM143907</t>
  </si>
  <si>
    <t>LM143908</t>
  </si>
  <si>
    <t>LM143909</t>
  </si>
  <si>
    <t>LM143910</t>
  </si>
  <si>
    <t>LM143911</t>
  </si>
  <si>
    <t>LM143912</t>
  </si>
  <si>
    <t>LM143913</t>
  </si>
  <si>
    <t>LM143914</t>
  </si>
  <si>
    <t>LM143915</t>
  </si>
  <si>
    <t>LM143916</t>
  </si>
  <si>
    <t>LM143917</t>
  </si>
  <si>
    <t>LM143918</t>
  </si>
  <si>
    <t>LM143919</t>
  </si>
  <si>
    <t>LM143920</t>
  </si>
  <si>
    <t>LM143921</t>
  </si>
  <si>
    <t>LM143922</t>
  </si>
  <si>
    <t>LM143923</t>
  </si>
  <si>
    <t>LM143924</t>
  </si>
  <si>
    <t>LM143925</t>
  </si>
  <si>
    <t>LM143926</t>
  </si>
  <si>
    <t>LM143927</t>
  </si>
  <si>
    <t>LM143928</t>
  </si>
  <si>
    <t>LM143929</t>
  </si>
  <si>
    <t>LM143930</t>
  </si>
  <si>
    <t>LM143931</t>
  </si>
  <si>
    <t>LM143932</t>
  </si>
  <si>
    <t>LM143933</t>
  </si>
  <si>
    <t>LM143934</t>
  </si>
  <si>
    <t>LM143935</t>
  </si>
  <si>
    <t>LM143936</t>
  </si>
  <si>
    <t>LM143937</t>
  </si>
  <si>
    <t>LM143938</t>
  </si>
  <si>
    <t>LM143939</t>
  </si>
  <si>
    <t>LM143940</t>
  </si>
  <si>
    <t>LM143941</t>
  </si>
  <si>
    <t>LM143942</t>
  </si>
  <si>
    <t>LM143943</t>
  </si>
  <si>
    <t>LM143944</t>
  </si>
  <si>
    <t>LM143945</t>
  </si>
  <si>
    <t>LM143946</t>
  </si>
  <si>
    <t>LM143947</t>
  </si>
  <si>
    <t>LM143948</t>
  </si>
  <si>
    <t>LM143949</t>
  </si>
  <si>
    <t>LM143950</t>
  </si>
  <si>
    <t>LM143951</t>
  </si>
  <si>
    <t>LM143952</t>
  </si>
  <si>
    <t>LM143953</t>
  </si>
  <si>
    <t>LM143954</t>
  </si>
  <si>
    <t>LM143955</t>
  </si>
  <si>
    <t>LM143956</t>
  </si>
  <si>
    <t>LM143957</t>
  </si>
  <si>
    <t>LM143958</t>
  </si>
  <si>
    <t>LM143959</t>
  </si>
  <si>
    <t>LM143960</t>
  </si>
  <si>
    <t>LM143961</t>
  </si>
  <si>
    <t>LM143962</t>
  </si>
  <si>
    <t>LM143963</t>
  </si>
  <si>
    <t>LM143964</t>
  </si>
  <si>
    <t>LM143965</t>
  </si>
  <si>
    <t>LM143966</t>
  </si>
  <si>
    <t>LM143967</t>
  </si>
  <si>
    <t>LM143968</t>
  </si>
  <si>
    <t>LM143969</t>
  </si>
  <si>
    <t>LM143970</t>
  </si>
  <si>
    <t>LM143971</t>
  </si>
  <si>
    <t>LM143972</t>
  </si>
  <si>
    <t>LM143973</t>
  </si>
  <si>
    <t>LM143974</t>
  </si>
  <si>
    <t>LM143975</t>
  </si>
  <si>
    <t>LM143976</t>
  </si>
  <si>
    <t>LM143977</t>
  </si>
  <si>
    <t>LM143978</t>
  </si>
  <si>
    <t>LM143979</t>
  </si>
  <si>
    <t>LM143980</t>
  </si>
  <si>
    <t>LM143981</t>
  </si>
  <si>
    <t>LM143982</t>
  </si>
  <si>
    <t>LM143983</t>
  </si>
  <si>
    <t>LM143984</t>
  </si>
  <si>
    <t>LM143985</t>
  </si>
  <si>
    <t>LM143986</t>
  </si>
  <si>
    <t>LM143987</t>
  </si>
  <si>
    <t>LM143988</t>
  </si>
  <si>
    <t>LM143989</t>
  </si>
  <si>
    <t>LM143990</t>
  </si>
  <si>
    <t>LM143991</t>
  </si>
  <si>
    <t>LM143992</t>
  </si>
  <si>
    <t>LM143993</t>
  </si>
  <si>
    <t>LM143994</t>
  </si>
  <si>
    <t>LM143995</t>
  </si>
  <si>
    <t>LM143996</t>
  </si>
  <si>
    <t>LM143997</t>
  </si>
  <si>
    <t>LM143998</t>
  </si>
  <si>
    <t>LM143999</t>
  </si>
  <si>
    <t>LM144000</t>
  </si>
  <si>
    <t>LM144001</t>
  </si>
  <si>
    <t>LM144002</t>
  </si>
  <si>
    <t>LM144003</t>
  </si>
  <si>
    <t>LM144004</t>
  </si>
  <si>
    <t>LM144005</t>
  </si>
  <si>
    <t>LM144006</t>
  </si>
  <si>
    <t>LM144007</t>
  </si>
  <si>
    <t>LM144008</t>
  </si>
  <si>
    <t>LM144009</t>
  </si>
  <si>
    <t>LM144010</t>
  </si>
  <si>
    <t>LM144011</t>
  </si>
  <si>
    <t>LM144012</t>
  </si>
  <si>
    <t>LM144013</t>
  </si>
  <si>
    <t>LM144014</t>
  </si>
  <si>
    <t>LM144015</t>
  </si>
  <si>
    <t>LM144016</t>
  </si>
  <si>
    <t>LM144017</t>
  </si>
  <si>
    <t>LM144018</t>
  </si>
  <si>
    <t>LM144019</t>
  </si>
  <si>
    <t>LM144020</t>
  </si>
  <si>
    <t>LM144021</t>
  </si>
  <si>
    <t>LM144022</t>
  </si>
  <si>
    <t>LM144023</t>
  </si>
  <si>
    <t>LM144024</t>
  </si>
  <si>
    <t>LM144025</t>
  </si>
  <si>
    <t>LM144026</t>
  </si>
  <si>
    <t>LM144027</t>
  </si>
  <si>
    <t>LM144028</t>
  </si>
  <si>
    <t>LM144029</t>
  </si>
  <si>
    <t>LM144030</t>
  </si>
  <si>
    <t>LM144031</t>
  </si>
  <si>
    <t>LM144032</t>
  </si>
  <si>
    <t>LM144033</t>
  </si>
  <si>
    <t>LM144034</t>
  </si>
  <si>
    <t>LM144035</t>
  </si>
  <si>
    <t>LM144036</t>
  </si>
  <si>
    <t>LM144037</t>
  </si>
  <si>
    <t>LM144038</t>
  </si>
  <si>
    <t>LM144039</t>
  </si>
  <si>
    <t>LM144040</t>
  </si>
  <si>
    <t>LM144041</t>
  </si>
  <si>
    <t>LM144042</t>
  </si>
  <si>
    <t>LM144043</t>
  </si>
  <si>
    <t>LM144044</t>
  </si>
  <si>
    <t>LM144045</t>
  </si>
  <si>
    <t>LM144046</t>
  </si>
  <si>
    <t>LM144047</t>
  </si>
  <si>
    <t>LM144048</t>
  </si>
  <si>
    <t>LM144049</t>
  </si>
  <si>
    <t>LM144050</t>
  </si>
  <si>
    <t>LM144051</t>
  </si>
  <si>
    <t>LM144052</t>
  </si>
  <si>
    <t>LM144053</t>
  </si>
  <si>
    <t>LM144054</t>
  </si>
  <si>
    <t>LM144055</t>
  </si>
  <si>
    <t>LM144056</t>
  </si>
  <si>
    <t>LM144057</t>
  </si>
  <si>
    <t>LM144058</t>
  </si>
  <si>
    <t>LM144059</t>
  </si>
  <si>
    <t>LM144060</t>
  </si>
  <si>
    <t>LM144061</t>
  </si>
  <si>
    <t>LM144062</t>
  </si>
  <si>
    <t>LM144063</t>
  </si>
  <si>
    <t>LM144064</t>
  </si>
  <si>
    <t>LM144065</t>
  </si>
  <si>
    <t>LM144066</t>
  </si>
  <si>
    <t>LM144067</t>
  </si>
  <si>
    <t>LM144068</t>
  </si>
  <si>
    <t>LM144069</t>
  </si>
  <si>
    <t>LM144070</t>
  </si>
  <si>
    <t>LM144071</t>
  </si>
  <si>
    <t>LM144072</t>
  </si>
  <si>
    <t>LM144073</t>
  </si>
  <si>
    <t>LM144074</t>
  </si>
  <si>
    <t>LM144075</t>
  </si>
  <si>
    <t>LM144076</t>
  </si>
  <si>
    <t>LM144077</t>
  </si>
  <si>
    <t>LM144078</t>
  </si>
  <si>
    <t>LM144079</t>
  </si>
  <si>
    <t>LM144080</t>
  </si>
  <si>
    <t>LM144081</t>
  </si>
  <si>
    <t>LM144082</t>
  </si>
  <si>
    <t>LM144083</t>
  </si>
  <si>
    <t>LM144084</t>
  </si>
  <si>
    <t>LM144085</t>
  </si>
  <si>
    <t>LM144086</t>
  </si>
  <si>
    <t>LM144087</t>
  </si>
  <si>
    <t>LM144088</t>
  </si>
  <si>
    <t>LM144089</t>
  </si>
  <si>
    <t>LM144090</t>
  </si>
  <si>
    <t>LM144091</t>
  </si>
  <si>
    <t>LM144092</t>
  </si>
  <si>
    <t>LM144093</t>
  </si>
  <si>
    <t>LM144094</t>
  </si>
  <si>
    <t>LM144095</t>
  </si>
  <si>
    <t>LM144096</t>
  </si>
  <si>
    <t>LM144097</t>
  </si>
  <si>
    <t>LM144098</t>
  </si>
  <si>
    <t>LM144099</t>
  </si>
  <si>
    <t>LM144100</t>
  </si>
  <si>
    <t>LM144101</t>
  </si>
  <si>
    <t>LM144102</t>
  </si>
  <si>
    <t>LM144103</t>
  </si>
  <si>
    <t>LM144104</t>
  </si>
  <si>
    <t>LM144105</t>
  </si>
  <si>
    <t>LM144106</t>
  </si>
  <si>
    <t>LM144107</t>
  </si>
  <si>
    <t>LM144108</t>
  </si>
  <si>
    <t>LM144109</t>
  </si>
  <si>
    <t>LM144110</t>
  </si>
  <si>
    <t>LM144111</t>
  </si>
  <si>
    <t>LM144112</t>
  </si>
  <si>
    <t>LM144113</t>
  </si>
  <si>
    <t>LM144114</t>
  </si>
  <si>
    <t>LM144115</t>
  </si>
  <si>
    <t>LM144116</t>
  </si>
  <si>
    <t>LM144117</t>
  </si>
  <si>
    <t>LM144118</t>
  </si>
  <si>
    <t>LM144119</t>
  </si>
  <si>
    <t>LM144120</t>
  </si>
  <si>
    <t>LM144121</t>
  </si>
  <si>
    <t>LM144122</t>
  </si>
  <si>
    <t>LM144123</t>
  </si>
  <si>
    <t>LM144124</t>
  </si>
  <si>
    <t>LM144125</t>
  </si>
  <si>
    <t>LM144126</t>
  </si>
  <si>
    <t>LM144127</t>
  </si>
  <si>
    <t>LM144128</t>
  </si>
  <si>
    <t>LM144129</t>
  </si>
  <si>
    <t>LM144130</t>
  </si>
  <si>
    <t>LM144131</t>
  </si>
  <si>
    <t>LM144132</t>
  </si>
  <si>
    <t>LM144133</t>
  </si>
  <si>
    <t>LM144134</t>
  </si>
  <si>
    <t>LM144135</t>
  </si>
  <si>
    <t>LM144136</t>
  </si>
  <si>
    <t>LM144137</t>
  </si>
  <si>
    <t>LM144138</t>
  </si>
  <si>
    <t>LM144139</t>
  </si>
  <si>
    <t>LM144140</t>
  </si>
  <si>
    <t>LM144141</t>
  </si>
  <si>
    <t>LM144142</t>
  </si>
  <si>
    <t>LM144143</t>
  </si>
  <si>
    <t>LM144144</t>
  </si>
  <si>
    <t>LM144145</t>
  </si>
  <si>
    <t>LM144146</t>
  </si>
  <si>
    <t>LM144147</t>
  </si>
  <si>
    <t>LM144148</t>
  </si>
  <si>
    <t>LM144149</t>
  </si>
  <si>
    <t>LM144150</t>
  </si>
  <si>
    <t>LM144151</t>
  </si>
  <si>
    <t>LM144152</t>
  </si>
  <si>
    <t>LM144153</t>
  </si>
  <si>
    <t>LM144154</t>
  </si>
  <si>
    <t>LM144155</t>
  </si>
  <si>
    <t>LM144156</t>
  </si>
  <si>
    <t>LM144157</t>
  </si>
  <si>
    <t>LM144158</t>
  </si>
  <si>
    <t>LM144159</t>
  </si>
  <si>
    <t>LM144160</t>
  </si>
  <si>
    <t>LM144161</t>
  </si>
  <si>
    <t>LM144162</t>
  </si>
  <si>
    <t>LM144163</t>
  </si>
  <si>
    <t>LM144164</t>
  </si>
  <si>
    <t>LM144165</t>
  </si>
  <si>
    <t>LM144166</t>
  </si>
  <si>
    <t>LM144167</t>
  </si>
  <si>
    <t>LM144168</t>
  </si>
  <si>
    <t>LM144169</t>
  </si>
  <si>
    <t>LM144170</t>
  </si>
  <si>
    <t>LM144171</t>
  </si>
  <si>
    <t>LM144172</t>
  </si>
  <si>
    <t>LM144173</t>
  </si>
  <si>
    <t>LM144174</t>
  </si>
  <si>
    <t>LM144175</t>
  </si>
  <si>
    <t>LM144176</t>
  </si>
  <si>
    <t>LM144177</t>
  </si>
  <si>
    <t>LM144178</t>
  </si>
  <si>
    <t>LM144179</t>
  </si>
  <si>
    <t>LM144180</t>
  </si>
  <si>
    <t>LM144181</t>
  </si>
  <si>
    <t>LM144182</t>
  </si>
  <si>
    <t>LM144183</t>
  </si>
  <si>
    <t>LM144184</t>
  </si>
  <si>
    <t>LM144185</t>
  </si>
  <si>
    <t>LM144186</t>
  </si>
  <si>
    <t>LM144187</t>
  </si>
  <si>
    <t>LM144188</t>
  </si>
  <si>
    <t>LM144189</t>
  </si>
  <si>
    <t>LM144190</t>
  </si>
  <si>
    <t>LM144191</t>
  </si>
  <si>
    <t>LM144192</t>
  </si>
  <si>
    <t>LM144193</t>
  </si>
  <si>
    <t>LM144194</t>
  </si>
  <si>
    <t>LM144195</t>
  </si>
  <si>
    <t>LM144196</t>
  </si>
  <si>
    <t>LM144197</t>
  </si>
  <si>
    <t>LM144198</t>
  </si>
  <si>
    <t>LM144199</t>
  </si>
  <si>
    <t>LM144200</t>
  </si>
  <si>
    <t>LM144201</t>
  </si>
  <si>
    <t>LM144202</t>
  </si>
  <si>
    <t>LM144203</t>
  </si>
  <si>
    <t>LM144204</t>
  </si>
  <si>
    <t>LM144205</t>
  </si>
  <si>
    <t>LM144206</t>
  </si>
  <si>
    <t>LM144207</t>
  </si>
  <si>
    <t>LM144208</t>
  </si>
  <si>
    <t>LM144209</t>
  </si>
  <si>
    <t>LM144210</t>
  </si>
  <si>
    <t>LM144211</t>
  </si>
  <si>
    <t>LM144212</t>
  </si>
  <si>
    <t>LM144213</t>
  </si>
  <si>
    <t>LM144214</t>
  </si>
  <si>
    <t>LM144215</t>
  </si>
  <si>
    <t>LM144216</t>
  </si>
  <si>
    <t>LM144217</t>
  </si>
  <si>
    <t>LM144218</t>
  </si>
  <si>
    <t>LM144219</t>
  </si>
  <si>
    <t>LM144220</t>
  </si>
  <si>
    <t>LM144221</t>
  </si>
  <si>
    <t>LM144222</t>
  </si>
  <si>
    <t>LM144223</t>
  </si>
  <si>
    <t>LM144224</t>
  </si>
  <si>
    <t>LM144225</t>
  </si>
  <si>
    <t>LM144226</t>
  </si>
  <si>
    <t>LM144227</t>
  </si>
  <si>
    <t>LM144228</t>
  </si>
  <si>
    <t>LM144229</t>
  </si>
  <si>
    <t>LM144230</t>
  </si>
  <si>
    <t>LM144231</t>
  </si>
  <si>
    <t>LM144232</t>
  </si>
  <si>
    <t>LM144233</t>
  </si>
  <si>
    <t>LM144234</t>
  </si>
  <si>
    <t>LM144235</t>
  </si>
  <si>
    <t>LM144236</t>
  </si>
  <si>
    <t>LM144237</t>
  </si>
  <si>
    <t>LM144238</t>
  </si>
  <si>
    <t>LM144239</t>
  </si>
  <si>
    <t>LM144240</t>
  </si>
  <si>
    <t>LM144241</t>
  </si>
  <si>
    <t>LM144242</t>
  </si>
  <si>
    <t>LM144243</t>
  </si>
  <si>
    <t>LM144244</t>
  </si>
  <si>
    <t>LM144245</t>
  </si>
  <si>
    <t>LM144246</t>
  </si>
  <si>
    <t>LM144247</t>
  </si>
  <si>
    <t>LM144248</t>
  </si>
  <si>
    <t>LM144249</t>
  </si>
  <si>
    <t>LM144250</t>
  </si>
  <si>
    <t>LM144251</t>
  </si>
  <si>
    <t>LM144252</t>
  </si>
  <si>
    <t>LM144253</t>
  </si>
  <si>
    <t>LM144254</t>
  </si>
  <si>
    <t>LM144255</t>
  </si>
  <si>
    <t>LM144256</t>
  </si>
  <si>
    <t>LM144257</t>
  </si>
  <si>
    <t>LM144258</t>
  </si>
  <si>
    <t>LM144259</t>
  </si>
  <si>
    <t>LM144260</t>
  </si>
  <si>
    <t>LM144261</t>
  </si>
  <si>
    <t>LM144262</t>
  </si>
  <si>
    <t>LM144263</t>
  </si>
  <si>
    <t>LM144264</t>
  </si>
  <si>
    <t>LM144265</t>
  </si>
  <si>
    <t>LM144266</t>
  </si>
  <si>
    <t>LM144267</t>
  </si>
  <si>
    <t>LM144268</t>
  </si>
  <si>
    <t>LM144269</t>
  </si>
  <si>
    <t>LM144270</t>
  </si>
  <si>
    <t>LM144271</t>
  </si>
  <si>
    <t>LM144272</t>
  </si>
  <si>
    <t>LM144273</t>
  </si>
  <si>
    <t>LM144274</t>
  </si>
  <si>
    <t>LM144275</t>
  </si>
  <si>
    <t>LM144276</t>
  </si>
  <si>
    <t>LM144277</t>
  </si>
  <si>
    <t>LM144278</t>
  </si>
  <si>
    <t>LM144279</t>
  </si>
  <si>
    <t>LM144280</t>
  </si>
  <si>
    <t>LM144281</t>
  </si>
  <si>
    <t>LM144282</t>
  </si>
  <si>
    <t>LM144283</t>
  </si>
  <si>
    <t>LM144284</t>
  </si>
  <si>
    <t>LM144285</t>
  </si>
  <si>
    <t>LM144286</t>
  </si>
  <si>
    <t>LM144287</t>
  </si>
  <si>
    <t>LM144288</t>
  </si>
  <si>
    <t>LM144289</t>
  </si>
  <si>
    <t>LM144290</t>
  </si>
  <si>
    <t>LM144291</t>
  </si>
  <si>
    <t>LM144292</t>
  </si>
  <si>
    <t>LM144293</t>
  </si>
  <si>
    <t>LM144294</t>
  </si>
  <si>
    <t>LM144295</t>
  </si>
  <si>
    <t>LM144296</t>
  </si>
  <si>
    <t>LM144297</t>
  </si>
  <si>
    <t>LM144298</t>
  </si>
  <si>
    <t>LM144299</t>
  </si>
  <si>
    <t>LM144300</t>
  </si>
  <si>
    <t>LM144301</t>
  </si>
  <si>
    <t>LM144302</t>
  </si>
  <si>
    <t>LM144303</t>
  </si>
  <si>
    <t>LM144304</t>
  </si>
  <si>
    <t>LM144305</t>
  </si>
  <si>
    <t>LM144306</t>
  </si>
  <si>
    <t>LM144307</t>
  </si>
  <si>
    <t>LM144308</t>
  </si>
  <si>
    <t>LM144309</t>
  </si>
  <si>
    <t>LM144310</t>
  </si>
  <si>
    <t>LM144311</t>
  </si>
  <si>
    <t>LM144312</t>
  </si>
  <si>
    <t>LM144313</t>
  </si>
  <si>
    <t>LM144314</t>
  </si>
  <si>
    <t>LM144315</t>
  </si>
  <si>
    <t>LM144316</t>
  </si>
  <si>
    <t>LM144317</t>
  </si>
  <si>
    <t>LM144318</t>
  </si>
  <si>
    <t>LM144319</t>
  </si>
  <si>
    <t>LM144320</t>
  </si>
  <si>
    <t>LM144321</t>
  </si>
  <si>
    <t>LM144322</t>
  </si>
  <si>
    <t>LM144323</t>
  </si>
  <si>
    <t>LM144324</t>
  </si>
  <si>
    <t>LM144325</t>
  </si>
  <si>
    <t>LM144326</t>
  </si>
  <si>
    <t>LM144327</t>
  </si>
  <si>
    <t>LM144328</t>
  </si>
  <si>
    <t>LM144329</t>
  </si>
  <si>
    <t>LM144330</t>
  </si>
  <si>
    <t>LM144331</t>
  </si>
  <si>
    <t>LM144332</t>
  </si>
  <si>
    <t>LM144333</t>
  </si>
  <si>
    <t>LM144334</t>
  </si>
  <si>
    <t>LM144335</t>
  </si>
  <si>
    <t>LM144336</t>
  </si>
  <si>
    <t>LM144337</t>
  </si>
  <si>
    <t>LM144338</t>
  </si>
  <si>
    <t>LM144339</t>
  </si>
  <si>
    <t>LM144340</t>
  </si>
  <si>
    <t>LM144341</t>
  </si>
  <si>
    <t>LM144342</t>
  </si>
  <si>
    <t>LM144343</t>
  </si>
  <si>
    <t>LM144344</t>
  </si>
  <si>
    <t>LM144345</t>
  </si>
  <si>
    <t>LM144346</t>
  </si>
  <si>
    <t>LM144347</t>
  </si>
  <si>
    <t>LM144348</t>
  </si>
  <si>
    <t>LM144349</t>
  </si>
  <si>
    <t>LM144350</t>
  </si>
  <si>
    <t>LM144351</t>
  </si>
  <si>
    <t>LM144352</t>
  </si>
  <si>
    <t>LM144353</t>
  </si>
  <si>
    <t>LM144354</t>
  </si>
  <si>
    <t>LM144355</t>
  </si>
  <si>
    <t>LM144356</t>
  </si>
  <si>
    <t>LM144357</t>
  </si>
  <si>
    <t>LM144358</t>
  </si>
  <si>
    <t>LM144359</t>
  </si>
  <si>
    <t>LM144360</t>
  </si>
  <si>
    <t>LM144361</t>
  </si>
  <si>
    <t>LM144362</t>
  </si>
  <si>
    <t>LM144363</t>
  </si>
  <si>
    <t>LM144364</t>
  </si>
  <si>
    <t>LM144365</t>
  </si>
  <si>
    <t>LM144366</t>
  </si>
  <si>
    <t>LM144367</t>
  </si>
  <si>
    <t>LM144368</t>
  </si>
  <si>
    <t>LM144369</t>
  </si>
  <si>
    <t>LM144370</t>
  </si>
  <si>
    <t>LM144371</t>
  </si>
  <si>
    <t>LM144372</t>
  </si>
  <si>
    <t>LM144373</t>
  </si>
  <si>
    <t>LM144374</t>
  </si>
  <si>
    <t>LM144375</t>
  </si>
  <si>
    <t>LM144376</t>
  </si>
  <si>
    <t>LM144377</t>
  </si>
  <si>
    <t>LM144378</t>
  </si>
  <si>
    <t>LM144379</t>
  </si>
  <si>
    <t>LM144380</t>
  </si>
  <si>
    <t>LM144381</t>
  </si>
  <si>
    <t>LM144382</t>
  </si>
  <si>
    <t>LM144383</t>
  </si>
  <si>
    <t>LM144384</t>
  </si>
  <si>
    <t>LM144385</t>
  </si>
  <si>
    <t>LM144386</t>
  </si>
  <si>
    <t>LM144387</t>
  </si>
  <si>
    <t>LM144388</t>
  </si>
  <si>
    <t>LM144389</t>
  </si>
  <si>
    <t>LM144390</t>
  </si>
  <si>
    <t>LM144391</t>
  </si>
  <si>
    <t>LM144392</t>
  </si>
  <si>
    <t>LM144393</t>
  </si>
  <si>
    <t>LM144394</t>
  </si>
  <si>
    <t>LM144395</t>
  </si>
  <si>
    <t>LM144396</t>
  </si>
  <si>
    <t>LM144397</t>
  </si>
  <si>
    <t>LM144398</t>
  </si>
  <si>
    <t>LM144399</t>
  </si>
  <si>
    <t>LM144400</t>
  </si>
  <si>
    <t>LM144401</t>
  </si>
  <si>
    <t>LM144402</t>
  </si>
  <si>
    <t>LM144403</t>
  </si>
  <si>
    <t>LM144404</t>
  </si>
  <si>
    <t>LM144405</t>
  </si>
  <si>
    <t>LM144406</t>
  </si>
  <si>
    <t>LM144407</t>
  </si>
  <si>
    <t>LM144408</t>
  </si>
  <si>
    <t>LM144409</t>
  </si>
  <si>
    <t>LM144410</t>
  </si>
  <si>
    <t>LM144411</t>
  </si>
  <si>
    <t>LM144412</t>
  </si>
  <si>
    <t>LM144413</t>
  </si>
  <si>
    <t>LM144414</t>
  </si>
  <si>
    <t>LM144415</t>
  </si>
  <si>
    <t>LM144416</t>
  </si>
  <si>
    <t>LM144417</t>
  </si>
  <si>
    <t>LM144418</t>
  </si>
  <si>
    <t>LM144419</t>
  </si>
  <si>
    <t>LM144420</t>
  </si>
  <si>
    <t>LM144421</t>
  </si>
  <si>
    <t>LM144422</t>
  </si>
  <si>
    <t>LM144423</t>
  </si>
  <si>
    <t>LM144424</t>
  </si>
  <si>
    <t>LM144425</t>
  </si>
  <si>
    <t>LM144426</t>
  </si>
  <si>
    <t>LM144427</t>
  </si>
  <si>
    <t>LM144428</t>
  </si>
  <si>
    <t>LM144429</t>
  </si>
  <si>
    <t>LM144430</t>
  </si>
  <si>
    <t>LM144431</t>
  </si>
  <si>
    <t>LM144432</t>
  </si>
  <si>
    <t>LM144433</t>
  </si>
  <si>
    <t>LM144434</t>
  </si>
  <si>
    <t>LM144435</t>
  </si>
  <si>
    <t>LM144436</t>
  </si>
  <si>
    <t>LM144437</t>
  </si>
  <si>
    <t>LM144438</t>
  </si>
  <si>
    <t>LM144439</t>
  </si>
  <si>
    <t>LM144440</t>
  </si>
  <si>
    <t>LM144441</t>
  </si>
  <si>
    <t>LM144442</t>
  </si>
  <si>
    <t>LM144443</t>
  </si>
  <si>
    <t>LM144444</t>
  </si>
  <si>
    <t>LM144445</t>
  </si>
  <si>
    <t>LM144446</t>
  </si>
  <si>
    <t>LM144447</t>
  </si>
  <si>
    <t>LM144448</t>
  </si>
  <si>
    <t>LM144449</t>
  </si>
  <si>
    <t>LM144450</t>
  </si>
  <si>
    <t>LM144451</t>
  </si>
  <si>
    <t>LM144452</t>
  </si>
  <si>
    <t>LM144453</t>
  </si>
  <si>
    <t>LM144454</t>
  </si>
  <si>
    <t>LM144455</t>
  </si>
  <si>
    <t>LM144456</t>
  </si>
  <si>
    <t>LM144457</t>
  </si>
  <si>
    <t>LM144458</t>
  </si>
  <si>
    <t>LM144459</t>
  </si>
  <si>
    <t>LM144460</t>
  </si>
  <si>
    <t>LM144461</t>
  </si>
  <si>
    <t>LM144462</t>
  </si>
  <si>
    <t>LM144463</t>
  </si>
  <si>
    <t>LM144464</t>
  </si>
  <si>
    <t>LM144465</t>
  </si>
  <si>
    <t>LM144466</t>
  </si>
  <si>
    <t>LM144467</t>
  </si>
  <si>
    <t>LM144468</t>
  </si>
  <si>
    <t>LM144469</t>
  </si>
  <si>
    <t>LM144470</t>
  </si>
  <si>
    <t>LM144471</t>
  </si>
  <si>
    <t>LM144472</t>
  </si>
  <si>
    <t>LM144473</t>
  </si>
  <si>
    <t>LM144474</t>
  </si>
  <si>
    <t>LM144475</t>
  </si>
  <si>
    <t>LM144476</t>
  </si>
  <si>
    <t>LM144477</t>
  </si>
  <si>
    <t>LM144478</t>
  </si>
  <si>
    <t>LM144479</t>
  </si>
  <si>
    <t>LM144480</t>
  </si>
  <si>
    <t>LM144481</t>
  </si>
  <si>
    <t>LM144482</t>
  </si>
  <si>
    <t>LM144483</t>
  </si>
  <si>
    <t>LM144484</t>
  </si>
  <si>
    <t>LM144485</t>
  </si>
  <si>
    <t>LM144486</t>
  </si>
  <si>
    <t>LM144487</t>
  </si>
  <si>
    <t>LM144488</t>
  </si>
  <si>
    <t>LM144489</t>
  </si>
  <si>
    <t>LM144490</t>
  </si>
  <si>
    <t>LM144491</t>
  </si>
  <si>
    <t>LM144492</t>
  </si>
  <si>
    <t>LM144493</t>
  </si>
  <si>
    <t>LM144494</t>
  </si>
  <si>
    <t>LM144495</t>
  </si>
  <si>
    <t>LM144496</t>
  </si>
  <si>
    <t>LM144497</t>
  </si>
  <si>
    <t>LM144498</t>
  </si>
  <si>
    <t>LM144499</t>
  </si>
  <si>
    <t>LM144500</t>
  </si>
  <si>
    <t>LM144501</t>
  </si>
  <si>
    <t>LM144502</t>
  </si>
  <si>
    <t>LM144503</t>
  </si>
  <si>
    <t>LM144504</t>
  </si>
  <si>
    <t>LM144505</t>
  </si>
  <si>
    <t>LM144506</t>
  </si>
  <si>
    <t>LM144507</t>
  </si>
  <si>
    <t>LM144508</t>
  </si>
  <si>
    <t>LM144509</t>
  </si>
  <si>
    <t>LM144510</t>
  </si>
  <si>
    <t>LM144511</t>
  </si>
  <si>
    <t>LM144512</t>
  </si>
  <si>
    <t>LM144513</t>
  </si>
  <si>
    <t>LM144514</t>
  </si>
  <si>
    <t>LM144515</t>
  </si>
  <si>
    <t>LM144516</t>
  </si>
  <si>
    <t>LM144517</t>
  </si>
  <si>
    <t>LM144518</t>
  </si>
  <si>
    <t>LM144519</t>
  </si>
  <si>
    <t>LM144520</t>
  </si>
  <si>
    <t>LM144521</t>
  </si>
  <si>
    <t>LM144522</t>
  </si>
  <si>
    <t>LM144523</t>
  </si>
  <si>
    <t>LM144524</t>
  </si>
  <si>
    <t>LM144525</t>
  </si>
  <si>
    <t>LM144526</t>
  </si>
  <si>
    <t>LM144527</t>
  </si>
  <si>
    <t>LM144528</t>
  </si>
  <si>
    <t>LM144529</t>
  </si>
  <si>
    <t>LM144530</t>
  </si>
  <si>
    <t>LM144531</t>
  </si>
  <si>
    <t>LM144532</t>
  </si>
  <si>
    <t>LM144533</t>
  </si>
  <si>
    <t>LM144534</t>
  </si>
  <si>
    <t>LM144535</t>
  </si>
  <si>
    <t>LM144536</t>
  </si>
  <si>
    <t>LM144537</t>
  </si>
  <si>
    <t>LM144538</t>
  </si>
  <si>
    <t>LM144539</t>
  </si>
  <si>
    <t>LM144540</t>
  </si>
  <si>
    <t>LM144541</t>
  </si>
  <si>
    <t>LM144542</t>
  </si>
  <si>
    <t>LM144543</t>
  </si>
  <si>
    <t>LM144544</t>
  </si>
  <si>
    <t>LM144545</t>
  </si>
  <si>
    <t>LM144546</t>
  </si>
  <si>
    <t>LM144547</t>
  </si>
  <si>
    <t>LM144548</t>
  </si>
  <si>
    <t>LM144549</t>
  </si>
  <si>
    <t>LM144550</t>
  </si>
  <si>
    <t>LM144551</t>
  </si>
  <si>
    <t>LM144552</t>
  </si>
  <si>
    <t>LM144553</t>
  </si>
  <si>
    <t>LM144554</t>
  </si>
  <si>
    <t>LM144555</t>
  </si>
  <si>
    <t>LM144556</t>
  </si>
  <si>
    <t>LM144557</t>
  </si>
  <si>
    <t>LM144558</t>
  </si>
  <si>
    <t>LM144559</t>
  </si>
  <si>
    <t>LM144560</t>
  </si>
  <si>
    <t>LM144561</t>
  </si>
  <si>
    <t>LM144562</t>
  </si>
  <si>
    <t>LM144563</t>
  </si>
  <si>
    <t>LM144564</t>
  </si>
  <si>
    <t>LM144565</t>
  </si>
  <si>
    <t>LM144566</t>
  </si>
  <si>
    <t>LM144567</t>
  </si>
  <si>
    <t>LM144568</t>
  </si>
  <si>
    <t>LM144569</t>
  </si>
  <si>
    <t>LM144570</t>
  </si>
  <si>
    <t>LM144571</t>
  </si>
  <si>
    <t>LM144572</t>
  </si>
  <si>
    <t>LM144573</t>
  </si>
  <si>
    <t>LM144574</t>
  </si>
  <si>
    <t>LM144575</t>
  </si>
  <si>
    <t>LM144576</t>
  </si>
  <si>
    <t>LM144577</t>
  </si>
  <si>
    <t>LM144578</t>
  </si>
  <si>
    <t>LM144579</t>
  </si>
  <si>
    <t>LM144580</t>
  </si>
  <si>
    <t>LM144581</t>
  </si>
  <si>
    <t>LM144582</t>
  </si>
  <si>
    <t>LM144583</t>
  </si>
  <si>
    <t>LM144584</t>
  </si>
  <si>
    <t>LM144585</t>
  </si>
  <si>
    <t>LM144586</t>
  </si>
  <si>
    <t>LM144587</t>
  </si>
  <si>
    <t>LM144588</t>
  </si>
  <si>
    <t>LM144589</t>
  </si>
  <si>
    <t>LM144590</t>
  </si>
  <si>
    <t>LM144591</t>
  </si>
  <si>
    <t>LM144592</t>
  </si>
  <si>
    <t>LM144593</t>
  </si>
  <si>
    <t>LM144594</t>
  </si>
  <si>
    <t>LM144595</t>
  </si>
  <si>
    <t>LM144596</t>
  </si>
  <si>
    <t>LM144597</t>
  </si>
  <si>
    <t>LM144598</t>
  </si>
  <si>
    <t>LM144599</t>
  </si>
  <si>
    <t>LM144600</t>
  </si>
  <si>
    <t>LM144601</t>
  </si>
  <si>
    <t>LM144602</t>
  </si>
  <si>
    <t>LM144603</t>
  </si>
  <si>
    <t>LM144604</t>
  </si>
  <si>
    <t>LM144605</t>
  </si>
  <si>
    <t>LM144606</t>
  </si>
  <si>
    <t>LM144607</t>
  </si>
  <si>
    <t>LM144608</t>
  </si>
  <si>
    <t>LM144609</t>
  </si>
  <si>
    <t>LM144610</t>
  </si>
  <si>
    <t>LM144611</t>
  </si>
  <si>
    <t>LM144612</t>
  </si>
  <si>
    <t>LM144613</t>
  </si>
  <si>
    <t>LM144614</t>
  </si>
  <si>
    <t>LM144615</t>
  </si>
  <si>
    <t>LM144616</t>
  </si>
  <si>
    <t>LM144617</t>
  </si>
  <si>
    <t>LM144618</t>
  </si>
  <si>
    <t>LM144619</t>
  </si>
  <si>
    <t>LM144620</t>
  </si>
  <si>
    <t>LM144621</t>
  </si>
  <si>
    <t>LM144622</t>
  </si>
  <si>
    <t>LM144623</t>
  </si>
  <si>
    <t>LM144624</t>
  </si>
  <si>
    <t>LM144625</t>
  </si>
  <si>
    <t>LM144626</t>
  </si>
  <si>
    <t>LM144627</t>
  </si>
  <si>
    <t>LM144628</t>
  </si>
  <si>
    <t>LM144629</t>
  </si>
  <si>
    <t>LM144630</t>
  </si>
  <si>
    <t>LM144631</t>
  </si>
  <si>
    <t>LM144632</t>
  </si>
  <si>
    <t>LM144633</t>
  </si>
  <si>
    <t>LM144634</t>
  </si>
  <si>
    <t>LM144635</t>
  </si>
  <si>
    <t>LM144636</t>
  </si>
  <si>
    <t>LM144637</t>
  </si>
  <si>
    <t>LM144638</t>
  </si>
  <si>
    <t>LM144639</t>
  </si>
  <si>
    <t>LM144640</t>
  </si>
  <si>
    <t>LM144641</t>
  </si>
  <si>
    <t>LM144642</t>
  </si>
  <si>
    <t>LM144643</t>
  </si>
  <si>
    <t>LM144644</t>
  </si>
  <si>
    <t>LM144645</t>
  </si>
  <si>
    <t>LM144646</t>
  </si>
  <si>
    <t>LM144647</t>
  </si>
  <si>
    <t>LM144648</t>
  </si>
  <si>
    <t>LM144649</t>
  </si>
  <si>
    <t>LM144650</t>
  </si>
  <si>
    <t>LM144651</t>
  </si>
  <si>
    <t>LM144652</t>
  </si>
  <si>
    <t>LM144653</t>
  </si>
  <si>
    <t>LM144654</t>
  </si>
  <si>
    <t>LM144655</t>
  </si>
  <si>
    <t>LM144656</t>
  </si>
  <si>
    <t>LM144657</t>
  </si>
  <si>
    <t>LM144658</t>
  </si>
  <si>
    <t>LM144659</t>
  </si>
  <si>
    <t>LM144660</t>
  </si>
  <si>
    <t>LM144661</t>
  </si>
  <si>
    <t>LM144662</t>
  </si>
  <si>
    <t>LM144663</t>
  </si>
  <si>
    <t>LM144664</t>
  </si>
  <si>
    <t>LM144665</t>
  </si>
  <si>
    <t>LM144666</t>
  </si>
  <si>
    <t>LM144667</t>
  </si>
  <si>
    <t>LM144668</t>
  </si>
  <si>
    <t>LM144669</t>
  </si>
  <si>
    <t>LM144670</t>
  </si>
  <si>
    <t>LM144671</t>
  </si>
  <si>
    <t>LM144672</t>
  </si>
  <si>
    <t>LM144673</t>
  </si>
  <si>
    <t>LM144674</t>
  </si>
  <si>
    <t>LM144675</t>
  </si>
  <si>
    <t>LM144676</t>
  </si>
  <si>
    <t>LM144677</t>
  </si>
  <si>
    <t>LM144678</t>
  </si>
  <si>
    <t>LM144679</t>
  </si>
  <si>
    <t>LM144680</t>
  </si>
  <si>
    <t>LM144681</t>
  </si>
  <si>
    <t>LM144682</t>
  </si>
  <si>
    <t>LM144683</t>
  </si>
  <si>
    <t>LM144684</t>
  </si>
  <si>
    <t>LM144685</t>
  </si>
  <si>
    <t>LM144686</t>
  </si>
  <si>
    <t>LM144687</t>
  </si>
  <si>
    <t>LM144688</t>
  </si>
  <si>
    <t>LM144689</t>
  </si>
  <si>
    <t>LM144690</t>
  </si>
  <si>
    <t>LM144691</t>
  </si>
  <si>
    <t>LM144692</t>
  </si>
  <si>
    <t>LM144693</t>
  </si>
  <si>
    <t>LM144694</t>
  </si>
  <si>
    <t>LM144695</t>
  </si>
  <si>
    <t>LM144696</t>
  </si>
  <si>
    <t>LM144697</t>
  </si>
  <si>
    <t>LM144698</t>
  </si>
  <si>
    <t>LM144699</t>
  </si>
  <si>
    <t>LM144700</t>
  </si>
  <si>
    <t>LM144701</t>
  </si>
  <si>
    <t>LM144702</t>
  </si>
  <si>
    <t>LM144703</t>
  </si>
  <si>
    <t>LM144704</t>
  </si>
  <si>
    <t>LM144705</t>
  </si>
  <si>
    <t>LM144706</t>
  </si>
  <si>
    <t>LM144707</t>
  </si>
  <si>
    <t>LM144708</t>
  </si>
  <si>
    <t>LM144709</t>
  </si>
  <si>
    <t>LM144710</t>
  </si>
  <si>
    <t>LM144711</t>
  </si>
  <si>
    <t>LM144712</t>
  </si>
  <si>
    <t>LM144713</t>
  </si>
  <si>
    <t>LM144714</t>
  </si>
  <si>
    <t>LM144715</t>
  </si>
  <si>
    <t>LM144716</t>
  </si>
  <si>
    <t>LM144717</t>
  </si>
  <si>
    <t>LM144718</t>
  </si>
  <si>
    <t>LM144719</t>
  </si>
  <si>
    <t>LM144720</t>
  </si>
  <si>
    <t>LM144721</t>
  </si>
  <si>
    <t>LM144722</t>
  </si>
  <si>
    <t>LM144723</t>
  </si>
  <si>
    <t>LM144724</t>
  </si>
  <si>
    <t>LM144725</t>
  </si>
  <si>
    <t>LM144726</t>
  </si>
  <si>
    <t>LM144727</t>
  </si>
  <si>
    <t>LM144728</t>
  </si>
  <si>
    <t>LM144729</t>
  </si>
  <si>
    <t>LM144730</t>
  </si>
  <si>
    <t>LM144731</t>
  </si>
  <si>
    <t>LM144732</t>
  </si>
  <si>
    <t>LM144733</t>
  </si>
  <si>
    <t>LM144734</t>
  </si>
  <si>
    <t>LM144735</t>
  </si>
  <si>
    <t>LM144736</t>
  </si>
  <si>
    <t>LM144737</t>
  </si>
  <si>
    <t>LM144738</t>
  </si>
  <si>
    <t>LM144739</t>
  </si>
  <si>
    <t>LM144740</t>
  </si>
  <si>
    <t>LM144741</t>
  </si>
  <si>
    <t>LM144742</t>
  </si>
  <si>
    <t>LM144743</t>
  </si>
  <si>
    <t>LM144744</t>
  </si>
  <si>
    <t>LM144745</t>
  </si>
  <si>
    <t>LM144746</t>
  </si>
  <si>
    <t>LM144747</t>
  </si>
  <si>
    <t>LM144748</t>
  </si>
  <si>
    <t>LM144749</t>
  </si>
  <si>
    <t>LM144750</t>
  </si>
  <si>
    <t>LM144751</t>
  </si>
  <si>
    <t>LM144752</t>
  </si>
  <si>
    <t>LM144753</t>
  </si>
  <si>
    <t>LM144754</t>
  </si>
  <si>
    <t>LM144755</t>
  </si>
  <si>
    <t>LM144756</t>
  </si>
  <si>
    <t>LM144757</t>
  </si>
  <si>
    <t>LM144758</t>
  </si>
  <si>
    <t>LM144759</t>
  </si>
  <si>
    <t>LM144760</t>
  </si>
  <si>
    <t>LM144761</t>
  </si>
  <si>
    <t>LM144762</t>
  </si>
  <si>
    <t>LM144763</t>
  </si>
  <si>
    <t>LM144764</t>
  </si>
  <si>
    <t>LM144765</t>
  </si>
  <si>
    <t>LM144766</t>
  </si>
  <si>
    <t>LM144767</t>
  </si>
  <si>
    <t>LM144768</t>
  </si>
  <si>
    <t>LM144769</t>
  </si>
  <si>
    <t>LM144770</t>
  </si>
  <si>
    <t>LM144771</t>
  </si>
  <si>
    <t>LM144772</t>
  </si>
  <si>
    <t>LM144773</t>
  </si>
  <si>
    <t>LM144774</t>
  </si>
  <si>
    <t>LM144775</t>
  </si>
  <si>
    <t>LM144776</t>
  </si>
  <si>
    <t>LM144777</t>
  </si>
  <si>
    <t>LM144778</t>
  </si>
  <si>
    <t>LM144779</t>
  </si>
  <si>
    <t>LM144780</t>
  </si>
  <si>
    <t>LM144781</t>
  </si>
  <si>
    <t>LM144782</t>
  </si>
  <si>
    <t>LM144783</t>
  </si>
  <si>
    <t>LM144784</t>
  </si>
  <si>
    <t>LM144785</t>
  </si>
  <si>
    <t>LM144786</t>
  </si>
  <si>
    <t>LM144787</t>
  </si>
  <si>
    <t>LM144788</t>
  </si>
  <si>
    <t>LM144789</t>
  </si>
  <si>
    <t>LM144790</t>
  </si>
  <si>
    <t>LM144791</t>
  </si>
  <si>
    <t>LM144792</t>
  </si>
  <si>
    <t>LM144793</t>
  </si>
  <si>
    <t>LM144794</t>
  </si>
  <si>
    <t>LM144795</t>
  </si>
  <si>
    <t>LM144796</t>
  </si>
  <si>
    <t>LM144797</t>
  </si>
  <si>
    <t>LM144798</t>
  </si>
  <si>
    <t>LM144799</t>
  </si>
  <si>
    <t>LM144800</t>
  </si>
  <si>
    <t>LM144801</t>
  </si>
  <si>
    <t>LM144802</t>
  </si>
  <si>
    <t>LM144803</t>
  </si>
  <si>
    <t>LM144804</t>
  </si>
  <si>
    <t>LM144805</t>
  </si>
  <si>
    <t>LM144806</t>
  </si>
  <si>
    <t>LM144807</t>
  </si>
  <si>
    <t>LM144808</t>
  </si>
  <si>
    <t>LM144809</t>
  </si>
  <si>
    <t>LM144810</t>
  </si>
  <si>
    <t>LM144811</t>
  </si>
  <si>
    <t>LM144812</t>
  </si>
  <si>
    <t>LM144813</t>
  </si>
  <si>
    <t>LM144814</t>
  </si>
  <si>
    <t>LM144815</t>
  </si>
  <si>
    <t>LM144816</t>
  </si>
  <si>
    <t>LM144817</t>
  </si>
  <si>
    <t>LM144818</t>
  </si>
  <si>
    <t>LM144819</t>
  </si>
  <si>
    <t>LM144820</t>
  </si>
  <si>
    <t>LM144821</t>
  </si>
  <si>
    <t>LM144822</t>
  </si>
  <si>
    <t>LM144823</t>
  </si>
  <si>
    <t>LM144824</t>
  </si>
  <si>
    <t>LM144825</t>
  </si>
  <si>
    <t>LM144826</t>
  </si>
  <si>
    <t>LM144827</t>
  </si>
  <si>
    <t>LM144828</t>
  </si>
  <si>
    <t>LM144829</t>
  </si>
  <si>
    <t>LM144830</t>
  </si>
  <si>
    <t>LM144831</t>
  </si>
  <si>
    <t>LM144832</t>
  </si>
  <si>
    <t>LM144833</t>
  </si>
  <si>
    <t>LM144834</t>
  </si>
  <si>
    <t>LM144835</t>
  </si>
  <si>
    <t>LM144836</t>
  </si>
  <si>
    <t>LM144837</t>
  </si>
  <si>
    <t>LM144838</t>
  </si>
  <si>
    <t>LM144839</t>
  </si>
  <si>
    <t>LM144840</t>
  </si>
  <si>
    <t>LM144841</t>
  </si>
  <si>
    <t>LM144842</t>
  </si>
  <si>
    <t>LM144843</t>
  </si>
  <si>
    <t>LM144844</t>
  </si>
  <si>
    <t>LM144845</t>
  </si>
  <si>
    <t>LM144846</t>
  </si>
  <si>
    <t>LM144847</t>
  </si>
  <si>
    <t>LM144848</t>
  </si>
  <si>
    <t>LM144849</t>
  </si>
  <si>
    <t>LM144850</t>
  </si>
  <si>
    <t>LM144851</t>
  </si>
  <si>
    <t>LM144852</t>
  </si>
  <si>
    <t>LM144853</t>
  </si>
  <si>
    <t>LM144854</t>
  </si>
  <si>
    <t>LM144855</t>
  </si>
  <si>
    <t>LM144856</t>
  </si>
  <si>
    <t>LM144857</t>
  </si>
  <si>
    <t>LM144858</t>
  </si>
  <si>
    <t>LM144859</t>
  </si>
  <si>
    <t>LM144860</t>
  </si>
  <si>
    <t>LM144861</t>
  </si>
  <si>
    <t>LM144862</t>
  </si>
  <si>
    <t>LM144863</t>
  </si>
  <si>
    <t>LM144864</t>
  </si>
  <si>
    <t>LM144865</t>
  </si>
  <si>
    <t>LM144866</t>
  </si>
  <si>
    <t>LM144867</t>
  </si>
  <si>
    <t>LM144868</t>
  </si>
  <si>
    <t>LM144869</t>
  </si>
  <si>
    <t>LM144870</t>
  </si>
  <si>
    <t>LM144871</t>
  </si>
  <si>
    <t>LM144872</t>
  </si>
  <si>
    <t>LM144873</t>
  </si>
  <si>
    <t>LM144874</t>
  </si>
  <si>
    <t>LM144875</t>
  </si>
  <si>
    <t>LM144876</t>
  </si>
  <si>
    <t>LM144877</t>
  </si>
  <si>
    <t>LM144878</t>
  </si>
  <si>
    <t>LM144879</t>
  </si>
  <si>
    <t>LM144880</t>
  </si>
  <si>
    <t>LM144881</t>
  </si>
  <si>
    <t>LM144882</t>
  </si>
  <si>
    <t>LM144883</t>
  </si>
  <si>
    <t>LM144884</t>
  </si>
  <si>
    <t>LM144885</t>
  </si>
  <si>
    <t>LM144886</t>
  </si>
  <si>
    <t>LM144887</t>
  </si>
  <si>
    <t>LM144888</t>
  </si>
  <si>
    <t>LM144889</t>
  </si>
  <si>
    <t>LM144890</t>
  </si>
  <si>
    <t>LM144891</t>
  </si>
  <si>
    <t>LM144892</t>
  </si>
  <si>
    <t>LM144893</t>
  </si>
  <si>
    <t>LM144894</t>
  </si>
  <si>
    <t>LM144895</t>
  </si>
  <si>
    <t>LM144896</t>
  </si>
  <si>
    <t>LM144897</t>
  </si>
  <si>
    <t>LM144898</t>
  </si>
  <si>
    <t>LM144899</t>
  </si>
  <si>
    <t>LM144900</t>
  </si>
  <si>
    <t>LM144901</t>
  </si>
  <si>
    <t>LM144902</t>
  </si>
  <si>
    <t>LM144903</t>
  </si>
  <si>
    <t>LM144904</t>
  </si>
  <si>
    <t>LM144905</t>
  </si>
  <si>
    <t>LM144906</t>
  </si>
  <si>
    <t>LM144907</t>
  </si>
  <si>
    <t>LM144908</t>
  </si>
  <si>
    <t>LM144909</t>
  </si>
  <si>
    <t>LM144910</t>
  </si>
  <si>
    <t>LM144911</t>
  </si>
  <si>
    <t>LM144912</t>
  </si>
  <si>
    <t>LM144913</t>
  </si>
  <si>
    <t>LM144914</t>
  </si>
  <si>
    <t>LM144915</t>
  </si>
  <si>
    <t>LM144916</t>
  </si>
  <si>
    <t>LM144917</t>
  </si>
  <si>
    <t>LM144918</t>
  </si>
  <si>
    <t>LM144919</t>
  </si>
  <si>
    <t>LM144920</t>
  </si>
  <si>
    <t>LM144921</t>
  </si>
  <si>
    <t>LM144922</t>
  </si>
  <si>
    <t>LM144923</t>
  </si>
  <si>
    <t>LM144924</t>
  </si>
  <si>
    <t>LM144925</t>
  </si>
  <si>
    <t>LM144926</t>
  </si>
  <si>
    <t>LM144927</t>
  </si>
  <si>
    <t>LM144928</t>
  </si>
  <si>
    <t>LM144929</t>
  </si>
  <si>
    <t>LM144930</t>
  </si>
  <si>
    <t>LM144931</t>
  </si>
  <si>
    <t>LM144932</t>
  </si>
  <si>
    <t>LM144933</t>
  </si>
  <si>
    <t>LM144934</t>
  </si>
  <si>
    <t>LM144935</t>
  </si>
  <si>
    <t>LM144936</t>
  </si>
  <si>
    <t>LM144937</t>
  </si>
  <si>
    <t>LM144938</t>
  </si>
  <si>
    <t>LM144939</t>
  </si>
  <si>
    <t>LM144940</t>
  </si>
  <si>
    <t>LM144941</t>
  </si>
  <si>
    <t>LM144942</t>
  </si>
  <si>
    <t>LM144943</t>
  </si>
  <si>
    <t>LM144944</t>
  </si>
  <si>
    <t>LM144945</t>
  </si>
  <si>
    <t>LM144946</t>
  </si>
  <si>
    <t>LM144947</t>
  </si>
  <si>
    <t>LM144948</t>
  </si>
  <si>
    <t>LM144949</t>
  </si>
  <si>
    <t>LM144950</t>
  </si>
  <si>
    <t>LM144951</t>
  </si>
  <si>
    <t>LM144952</t>
  </si>
  <si>
    <t>LM144953</t>
  </si>
  <si>
    <t>LM144954</t>
  </si>
  <si>
    <t>LM144955</t>
  </si>
  <si>
    <t>LM144956</t>
  </si>
  <si>
    <t>LM144957</t>
  </si>
  <si>
    <t>LM144958</t>
  </si>
  <si>
    <t>LM144959</t>
  </si>
  <si>
    <t>LM144960</t>
  </si>
  <si>
    <t>LM144961</t>
  </si>
  <si>
    <t>LM144962</t>
  </si>
  <si>
    <t>LM144963</t>
  </si>
  <si>
    <t>LM144964</t>
  </si>
  <si>
    <t>LM144965</t>
  </si>
  <si>
    <t>LM144966</t>
  </si>
  <si>
    <t>LM144967</t>
  </si>
  <si>
    <t>LM144968</t>
  </si>
  <si>
    <t>LM144969</t>
  </si>
  <si>
    <t>LM144970</t>
  </si>
  <si>
    <t>LM144971</t>
  </si>
  <si>
    <t>LM144972</t>
  </si>
  <si>
    <t>LM144973</t>
  </si>
  <si>
    <t>LM144974</t>
  </si>
  <si>
    <t>LM144975</t>
  </si>
  <si>
    <t>LM144976</t>
  </si>
  <si>
    <t>LM144977</t>
  </si>
  <si>
    <t>LM144978</t>
  </si>
  <si>
    <t>LM144979</t>
  </si>
  <si>
    <t>LM144980</t>
  </si>
  <si>
    <t>LM144981</t>
  </si>
  <si>
    <t>LM144982</t>
  </si>
  <si>
    <t>LM144983</t>
  </si>
  <si>
    <t>LM144984</t>
  </si>
  <si>
    <t>LM144985</t>
  </si>
  <si>
    <t>LM144986</t>
  </si>
  <si>
    <t>LM144987</t>
  </si>
  <si>
    <t>LM144988</t>
  </si>
  <si>
    <t>LM144989</t>
  </si>
  <si>
    <t>LM144990</t>
  </si>
  <si>
    <t>LM144991</t>
  </si>
  <si>
    <t>LM144992</t>
  </si>
  <si>
    <t>LM144993</t>
  </si>
  <si>
    <t>LM144994</t>
  </si>
  <si>
    <t>LM144995</t>
  </si>
  <si>
    <t>LM144996</t>
  </si>
  <si>
    <t>LM144997</t>
  </si>
  <si>
    <t>LM144998</t>
  </si>
  <si>
    <t>LM144999</t>
  </si>
  <si>
    <t>LM145000</t>
  </si>
  <si>
    <t>Sum of Total_Loan_Amount</t>
  </si>
  <si>
    <t>Row Labels</t>
  </si>
  <si>
    <t>2020</t>
  </si>
  <si>
    <t>2021</t>
  </si>
  <si>
    <t>2022</t>
  </si>
  <si>
    <t>2023</t>
  </si>
  <si>
    <t>2024</t>
  </si>
  <si>
    <t>2025</t>
  </si>
  <si>
    <t>Column Labels</t>
  </si>
  <si>
    <t>Count of Default_Status</t>
  </si>
  <si>
    <t>Risk_category</t>
  </si>
  <si>
    <t>HIGH</t>
  </si>
  <si>
    <t>MEDIUM</t>
  </si>
  <si>
    <t>LOW</t>
  </si>
  <si>
    <t>LOAN DEFAULT PREDICTION DATA</t>
  </si>
  <si>
    <t>KPI</t>
  </si>
  <si>
    <t>(All)</t>
  </si>
  <si>
    <t>Count of Loan_Purpose</t>
  </si>
  <si>
    <t>LOAN PORTFOLIO GROWTH</t>
  </si>
  <si>
    <t>Default</t>
  </si>
  <si>
    <t>Average Debt_to_Income_Ratio</t>
  </si>
  <si>
    <t>Average Annual_Income</t>
  </si>
  <si>
    <t>Average Credit_Score</t>
  </si>
  <si>
    <t>Total Count</t>
  </si>
  <si>
    <t>PIVOT ANALYSIS</t>
  </si>
  <si>
    <t>CHART ANALYSIS</t>
  </si>
  <si>
    <t>DATA ANALYSIS</t>
  </si>
  <si>
    <t xml:space="preserve">Cummulative yearwise Loan Amount </t>
  </si>
  <si>
    <t>Loan default count by Purpose and Risk Category</t>
  </si>
  <si>
    <t>Default Ratio</t>
  </si>
  <si>
    <t>Risk category wise loan defaults</t>
  </si>
  <si>
    <t>Employment status by Loan Amount by Default Rate</t>
  </si>
  <si>
    <t>Default status count</t>
  </si>
  <si>
    <t>Total Loan Amount</t>
  </si>
  <si>
    <t>SLICERS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</si>
</sst>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mm/yyyy;@"/>
    <numFmt numFmtId="165" formatCode="[$$-409]#,##0.00"/>
    <numFmt numFmtId="166" formatCode="[$$-409]#,##0"/>
  </numFmts>
  <fonts count="3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4"/>
      <name val="Calibri"/>
      <family val="2"/>
      <scheme val="minor"/>
    </font>
    <font>
      <sz val="18"/>
      <color theme="1"/>
      <name val="Arial Rounded MT Bold"/>
      <family val="2"/>
    </font>
    <font>
      <b/>
      <u/>
      <sz val="12"/>
      <name val="Segoe UI"/>
      <family val="2"/>
    </font>
    <font>
      <b/>
      <sz val="12"/>
      <name val="Calibri"/>
      <family val="2"/>
      <scheme val="minor"/>
    </font>
    <font>
      <b/>
      <sz val="16"/>
      <color theme="1"/>
      <name val="Calibri"/>
      <family val="2"/>
      <scheme val="minor"/>
    </font>
    <font>
      <sz val="18"/>
      <color theme="1" tint="0.499984740745262"/>
      <name val="Arial Rounded MT Bold"/>
      <family val="2"/>
    </font>
    <font>
      <sz val="11"/>
      <color theme="1" tint="0.499984740745262"/>
      <name val="Calibri"/>
      <family val="2"/>
      <scheme val="minor"/>
    </font>
    <font>
      <b/>
      <sz val="11"/>
      <name val="Calibri"/>
      <family val="2"/>
      <scheme val="minor"/>
    </font>
    <font>
      <sz val="11"/>
      <name val="Calibri"/>
      <family val="2"/>
      <scheme val="minor"/>
    </font>
    <font>
      <sz val="18"/>
      <color theme="0"/>
      <name val="Arial Rounded MT Bold"/>
      <family val="2"/>
    </font>
    <font>
      <b/>
      <sz val="12"/>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bgColor theme="4" tint="0.79998168889431442"/>
      </patternFill>
    </fill>
    <fill>
      <patternFill patternType="solid">
        <fgColor theme="1" tint="0.34998626667073579"/>
        <bgColor indexed="64"/>
      </patternFill>
    </fill>
    <fill>
      <patternFill patternType="solid">
        <fgColor theme="2" tint="-0.499984740745262"/>
        <bgColor indexed="64"/>
      </patternFill>
    </fill>
    <fill>
      <patternFill patternType="solid">
        <fgColor rgb="FFFFC000"/>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04">
    <xf numFmtId="0" fontId="0" fillId="0" borderId="0" xfId="0"/>
    <xf numFmtId="0" fontId="0" fillId="0" borderId="10" xfId="0" applyBorder="1"/>
    <xf numFmtId="0" fontId="0" fillId="0" borderId="0" xfId="0" applyNumberFormat="1"/>
    <xf numFmtId="0" fontId="0" fillId="0" borderId="0" xfId="0" applyAlignment="1">
      <alignment horizontal="left"/>
    </xf>
    <xf numFmtId="164" fontId="0" fillId="0" borderId="10" xfId="0" applyNumberFormat="1" applyBorder="1"/>
    <xf numFmtId="164" fontId="0" fillId="0" borderId="0" xfId="0" applyNumberFormat="1"/>
    <xf numFmtId="10" fontId="0" fillId="0" borderId="10" xfId="42" applyNumberFormat="1" applyFont="1" applyBorder="1"/>
    <xf numFmtId="165" fontId="0" fillId="0" borderId="10" xfId="0" applyNumberFormat="1" applyBorder="1"/>
    <xf numFmtId="165" fontId="0" fillId="0" borderId="0" xfId="0" applyNumberFormat="1"/>
    <xf numFmtId="10" fontId="0" fillId="0" borderId="0" xfId="0" applyNumberFormat="1"/>
    <xf numFmtId="0" fontId="16" fillId="0" borderId="10" xfId="0" applyFont="1" applyBorder="1"/>
    <xf numFmtId="2" fontId="0" fillId="0" borderId="10" xfId="0" applyNumberFormat="1" applyBorder="1"/>
    <xf numFmtId="2" fontId="0" fillId="0" borderId="10" xfId="42" applyNumberFormat="1" applyFont="1" applyBorder="1"/>
    <xf numFmtId="0" fontId="0" fillId="0" borderId="10" xfId="0" pivotButton="1" applyBorder="1"/>
    <xf numFmtId="0" fontId="0" fillId="0" borderId="10" xfId="0" applyBorder="1" applyAlignment="1">
      <alignment horizontal="left"/>
    </xf>
    <xf numFmtId="0" fontId="0" fillId="0" borderId="10" xfId="0" applyNumberFormat="1" applyBorder="1"/>
    <xf numFmtId="10" fontId="0" fillId="0" borderId="10" xfId="0" applyNumberFormat="1" applyBorder="1"/>
    <xf numFmtId="1" fontId="0" fillId="0" borderId="10" xfId="0" applyNumberFormat="1" applyBorder="1"/>
    <xf numFmtId="1" fontId="0" fillId="0" borderId="21" xfId="0" applyNumberFormat="1" applyBorder="1"/>
    <xf numFmtId="0" fontId="0" fillId="0" borderId="21" xfId="0" applyNumberFormat="1" applyBorder="1"/>
    <xf numFmtId="0" fontId="16" fillId="0" borderId="0" xfId="0" applyFont="1" applyAlignment="1"/>
    <xf numFmtId="0" fontId="0" fillId="0" borderId="0" xfId="0" applyBorder="1"/>
    <xf numFmtId="0" fontId="0" fillId="0" borderId="16" xfId="0" applyBorder="1" applyAlignment="1"/>
    <xf numFmtId="0" fontId="0" fillId="0" borderId="17" xfId="0" applyBorder="1" applyAlignment="1"/>
    <xf numFmtId="0" fontId="0" fillId="0" borderId="19" xfId="0" applyBorder="1" applyAlignment="1"/>
    <xf numFmtId="0" fontId="0" fillId="0" borderId="12" xfId="0" applyBorder="1" applyAlignment="1"/>
    <xf numFmtId="0" fontId="0" fillId="0" borderId="21" xfId="0" applyBorder="1"/>
    <xf numFmtId="10" fontId="0" fillId="0" borderId="21" xfId="42" applyNumberFormat="1" applyFont="1" applyBorder="1"/>
    <xf numFmtId="0" fontId="16" fillId="33" borderId="10" xfId="0" applyFont="1" applyFill="1" applyBorder="1"/>
    <xf numFmtId="0" fontId="0" fillId="33" borderId="10" xfId="0" applyFill="1" applyBorder="1"/>
    <xf numFmtId="0" fontId="16" fillId="34" borderId="10" xfId="0" applyFont="1" applyFill="1" applyBorder="1"/>
    <xf numFmtId="0" fontId="0" fillId="33" borderId="10" xfId="0" applyNumberFormat="1" applyFill="1" applyBorder="1"/>
    <xf numFmtId="0" fontId="16" fillId="0" borderId="0" xfId="0" applyFont="1" applyBorder="1" applyAlignment="1"/>
    <xf numFmtId="0" fontId="0" fillId="35" borderId="0" xfId="0" applyFill="1"/>
    <xf numFmtId="166" fontId="0" fillId="0" borderId="10" xfId="0" applyNumberFormat="1" applyBorder="1"/>
    <xf numFmtId="0" fontId="0" fillId="0" borderId="15" xfId="0" applyBorder="1"/>
    <xf numFmtId="0" fontId="0" fillId="0" borderId="13" xfId="0" applyBorder="1"/>
    <xf numFmtId="0" fontId="0" fillId="0" borderId="20" xfId="0" applyBorder="1"/>
    <xf numFmtId="0" fontId="0" fillId="0" borderId="22" xfId="0" applyBorder="1"/>
    <xf numFmtId="165" fontId="0" fillId="0" borderId="22" xfId="0" applyNumberFormat="1" applyBorder="1"/>
    <xf numFmtId="164" fontId="0" fillId="0" borderId="22" xfId="0" applyNumberFormat="1" applyBorder="1"/>
    <xf numFmtId="0" fontId="0" fillId="0" borderId="19" xfId="0" applyFill="1" applyBorder="1"/>
    <xf numFmtId="0" fontId="0" fillId="0" borderId="18" xfId="0" applyBorder="1"/>
    <xf numFmtId="165" fontId="0" fillId="0" borderId="21" xfId="0" applyNumberFormat="1" applyBorder="1"/>
    <xf numFmtId="164" fontId="0" fillId="0" borderId="21" xfId="0" applyNumberFormat="1" applyBorder="1"/>
    <xf numFmtId="0" fontId="0" fillId="0" borderId="16" xfId="0" applyBorder="1"/>
    <xf numFmtId="0" fontId="0" fillId="0" borderId="11" xfId="0" applyBorder="1" applyAlignment="1">
      <alignment horizontal="left"/>
    </xf>
    <xf numFmtId="165" fontId="0" fillId="0" borderId="11" xfId="0" applyNumberFormat="1" applyBorder="1"/>
    <xf numFmtId="0" fontId="0" fillId="0" borderId="22" xfId="0" applyBorder="1" applyAlignment="1">
      <alignment horizontal="left"/>
    </xf>
    <xf numFmtId="0" fontId="0" fillId="0" borderId="21" xfId="0" applyBorder="1" applyAlignment="1">
      <alignment horizontal="left"/>
    </xf>
    <xf numFmtId="2" fontId="0" fillId="0" borderId="0" xfId="0" applyNumberFormat="1" applyBorder="1"/>
    <xf numFmtId="165" fontId="0" fillId="0" borderId="0" xfId="0" applyNumberFormat="1" applyBorder="1"/>
    <xf numFmtId="1" fontId="0" fillId="0" borderId="0" xfId="0" applyNumberFormat="1" applyBorder="1"/>
    <xf numFmtId="166" fontId="0" fillId="0" borderId="0" xfId="0" applyNumberFormat="1" applyBorder="1"/>
    <xf numFmtId="0" fontId="20" fillId="0" borderId="0" xfId="0" applyFont="1" applyAlignment="1">
      <alignment horizontal="center" vertical="center"/>
    </xf>
    <xf numFmtId="0" fontId="25" fillId="36" borderId="0" xfId="0" applyFont="1" applyFill="1"/>
    <xf numFmtId="0" fontId="24" fillId="36" borderId="0" xfId="0" applyFont="1" applyFill="1" applyAlignment="1">
      <alignment vertical="center"/>
    </xf>
    <xf numFmtId="0" fontId="24" fillId="36" borderId="0" xfId="0" applyFont="1" applyFill="1" applyAlignment="1">
      <alignment horizontal="center" vertical="center"/>
    </xf>
    <xf numFmtId="0" fontId="26" fillId="33" borderId="10" xfId="0" applyFont="1" applyFill="1" applyBorder="1"/>
    <xf numFmtId="1" fontId="27" fillId="33" borderId="10" xfId="0" applyNumberFormat="1" applyFont="1" applyFill="1" applyBorder="1"/>
    <xf numFmtId="166" fontId="27" fillId="33" borderId="10" xfId="0" applyNumberFormat="1" applyFont="1" applyFill="1" applyBorder="1"/>
    <xf numFmtId="2" fontId="27" fillId="33" borderId="10" xfId="0" applyNumberFormat="1" applyFont="1" applyFill="1" applyBorder="1"/>
    <xf numFmtId="0" fontId="16" fillId="37" borderId="10" xfId="0" applyFont="1" applyFill="1" applyBorder="1" applyAlignment="1">
      <alignment horizontal="center"/>
    </xf>
    <xf numFmtId="0" fontId="16" fillId="37" borderId="13" xfId="0" applyFont="1" applyFill="1" applyBorder="1" applyAlignment="1">
      <alignment horizontal="center"/>
    </xf>
    <xf numFmtId="0" fontId="16" fillId="37" borderId="15" xfId="0" applyFont="1" applyFill="1" applyBorder="1" applyAlignment="1">
      <alignment horizontal="center"/>
    </xf>
    <xf numFmtId="0" fontId="20" fillId="0" borderId="26" xfId="0" applyFont="1" applyBorder="1" applyAlignment="1">
      <alignment horizontal="center" vertical="center"/>
    </xf>
    <xf numFmtId="0" fontId="20" fillId="0" borderId="27" xfId="0" applyFont="1" applyBorder="1" applyAlignment="1">
      <alignment horizontal="center" vertical="center"/>
    </xf>
    <xf numFmtId="0" fontId="20" fillId="0" borderId="28" xfId="0" applyFont="1" applyBorder="1" applyAlignment="1">
      <alignment horizontal="center" vertical="center"/>
    </xf>
    <xf numFmtId="0" fontId="20" fillId="0" borderId="29" xfId="0" applyFont="1" applyBorder="1" applyAlignment="1">
      <alignment horizontal="center" vertical="center"/>
    </xf>
    <xf numFmtId="0" fontId="20" fillId="0" borderId="0" xfId="0" applyFont="1" applyBorder="1" applyAlignment="1">
      <alignment horizontal="center" vertical="center"/>
    </xf>
    <xf numFmtId="0" fontId="20" fillId="0" borderId="30" xfId="0" applyFont="1" applyBorder="1" applyAlignment="1">
      <alignment horizontal="center" vertical="center"/>
    </xf>
    <xf numFmtId="0" fontId="20" fillId="0" borderId="31" xfId="0" applyFont="1" applyBorder="1" applyAlignment="1">
      <alignment horizontal="center" vertical="center"/>
    </xf>
    <xf numFmtId="0" fontId="20" fillId="0" borderId="32" xfId="0" applyFont="1" applyBorder="1" applyAlignment="1">
      <alignment horizontal="center" vertical="center"/>
    </xf>
    <xf numFmtId="0" fontId="20" fillId="0" borderId="33" xfId="0" applyFont="1" applyBorder="1" applyAlignment="1">
      <alignment horizontal="center" vertical="center"/>
    </xf>
    <xf numFmtId="0" fontId="16" fillId="37" borderId="14" xfId="0" applyFont="1" applyFill="1" applyBorder="1" applyAlignment="1">
      <alignment horizontal="center"/>
    </xf>
    <xf numFmtId="0" fontId="28" fillId="36" borderId="26" xfId="0" applyFont="1" applyFill="1" applyBorder="1" applyAlignment="1">
      <alignment horizontal="center" vertical="center"/>
    </xf>
    <xf numFmtId="0" fontId="28" fillId="36" borderId="27" xfId="0" applyFont="1" applyFill="1" applyBorder="1" applyAlignment="1">
      <alignment horizontal="center" vertical="center"/>
    </xf>
    <xf numFmtId="0" fontId="28" fillId="36" borderId="28" xfId="0" applyFont="1" applyFill="1" applyBorder="1" applyAlignment="1">
      <alignment horizontal="center" vertical="center"/>
    </xf>
    <xf numFmtId="0" fontId="28" fillId="36" borderId="29" xfId="0" applyFont="1" applyFill="1" applyBorder="1" applyAlignment="1">
      <alignment horizontal="center" vertical="center"/>
    </xf>
    <xf numFmtId="0" fontId="28" fillId="36" borderId="0" xfId="0" applyFont="1" applyFill="1" applyBorder="1" applyAlignment="1">
      <alignment horizontal="center" vertical="center"/>
    </xf>
    <xf numFmtId="0" fontId="28" fillId="36" borderId="30" xfId="0" applyFont="1" applyFill="1" applyBorder="1" applyAlignment="1">
      <alignment horizontal="center" vertical="center"/>
    </xf>
    <xf numFmtId="0" fontId="28" fillId="36" borderId="31" xfId="0" applyFont="1" applyFill="1" applyBorder="1" applyAlignment="1">
      <alignment horizontal="center" vertical="center"/>
    </xf>
    <xf numFmtId="0" fontId="28" fillId="36" borderId="32" xfId="0" applyFont="1" applyFill="1" applyBorder="1" applyAlignment="1">
      <alignment horizontal="center" vertical="center"/>
    </xf>
    <xf numFmtId="0" fontId="28" fillId="36" borderId="33" xfId="0" applyFont="1" applyFill="1" applyBorder="1" applyAlignment="1">
      <alignment horizontal="center" vertical="center"/>
    </xf>
    <xf numFmtId="0" fontId="21" fillId="0" borderId="14" xfId="0" applyFont="1" applyBorder="1" applyAlignment="1">
      <alignment horizontal="center" vertical="center"/>
    </xf>
    <xf numFmtId="0" fontId="21" fillId="0" borderId="15" xfId="0" applyFont="1" applyBorder="1" applyAlignment="1">
      <alignment horizontal="center" vertical="center"/>
    </xf>
    <xf numFmtId="0" fontId="16" fillId="0" borderId="10" xfId="0" applyFont="1" applyBorder="1" applyAlignment="1">
      <alignment horizontal="center"/>
    </xf>
    <xf numFmtId="0" fontId="16" fillId="37" borderId="23" xfId="0" applyFont="1" applyFill="1" applyBorder="1" applyAlignment="1">
      <alignment horizontal="center"/>
    </xf>
    <xf numFmtId="0" fontId="16" fillId="37" borderId="24" xfId="0" applyFont="1" applyFill="1" applyBorder="1" applyAlignment="1">
      <alignment horizontal="center"/>
    </xf>
    <xf numFmtId="0" fontId="16" fillId="37" borderId="25" xfId="0" applyFont="1" applyFill="1" applyBorder="1" applyAlignment="1">
      <alignment horizontal="center"/>
    </xf>
    <xf numFmtId="0" fontId="22" fillId="37" borderId="23" xfId="0" applyFont="1" applyFill="1" applyBorder="1" applyAlignment="1">
      <alignment horizontal="center" vertical="center"/>
    </xf>
    <xf numFmtId="0" fontId="22" fillId="37" borderId="24" xfId="0" applyFont="1" applyFill="1" applyBorder="1" applyAlignment="1">
      <alignment horizontal="center" vertical="center"/>
    </xf>
    <xf numFmtId="0" fontId="22" fillId="37" borderId="25" xfId="0" applyFont="1" applyFill="1" applyBorder="1" applyAlignment="1">
      <alignment horizontal="center" vertical="center"/>
    </xf>
    <xf numFmtId="0" fontId="21" fillId="0" borderId="10" xfId="0" applyFont="1" applyBorder="1" applyAlignment="1">
      <alignment horizontal="center" vertical="center"/>
    </xf>
    <xf numFmtId="0" fontId="19" fillId="0" borderId="10" xfId="0" applyFont="1" applyBorder="1" applyAlignment="1">
      <alignment horizontal="center" vertical="center" readingOrder="1"/>
    </xf>
    <xf numFmtId="0" fontId="19" fillId="0" borderId="0" xfId="0" applyFont="1" applyAlignment="1">
      <alignment horizontal="center" vertical="center" readingOrder="1"/>
    </xf>
    <xf numFmtId="0" fontId="20" fillId="0" borderId="0" xfId="0" applyFont="1" applyAlignment="1">
      <alignment horizontal="center" vertical="center"/>
    </xf>
    <xf numFmtId="0" fontId="16" fillId="33" borderId="13" xfId="0" applyFont="1" applyFill="1" applyBorder="1" applyAlignment="1">
      <alignment horizontal="center"/>
    </xf>
    <xf numFmtId="0" fontId="16" fillId="33" borderId="14" xfId="0" applyFont="1" applyFill="1" applyBorder="1" applyAlignment="1">
      <alignment horizontal="center"/>
    </xf>
    <xf numFmtId="0" fontId="16" fillId="33" borderId="15" xfId="0" applyFont="1" applyFill="1" applyBorder="1" applyAlignment="1">
      <alignment horizontal="center"/>
    </xf>
    <xf numFmtId="0" fontId="16" fillId="0" borderId="13" xfId="0" applyFont="1" applyBorder="1" applyAlignment="1">
      <alignment horizontal="center"/>
    </xf>
    <xf numFmtId="0" fontId="16" fillId="0" borderId="15" xfId="0" applyFont="1" applyBorder="1" applyAlignment="1">
      <alignment horizontal="center"/>
    </xf>
    <xf numFmtId="0" fontId="23" fillId="0" borderId="10" xfId="0" applyFont="1" applyBorder="1" applyAlignment="1">
      <alignment horizontal="center"/>
    </xf>
    <xf numFmtId="0" fontId="29" fillId="0" borderId="0" xfId="0" applyFont="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87">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14009]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5" formatCode="[$$-409]#,##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5" formatCode="[$$-409]#,##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5" formatCode="[$$-409]#,##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 formatCode="0"/>
    </dxf>
    <dxf>
      <border>
        <bottom style="thin">
          <color indexed="64"/>
        </bottom>
        <vertical style="thin">
          <color indexed="64"/>
        </vertical>
        <horizontal style="thin">
          <color indexed="64"/>
        </horizontal>
      </border>
    </dxf>
    <dxf>
      <numFmt numFmtId="2" formatCode="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top style="thin">
          <color indexed="64"/>
        </top>
        <vertical style="thin">
          <color indexed="64"/>
        </vertical>
      </border>
    </dxf>
    <dxf>
      <border>
        <left style="thin">
          <color indexed="64"/>
        </left>
        <top style="thin">
          <color indexed="64"/>
        </top>
        <vertical style="thin">
          <color indexed="64"/>
        </vertical>
      </border>
    </dxf>
    <dxf>
      <border>
        <left style="thin">
          <color indexed="64"/>
        </left>
        <top style="thin">
          <color indexed="64"/>
        </top>
        <vertical style="thin">
          <color indexed="64"/>
        </vertical>
      </border>
    </dxf>
    <dxf>
      <border>
        <left style="thin">
          <color indexed="64"/>
        </left>
        <top style="thin">
          <color indexed="64"/>
        </top>
        <vertical style="thin">
          <color indexed="64"/>
        </vertical>
      </border>
    </dxf>
    <dxf>
      <border>
        <left style="thin">
          <color indexed="64"/>
        </left>
        <top style="thin">
          <color indexed="64"/>
        </top>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numFmt numFmtId="165" formatCode="[$$-409]#,##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7"/>
        </bottom>
        <vertical/>
        <horizontal/>
      </border>
    </dxf>
    <dxf>
      <font>
        <b val="0"/>
        <i val="0"/>
        <sz val="11"/>
        <color theme="0"/>
        <name val="Arial Rounded MT Bold"/>
        <family val="2"/>
        <scheme val="none"/>
      </font>
      <fill>
        <patternFill patternType="solid">
          <fgColor indexed="64"/>
          <bgColor theme="1" tint="0.24994659260841701"/>
        </patternFill>
      </fill>
      <border diagonalUp="0" diagonalDown="0">
        <left/>
        <right/>
        <top/>
        <bottom/>
        <vertical/>
        <horizontal/>
      </border>
    </dxf>
  </dxfs>
  <tableStyles count="1" defaultTableStyle="TableStyleMedium2" defaultPivotStyle="PivotStyleLight16">
    <tableStyle name="project" pivot="0" table="0" count="10" xr9:uid="{B8DC73CF-08AF-47BC-9556-122ECA70A8A3}">
      <tableStyleElement type="wholeTable" dxfId="86"/>
      <tableStyleElement type="headerRow" dxfId="85"/>
    </tableStyle>
  </tableStyles>
  <colors>
    <mruColors>
      <color rgb="FFCAE2FE"/>
      <color rgb="FF6BA8F1"/>
      <color rgb="FFFF33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project">
        <x14:slicerStyle name="projec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Loan Portfolio Growth</a:t>
            </a:r>
            <a:r>
              <a:rPr lang="en-US" b="1"/>
              <a:t> </a:t>
            </a:r>
          </a:p>
        </c:rich>
      </c:tx>
      <c:overlay val="0"/>
      <c:spPr>
        <a:noFill/>
        <a:ln>
          <a:noFill/>
        </a:ln>
        <a:effectLst/>
      </c:spPr>
    </c:title>
    <c:autoTitleDeleted val="0"/>
    <c:plotArea>
      <c:layout/>
      <c:lineChart>
        <c:grouping val="standard"/>
        <c:varyColors val="0"/>
        <c:ser>
          <c:idx val="2"/>
          <c:order val="0"/>
          <c:tx>
            <c:strRef>
              <c:f>'Data Analysis'!$G$30</c:f>
              <c:strCache>
                <c:ptCount val="1"/>
                <c:pt idx="0">
                  <c:v>Cummulative yearwise Loan Amount </c:v>
                </c:pt>
              </c:strCache>
            </c:strRef>
          </c:tx>
          <c:spPr>
            <a:ln w="19050" cap="sq" cmpd="sng">
              <a:bevel/>
              <a:tailEnd w="sm" len="med"/>
            </a:ln>
          </c:spPr>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 Analysis'!$F$31:$F$36</c:f>
              <c:strCache>
                <c:ptCount val="6"/>
                <c:pt idx="0">
                  <c:v>2020</c:v>
                </c:pt>
                <c:pt idx="1">
                  <c:v>2021</c:v>
                </c:pt>
                <c:pt idx="2">
                  <c:v>2022</c:v>
                </c:pt>
                <c:pt idx="3">
                  <c:v>2023</c:v>
                </c:pt>
                <c:pt idx="4">
                  <c:v>2024</c:v>
                </c:pt>
                <c:pt idx="5">
                  <c:v>2025</c:v>
                </c:pt>
              </c:strCache>
            </c:strRef>
          </c:cat>
          <c:val>
            <c:numRef>
              <c:f>'Data Analysis'!$G$31:$G$36</c:f>
              <c:numCache>
                <c:formatCode>[$$-409]#,##0.00</c:formatCode>
                <c:ptCount val="6"/>
                <c:pt idx="0">
                  <c:v>16776584</c:v>
                </c:pt>
                <c:pt idx="1">
                  <c:v>58667520</c:v>
                </c:pt>
                <c:pt idx="2">
                  <c:v>98065037</c:v>
                </c:pt>
                <c:pt idx="3">
                  <c:v>138910830</c:v>
                </c:pt>
                <c:pt idx="4">
                  <c:v>178524259</c:v>
                </c:pt>
                <c:pt idx="5">
                  <c:v>199472825</c:v>
                </c:pt>
              </c:numCache>
            </c:numRef>
          </c:val>
          <c:smooth val="0"/>
          <c:extLst>
            <c:ext xmlns:c16="http://schemas.microsoft.com/office/drawing/2014/chart" uri="{C3380CC4-5D6E-409C-BE32-E72D297353CC}">
              <c16:uniqueId val="{00000000-BFD5-4977-B6C9-B97840694A76}"/>
            </c:ext>
          </c:extLst>
        </c:ser>
        <c:dLbls>
          <c:dLblPos val="t"/>
          <c:showLegendKey val="0"/>
          <c:showVal val="1"/>
          <c:showCatName val="0"/>
          <c:showSerName val="0"/>
          <c:showPercent val="0"/>
          <c:showBubbleSize val="0"/>
        </c:dLbls>
        <c:smooth val="0"/>
        <c:axId val="436380864"/>
        <c:axId val="436381280"/>
      </c:lineChart>
      <c:catAx>
        <c:axId val="436380864"/>
        <c:scaling>
          <c:orientation val="minMax"/>
        </c:scaling>
        <c:delete val="0"/>
        <c:axPos val="b"/>
        <c:numFmt formatCode="General" sourceLinked="1"/>
        <c:majorTickMark val="out"/>
        <c:minorTickMark val="none"/>
        <c:tickLblPos val="nextTo"/>
        <c:crossAx val="436381280"/>
        <c:crosses val="autoZero"/>
        <c:auto val="1"/>
        <c:lblAlgn val="ctr"/>
        <c:lblOffset val="100"/>
        <c:noMultiLvlLbl val="0"/>
      </c:catAx>
      <c:valAx>
        <c:axId val="436381280"/>
        <c:scaling>
          <c:orientation val="minMax"/>
        </c:scaling>
        <c:delete val="0"/>
        <c:axPos val="l"/>
        <c:majorGridlines/>
        <c:numFmt formatCode="[$$-409]#,##0.00" sourceLinked="1"/>
        <c:majorTickMark val="out"/>
        <c:minorTickMark val="none"/>
        <c:tickLblPos val="nextTo"/>
        <c:crossAx val="436380864"/>
        <c:crosses val="autoZero"/>
        <c:crossBetween val="between"/>
      </c:val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u="none">
                <a:effectLst/>
              </a:rPr>
              <a:t>Employment status by Loan Amount</a:t>
            </a:r>
            <a:r>
              <a:rPr lang="en-IN" sz="1800" b="1" u="none" baseline="0">
                <a:effectLst/>
              </a:rPr>
              <a:t> by Default Rate</a:t>
            </a:r>
            <a:endParaRPr lang="en-IN" u="none">
              <a:effectLst/>
            </a:endParaRPr>
          </a:p>
        </c:rich>
      </c:tx>
      <c:layout>
        <c:manualLayout>
          <c:xMode val="edge"/>
          <c:yMode val="edge"/>
          <c:x val="0.20564304461942259"/>
          <c:y val="4.2253521126760563E-2"/>
        </c:manualLayout>
      </c:layout>
      <c:overlay val="0"/>
      <c:spPr>
        <a:noFill/>
        <a:ln>
          <a:noFill/>
        </a:ln>
        <a:effectLst/>
      </c:spPr>
    </c:title>
    <c:autoTitleDeleted val="0"/>
    <c:plotArea>
      <c:layout/>
      <c:barChart>
        <c:barDir val="bar"/>
        <c:grouping val="clustered"/>
        <c:varyColors val="0"/>
        <c:ser>
          <c:idx val="0"/>
          <c:order val="0"/>
          <c:tx>
            <c:strRef>
              <c:f>Pivot_Analysis!$I$129</c:f>
              <c:strCache>
                <c:ptCount val="1"/>
                <c:pt idx="0">
                  <c:v>Total Loan Amount</c:v>
                </c:pt>
              </c:strCache>
            </c:strRef>
          </c:tx>
          <c:invertIfNegative val="0"/>
          <c:cat>
            <c:strRef>
              <c:f>Pivot_Analysis!$H$130:$H$133</c:f>
              <c:strCache>
                <c:ptCount val="4"/>
                <c:pt idx="0">
                  <c:v>Employed</c:v>
                </c:pt>
                <c:pt idx="1">
                  <c:v>Retired</c:v>
                </c:pt>
                <c:pt idx="2">
                  <c:v>Self-employed</c:v>
                </c:pt>
                <c:pt idx="3">
                  <c:v>Unemployed</c:v>
                </c:pt>
              </c:strCache>
            </c:strRef>
          </c:cat>
          <c:val>
            <c:numRef>
              <c:f>Pivot_Analysis!$I$130:$I$133</c:f>
              <c:numCache>
                <c:formatCode>General</c:formatCode>
                <c:ptCount val="4"/>
                <c:pt idx="0">
                  <c:v>50089844</c:v>
                </c:pt>
                <c:pt idx="1">
                  <c:v>48940591</c:v>
                </c:pt>
                <c:pt idx="2">
                  <c:v>53820859</c:v>
                </c:pt>
                <c:pt idx="3">
                  <c:v>46621531</c:v>
                </c:pt>
              </c:numCache>
            </c:numRef>
          </c:val>
          <c:extLst>
            <c:ext xmlns:c16="http://schemas.microsoft.com/office/drawing/2014/chart" uri="{C3380CC4-5D6E-409C-BE32-E72D297353CC}">
              <c16:uniqueId val="{00000000-E1CF-4636-99F9-0738E2456B02}"/>
            </c:ext>
          </c:extLst>
        </c:ser>
        <c:dLbls>
          <c:showLegendKey val="0"/>
          <c:showVal val="0"/>
          <c:showCatName val="0"/>
          <c:showSerName val="0"/>
          <c:showPercent val="0"/>
          <c:showBubbleSize val="0"/>
        </c:dLbls>
        <c:gapWidth val="100"/>
        <c:axId val="943706272"/>
        <c:axId val="943707520"/>
      </c:barChart>
      <c:lineChart>
        <c:grouping val="standard"/>
        <c:varyColors val="0"/>
        <c:ser>
          <c:idx val="1"/>
          <c:order val="1"/>
          <c:tx>
            <c:strRef>
              <c:f>Pivot_Analysis!$J$129</c:f>
              <c:strCache>
                <c:ptCount val="1"/>
                <c:pt idx="0">
                  <c:v>Default status count</c:v>
                </c:pt>
              </c:strCache>
            </c:strRef>
          </c:tx>
          <c:marker>
            <c:symbol val="none"/>
          </c:marker>
          <c:cat>
            <c:strRef>
              <c:f>Pivot_Analysis!$H$130:$H$133</c:f>
              <c:strCache>
                <c:ptCount val="4"/>
                <c:pt idx="0">
                  <c:v>Employed</c:v>
                </c:pt>
                <c:pt idx="1">
                  <c:v>Retired</c:v>
                </c:pt>
                <c:pt idx="2">
                  <c:v>Self-employed</c:v>
                </c:pt>
                <c:pt idx="3">
                  <c:v>Unemployed</c:v>
                </c:pt>
              </c:strCache>
            </c:strRef>
          </c:cat>
          <c:val>
            <c:numRef>
              <c:f>Pivot_Analysis!$J$130:$J$133</c:f>
              <c:numCache>
                <c:formatCode>0.00%</c:formatCode>
                <c:ptCount val="4"/>
                <c:pt idx="0">
                  <c:v>0.253</c:v>
                </c:pt>
                <c:pt idx="1">
                  <c:v>0.24349999999999999</c:v>
                </c:pt>
                <c:pt idx="2">
                  <c:v>0.26250000000000001</c:v>
                </c:pt>
                <c:pt idx="3">
                  <c:v>0.24099999999999999</c:v>
                </c:pt>
              </c:numCache>
            </c:numRef>
          </c:val>
          <c:smooth val="0"/>
          <c:extLst>
            <c:ext xmlns:c16="http://schemas.microsoft.com/office/drawing/2014/chart" uri="{C3380CC4-5D6E-409C-BE32-E72D297353CC}">
              <c16:uniqueId val="{00000001-E1CF-4636-99F9-0738E2456B02}"/>
            </c:ext>
          </c:extLst>
        </c:ser>
        <c:dLbls>
          <c:showLegendKey val="0"/>
          <c:showVal val="0"/>
          <c:showCatName val="0"/>
          <c:showSerName val="0"/>
          <c:showPercent val="0"/>
          <c:showBubbleSize val="0"/>
        </c:dLbls>
        <c:marker val="1"/>
        <c:smooth val="0"/>
        <c:axId val="1052903328"/>
        <c:axId val="1052902912"/>
      </c:lineChart>
      <c:valAx>
        <c:axId val="1052902912"/>
        <c:scaling>
          <c:orientation val="minMax"/>
        </c:scaling>
        <c:delete val="0"/>
        <c:axPos val="l"/>
        <c:majorGridlines/>
        <c:numFmt formatCode="0.00%" sourceLinked="1"/>
        <c:majorTickMark val="out"/>
        <c:minorTickMark val="none"/>
        <c:tickLblPos val="nextTo"/>
        <c:crossAx val="1052903328"/>
        <c:crosses val="autoZero"/>
        <c:crossBetween val="between"/>
      </c:valAx>
      <c:catAx>
        <c:axId val="1052903328"/>
        <c:scaling>
          <c:orientation val="minMax"/>
        </c:scaling>
        <c:delete val="0"/>
        <c:axPos val="b"/>
        <c:numFmt formatCode="General" sourceLinked="1"/>
        <c:majorTickMark val="out"/>
        <c:minorTickMark val="none"/>
        <c:tickLblPos val="nextTo"/>
        <c:crossAx val="1052902912"/>
        <c:crosses val="autoZero"/>
        <c:auto val="1"/>
        <c:lblAlgn val="ctr"/>
        <c:lblOffset val="100"/>
        <c:noMultiLvlLbl val="0"/>
      </c:catAx>
      <c:valAx>
        <c:axId val="943707520"/>
        <c:scaling>
          <c:orientation val="minMax"/>
        </c:scaling>
        <c:delete val="0"/>
        <c:axPos val="t"/>
        <c:numFmt formatCode="General" sourceLinked="1"/>
        <c:majorTickMark val="out"/>
        <c:minorTickMark val="none"/>
        <c:tickLblPos val="nextTo"/>
        <c:crossAx val="943706272"/>
        <c:crosses val="max"/>
        <c:crossBetween val="between"/>
      </c:valAx>
      <c:catAx>
        <c:axId val="943706272"/>
        <c:scaling>
          <c:orientation val="minMax"/>
        </c:scaling>
        <c:delete val="1"/>
        <c:axPos val="l"/>
        <c:numFmt formatCode="General" sourceLinked="1"/>
        <c:majorTickMark val="out"/>
        <c:minorTickMark val="none"/>
        <c:tickLblPos val="nextTo"/>
        <c:crossAx val="943707520"/>
        <c:crosses val="autoZero"/>
        <c:auto val="1"/>
        <c:lblAlgn val="ctr"/>
        <c:lblOffset val="100"/>
        <c:noMultiLvlLbl val="0"/>
      </c:cat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0" baseline="0">
                <a:effectLst/>
              </a:rPr>
              <a:t>Loan default count by Purpose and Risk Category</a:t>
            </a:r>
            <a:r>
              <a:rPr lang="en-IN" sz="1800" b="0" i="0" baseline="0">
                <a:effectLst/>
              </a:rPr>
              <a:t> </a:t>
            </a:r>
            <a:endParaRPr lang="en-IN" sz="1400">
              <a:effectLst/>
            </a:endParaRPr>
          </a:p>
        </c:rich>
      </c:tx>
      <c:overlay val="0"/>
      <c:spPr>
        <a:noFill/>
        <a:ln>
          <a:noFill/>
        </a:ln>
        <a:effectLst/>
      </c:spPr>
    </c:title>
    <c:autoTitleDeleted val="0"/>
    <c:plotArea>
      <c:layout/>
      <c:barChart>
        <c:barDir val="col"/>
        <c:grouping val="stacked"/>
        <c:varyColors val="0"/>
        <c:ser>
          <c:idx val="2"/>
          <c:order val="0"/>
          <c:tx>
            <c:strRef>
              <c:f>Pivot_Analysis!$I$55</c:f>
              <c:strCache>
                <c:ptCount val="1"/>
                <c:pt idx="0">
                  <c:v>MEDIUM</c:v>
                </c:pt>
              </c:strCache>
            </c:strRef>
          </c:tx>
          <c:spPr>
            <a:ln w="19050" cap="sq" cmpd="sng">
              <a:bevel/>
              <a:tailEnd w="sm" len="me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Pivot_Analysis!$I$56:$I$61</c:f>
              <c:numCache>
                <c:formatCode>General</c:formatCode>
                <c:ptCount val="6"/>
                <c:pt idx="0">
                  <c:v>49</c:v>
                </c:pt>
                <c:pt idx="1">
                  <c:v>67</c:v>
                </c:pt>
                <c:pt idx="2">
                  <c:v>65</c:v>
                </c:pt>
                <c:pt idx="3">
                  <c:v>68</c:v>
                </c:pt>
                <c:pt idx="4">
                  <c:v>56</c:v>
                </c:pt>
                <c:pt idx="5">
                  <c:v>68</c:v>
                </c:pt>
              </c:numCache>
            </c:numRef>
          </c:val>
          <c:extLst>
            <c:ext xmlns:c16="http://schemas.microsoft.com/office/drawing/2014/chart" uri="{C3380CC4-5D6E-409C-BE32-E72D297353CC}">
              <c16:uniqueId val="{00000000-F35B-4706-84D3-780CEEC9F754}"/>
            </c:ext>
          </c:extLst>
        </c:ser>
        <c:ser>
          <c:idx val="3"/>
          <c:order val="1"/>
          <c:tx>
            <c:strRef>
              <c:f>Pivot_Analysis!$J$55</c:f>
              <c:strCache>
                <c:ptCount val="1"/>
                <c:pt idx="0">
                  <c:v>LOW</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Pivot_Analysis!$J$56:$J$61</c:f>
              <c:numCache>
                <c:formatCode>General</c:formatCode>
                <c:ptCount val="6"/>
                <c:pt idx="0">
                  <c:v>123</c:v>
                </c:pt>
                <c:pt idx="1">
                  <c:v>127</c:v>
                </c:pt>
                <c:pt idx="2">
                  <c:v>135</c:v>
                </c:pt>
                <c:pt idx="3">
                  <c:v>114</c:v>
                </c:pt>
                <c:pt idx="4">
                  <c:v>117</c:v>
                </c:pt>
                <c:pt idx="5">
                  <c:v>111</c:v>
                </c:pt>
              </c:numCache>
            </c:numRef>
          </c:val>
          <c:extLst>
            <c:ext xmlns:c16="http://schemas.microsoft.com/office/drawing/2014/chart" uri="{C3380CC4-5D6E-409C-BE32-E72D297353CC}">
              <c16:uniqueId val="{00000001-F35B-4706-84D3-780CEEC9F754}"/>
            </c:ext>
          </c:extLst>
        </c:ser>
        <c:ser>
          <c:idx val="0"/>
          <c:order val="2"/>
          <c:tx>
            <c:strRef>
              <c:f>Pivot_Analysis!$K$55</c:f>
              <c:strCache>
                <c:ptCount val="1"/>
                <c:pt idx="0">
                  <c:v>HIGH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Pivot_Analysis!$K$56:$K$61</c:f>
              <c:numCache>
                <c:formatCode>General</c:formatCode>
                <c:ptCount val="6"/>
                <c:pt idx="0">
                  <c:v>138</c:v>
                </c:pt>
                <c:pt idx="1">
                  <c:v>159</c:v>
                </c:pt>
                <c:pt idx="2">
                  <c:v>145</c:v>
                </c:pt>
                <c:pt idx="3">
                  <c:v>148</c:v>
                </c:pt>
                <c:pt idx="4">
                  <c:v>155</c:v>
                </c:pt>
                <c:pt idx="5">
                  <c:v>155</c:v>
                </c:pt>
              </c:numCache>
            </c:numRef>
          </c:val>
          <c:extLst>
            <c:ext xmlns:c16="http://schemas.microsoft.com/office/drawing/2014/chart" uri="{C3380CC4-5D6E-409C-BE32-E72D297353CC}">
              <c16:uniqueId val="{00000002-F35B-4706-84D3-780CEEC9F754}"/>
            </c:ext>
          </c:extLst>
        </c:ser>
        <c:dLbls>
          <c:showLegendKey val="0"/>
          <c:showVal val="1"/>
          <c:showCatName val="0"/>
          <c:showSerName val="0"/>
          <c:showPercent val="0"/>
          <c:showBubbleSize val="0"/>
        </c:dLbls>
        <c:gapWidth val="150"/>
        <c:overlap val="100"/>
        <c:axId val="436380864"/>
        <c:axId val="436381280"/>
      </c:barChart>
      <c:catAx>
        <c:axId val="436380864"/>
        <c:scaling>
          <c:orientation val="minMax"/>
        </c:scaling>
        <c:delete val="0"/>
        <c:axPos val="b"/>
        <c:numFmt formatCode="General" sourceLinked="1"/>
        <c:majorTickMark val="out"/>
        <c:minorTickMark val="none"/>
        <c:tickLblPos val="nextTo"/>
        <c:crossAx val="436381280"/>
        <c:crosses val="autoZero"/>
        <c:auto val="1"/>
        <c:lblAlgn val="ctr"/>
        <c:lblOffset val="100"/>
        <c:noMultiLvlLbl val="0"/>
      </c:catAx>
      <c:valAx>
        <c:axId val="436381280"/>
        <c:scaling>
          <c:orientation val="minMax"/>
        </c:scaling>
        <c:delete val="0"/>
        <c:axPos val="l"/>
        <c:majorGridlines/>
        <c:numFmt formatCode="General" sourceLinked="1"/>
        <c:majorTickMark val="out"/>
        <c:minorTickMark val="none"/>
        <c:tickLblPos val="nextTo"/>
        <c:crossAx val="436380864"/>
        <c:crosses val="autoZero"/>
        <c:crossBetween val="between"/>
      </c:val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0" baseline="0">
                <a:effectLst/>
              </a:rPr>
              <a:t>Default Ratio</a:t>
            </a:r>
            <a:r>
              <a:rPr lang="en-IN" sz="1800" b="0" i="0" baseline="0">
                <a:effectLst/>
              </a:rPr>
              <a:t> </a:t>
            </a:r>
            <a:endParaRPr lang="en-IN" sz="1400">
              <a:effectLst/>
            </a:endParaRPr>
          </a:p>
        </c:rich>
      </c:tx>
      <c:overlay val="0"/>
      <c:spPr>
        <a:noFill/>
        <a:ln>
          <a:noFill/>
        </a:ln>
        <a:effectLst/>
      </c:spPr>
    </c:title>
    <c:autoTitleDeleted val="0"/>
    <c:plotArea>
      <c:layout/>
      <c:pieChart>
        <c:varyColors val="1"/>
        <c:ser>
          <c:idx val="4"/>
          <c:order val="0"/>
          <c:tx>
            <c:strRef>
              <c:f>'Data Analysis'!$G$12</c:f>
              <c:strCache>
                <c:ptCount val="1"/>
                <c:pt idx="0">
                  <c:v>Default</c:v>
                </c:pt>
              </c:strCache>
            </c:strRef>
          </c:tx>
          <c:dLbls>
            <c:spPr>
              <a:solidFill>
                <a:sysClr val="window" lastClr="FFFFFF"/>
              </a:solidFill>
              <a:ln>
                <a:solidFill>
                  <a:sysClr val="windowText" lastClr="000000">
                    <a:lumMod val="65000"/>
                    <a:lumOff val="35000"/>
                  </a:sysClr>
                </a:solid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'Data Analysis'!$F$13:$F$14</c:f>
              <c:strCache>
                <c:ptCount val="2"/>
                <c:pt idx="0">
                  <c:v>No</c:v>
                </c:pt>
                <c:pt idx="1">
                  <c:v>Yes</c:v>
                </c:pt>
              </c:strCache>
            </c:strRef>
          </c:cat>
          <c:val>
            <c:numRef>
              <c:f>'Data Analysis'!$G$13:$G$14</c:f>
              <c:numCache>
                <c:formatCode>0.00</c:formatCode>
                <c:ptCount val="2"/>
                <c:pt idx="0">
                  <c:v>1622</c:v>
                </c:pt>
                <c:pt idx="1">
                  <c:v>378</c:v>
                </c:pt>
              </c:numCache>
            </c:numRef>
          </c:val>
          <c:extLst>
            <c:ext xmlns:c16="http://schemas.microsoft.com/office/drawing/2014/chart" uri="{C3380CC4-5D6E-409C-BE32-E72D297353CC}">
              <c16:uniqueId val="{00000000-E392-481A-AEF4-402AFF18C245}"/>
            </c:ext>
          </c:extLst>
        </c:ser>
        <c:dLbls>
          <c:showLegendKey val="0"/>
          <c:showVal val="0"/>
          <c:showCatName val="0"/>
          <c:showSerName val="0"/>
          <c:showPercent val="0"/>
          <c:showBubbleSize val="0"/>
          <c:showLeaderLines val="0"/>
        </c:dLbls>
        <c:firstSliceAng val="0"/>
      </c:pieChart>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i="0" u="none" strike="noStrike" baseline="0"/>
              <a:t>Loan Portfolio Growth</a:t>
            </a:r>
            <a:r>
              <a:rPr lang="en-US" b="1"/>
              <a:t> </a:t>
            </a:r>
          </a:p>
        </c:rich>
      </c:tx>
      <c:overlay val="0"/>
      <c:spPr>
        <a:noFill/>
        <a:ln>
          <a:noFill/>
        </a:ln>
        <a:effectLst/>
      </c:spPr>
    </c:title>
    <c:autoTitleDeleted val="0"/>
    <c:plotArea>
      <c:layout/>
      <c:lineChart>
        <c:grouping val="standard"/>
        <c:varyColors val="0"/>
        <c:ser>
          <c:idx val="2"/>
          <c:order val="0"/>
          <c:tx>
            <c:strRef>
              <c:f>Pivot_Analysis!$I$82</c:f>
              <c:strCache>
                <c:ptCount val="1"/>
                <c:pt idx="0">
                  <c:v>Cummulative yearwise Loan Amount </c:v>
                </c:pt>
              </c:strCache>
            </c:strRef>
          </c:tx>
          <c:spPr>
            <a:ln w="19050" cap="sq" cmpd="sng">
              <a:bevel/>
              <a:tailEnd w="sm" len="med"/>
            </a:ln>
          </c:spPr>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Pivot_Analysis!$H$83:$H$88</c:f>
              <c:strCache>
                <c:ptCount val="6"/>
                <c:pt idx="0">
                  <c:v>2020</c:v>
                </c:pt>
                <c:pt idx="1">
                  <c:v>2021</c:v>
                </c:pt>
                <c:pt idx="2">
                  <c:v>2022</c:v>
                </c:pt>
                <c:pt idx="3">
                  <c:v>2023</c:v>
                </c:pt>
                <c:pt idx="4">
                  <c:v>2024</c:v>
                </c:pt>
                <c:pt idx="5">
                  <c:v>2025</c:v>
                </c:pt>
              </c:strCache>
            </c:strRef>
          </c:cat>
          <c:val>
            <c:numRef>
              <c:f>Pivot_Analysis!$I$83:$I$88</c:f>
              <c:numCache>
                <c:formatCode>[$$-409]#,##0.00</c:formatCode>
                <c:ptCount val="6"/>
                <c:pt idx="0">
                  <c:v>16776584</c:v>
                </c:pt>
                <c:pt idx="1">
                  <c:v>58667520</c:v>
                </c:pt>
                <c:pt idx="2">
                  <c:v>98065037</c:v>
                </c:pt>
                <c:pt idx="3">
                  <c:v>138910830</c:v>
                </c:pt>
                <c:pt idx="4">
                  <c:v>178524259</c:v>
                </c:pt>
                <c:pt idx="5">
                  <c:v>199472825</c:v>
                </c:pt>
              </c:numCache>
            </c:numRef>
          </c:val>
          <c:smooth val="0"/>
          <c:extLst>
            <c:ext xmlns:c16="http://schemas.microsoft.com/office/drawing/2014/chart" uri="{C3380CC4-5D6E-409C-BE32-E72D297353CC}">
              <c16:uniqueId val="{00000008-A510-426F-8BA4-8786C0006678}"/>
            </c:ext>
          </c:extLst>
        </c:ser>
        <c:dLbls>
          <c:dLblPos val="t"/>
          <c:showLegendKey val="0"/>
          <c:showVal val="1"/>
          <c:showCatName val="0"/>
          <c:showSerName val="0"/>
          <c:showPercent val="0"/>
          <c:showBubbleSize val="0"/>
        </c:dLbls>
        <c:smooth val="0"/>
        <c:axId val="436380864"/>
        <c:axId val="436381280"/>
      </c:lineChart>
      <c:catAx>
        <c:axId val="436380864"/>
        <c:scaling>
          <c:orientation val="minMax"/>
        </c:scaling>
        <c:delete val="0"/>
        <c:axPos val="b"/>
        <c:numFmt formatCode="General" sourceLinked="1"/>
        <c:majorTickMark val="out"/>
        <c:minorTickMark val="none"/>
        <c:tickLblPos val="nextTo"/>
        <c:crossAx val="436381280"/>
        <c:crosses val="autoZero"/>
        <c:auto val="1"/>
        <c:lblAlgn val="ctr"/>
        <c:lblOffset val="100"/>
        <c:noMultiLvlLbl val="0"/>
      </c:catAx>
      <c:valAx>
        <c:axId val="436381280"/>
        <c:scaling>
          <c:orientation val="minMax"/>
        </c:scaling>
        <c:delete val="0"/>
        <c:axPos val="l"/>
        <c:majorGridlines/>
        <c:numFmt formatCode="[$$-409]#,##0.00" sourceLinked="1"/>
        <c:majorTickMark val="out"/>
        <c:minorTickMark val="none"/>
        <c:tickLblPos val="nextTo"/>
        <c:crossAx val="436380864"/>
        <c:crosses val="autoZero"/>
        <c:crossBetween val="between"/>
      </c:val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u="none">
                <a:effectLst/>
              </a:rPr>
              <a:t>Employment status by Loan Amount</a:t>
            </a:r>
            <a:r>
              <a:rPr lang="en-IN" sz="1800" b="1" u="none" baseline="0">
                <a:effectLst/>
              </a:rPr>
              <a:t> by Default Rate</a:t>
            </a:r>
            <a:endParaRPr lang="en-IN" sz="1400" u="none">
              <a:effectLst/>
            </a:endParaRPr>
          </a:p>
        </c:rich>
      </c:tx>
      <c:layout>
        <c:manualLayout>
          <c:xMode val="edge"/>
          <c:yMode val="edge"/>
          <c:x val="0.20564304461942259"/>
          <c:y val="4.2253521126760563E-2"/>
        </c:manualLayout>
      </c:layout>
      <c:overlay val="0"/>
      <c:spPr>
        <a:noFill/>
        <a:ln>
          <a:noFill/>
        </a:ln>
        <a:effectLst/>
      </c:spPr>
    </c:title>
    <c:autoTitleDeleted val="0"/>
    <c:plotArea>
      <c:layout/>
      <c:barChart>
        <c:barDir val="bar"/>
        <c:grouping val="clustered"/>
        <c:varyColors val="0"/>
        <c:ser>
          <c:idx val="0"/>
          <c:order val="0"/>
          <c:tx>
            <c:strRef>
              <c:f>Pivot_Analysis!$I$129</c:f>
              <c:strCache>
                <c:ptCount val="1"/>
                <c:pt idx="0">
                  <c:v>Total Loan Amount</c:v>
                </c:pt>
              </c:strCache>
            </c:strRef>
          </c:tx>
          <c:invertIfNegative val="0"/>
          <c:cat>
            <c:strRef>
              <c:f>Pivot_Analysis!$H$130:$H$133</c:f>
              <c:strCache>
                <c:ptCount val="4"/>
                <c:pt idx="0">
                  <c:v>Employed</c:v>
                </c:pt>
                <c:pt idx="1">
                  <c:v>Retired</c:v>
                </c:pt>
                <c:pt idx="2">
                  <c:v>Self-employed</c:v>
                </c:pt>
                <c:pt idx="3">
                  <c:v>Unemployed</c:v>
                </c:pt>
              </c:strCache>
            </c:strRef>
          </c:cat>
          <c:val>
            <c:numRef>
              <c:f>Pivot_Analysis!$I$130:$I$133</c:f>
              <c:numCache>
                <c:formatCode>General</c:formatCode>
                <c:ptCount val="4"/>
                <c:pt idx="0">
                  <c:v>50089844</c:v>
                </c:pt>
                <c:pt idx="1">
                  <c:v>48940591</c:v>
                </c:pt>
                <c:pt idx="2">
                  <c:v>53820859</c:v>
                </c:pt>
                <c:pt idx="3">
                  <c:v>46621531</c:v>
                </c:pt>
              </c:numCache>
            </c:numRef>
          </c:val>
          <c:extLst>
            <c:ext xmlns:c16="http://schemas.microsoft.com/office/drawing/2014/chart" uri="{C3380CC4-5D6E-409C-BE32-E72D297353CC}">
              <c16:uniqueId val="{00000000-6BC5-4120-BEAC-A736C40F84B4}"/>
            </c:ext>
          </c:extLst>
        </c:ser>
        <c:dLbls>
          <c:showLegendKey val="0"/>
          <c:showVal val="0"/>
          <c:showCatName val="0"/>
          <c:showSerName val="0"/>
          <c:showPercent val="0"/>
          <c:showBubbleSize val="0"/>
        </c:dLbls>
        <c:gapWidth val="100"/>
        <c:axId val="943706272"/>
        <c:axId val="943707520"/>
      </c:barChart>
      <c:lineChart>
        <c:grouping val="standard"/>
        <c:varyColors val="0"/>
        <c:ser>
          <c:idx val="1"/>
          <c:order val="1"/>
          <c:tx>
            <c:strRef>
              <c:f>Pivot_Analysis!$J$129</c:f>
              <c:strCache>
                <c:ptCount val="1"/>
                <c:pt idx="0">
                  <c:v>Default status count</c:v>
                </c:pt>
              </c:strCache>
            </c:strRef>
          </c:tx>
          <c:marker>
            <c:symbol val="none"/>
          </c:marker>
          <c:cat>
            <c:strRef>
              <c:f>Pivot_Analysis!$H$130:$H$133</c:f>
              <c:strCache>
                <c:ptCount val="4"/>
                <c:pt idx="0">
                  <c:v>Employed</c:v>
                </c:pt>
                <c:pt idx="1">
                  <c:v>Retired</c:v>
                </c:pt>
                <c:pt idx="2">
                  <c:v>Self-employed</c:v>
                </c:pt>
                <c:pt idx="3">
                  <c:v>Unemployed</c:v>
                </c:pt>
              </c:strCache>
            </c:strRef>
          </c:cat>
          <c:val>
            <c:numRef>
              <c:f>Pivot_Analysis!$J$130:$J$133</c:f>
              <c:numCache>
                <c:formatCode>0.00%</c:formatCode>
                <c:ptCount val="4"/>
                <c:pt idx="0">
                  <c:v>0.253</c:v>
                </c:pt>
                <c:pt idx="1">
                  <c:v>0.24349999999999999</c:v>
                </c:pt>
                <c:pt idx="2">
                  <c:v>0.26250000000000001</c:v>
                </c:pt>
                <c:pt idx="3">
                  <c:v>0.24099999999999999</c:v>
                </c:pt>
              </c:numCache>
            </c:numRef>
          </c:val>
          <c:smooth val="0"/>
          <c:extLst>
            <c:ext xmlns:c16="http://schemas.microsoft.com/office/drawing/2014/chart" uri="{C3380CC4-5D6E-409C-BE32-E72D297353CC}">
              <c16:uniqueId val="{00000003-6BC5-4120-BEAC-A736C40F84B4}"/>
            </c:ext>
          </c:extLst>
        </c:ser>
        <c:dLbls>
          <c:showLegendKey val="0"/>
          <c:showVal val="0"/>
          <c:showCatName val="0"/>
          <c:showSerName val="0"/>
          <c:showPercent val="0"/>
          <c:showBubbleSize val="0"/>
        </c:dLbls>
        <c:marker val="1"/>
        <c:smooth val="0"/>
        <c:axId val="1052903328"/>
        <c:axId val="1052902912"/>
      </c:lineChart>
      <c:valAx>
        <c:axId val="1052902912"/>
        <c:scaling>
          <c:orientation val="minMax"/>
        </c:scaling>
        <c:delete val="0"/>
        <c:axPos val="l"/>
        <c:majorGridlines/>
        <c:numFmt formatCode="0.00%" sourceLinked="1"/>
        <c:majorTickMark val="out"/>
        <c:minorTickMark val="none"/>
        <c:tickLblPos val="nextTo"/>
        <c:crossAx val="1052903328"/>
        <c:crosses val="autoZero"/>
        <c:crossBetween val="between"/>
      </c:valAx>
      <c:catAx>
        <c:axId val="1052903328"/>
        <c:scaling>
          <c:orientation val="minMax"/>
        </c:scaling>
        <c:delete val="0"/>
        <c:axPos val="b"/>
        <c:numFmt formatCode="General" sourceLinked="1"/>
        <c:majorTickMark val="out"/>
        <c:minorTickMark val="none"/>
        <c:tickLblPos val="nextTo"/>
        <c:crossAx val="1052902912"/>
        <c:crosses val="autoZero"/>
        <c:auto val="1"/>
        <c:lblAlgn val="ctr"/>
        <c:lblOffset val="100"/>
        <c:noMultiLvlLbl val="0"/>
      </c:catAx>
      <c:valAx>
        <c:axId val="943707520"/>
        <c:scaling>
          <c:orientation val="minMax"/>
        </c:scaling>
        <c:delete val="0"/>
        <c:axPos val="t"/>
        <c:numFmt formatCode="General" sourceLinked="1"/>
        <c:majorTickMark val="out"/>
        <c:minorTickMark val="none"/>
        <c:tickLblPos val="nextTo"/>
        <c:crossAx val="943706272"/>
        <c:crosses val="max"/>
        <c:crossBetween val="between"/>
      </c:valAx>
      <c:catAx>
        <c:axId val="943706272"/>
        <c:scaling>
          <c:orientation val="minMax"/>
        </c:scaling>
        <c:delete val="1"/>
        <c:axPos val="l"/>
        <c:numFmt formatCode="General" sourceLinked="1"/>
        <c:majorTickMark val="out"/>
        <c:minorTickMark val="none"/>
        <c:tickLblPos val="nextTo"/>
        <c:crossAx val="943707520"/>
        <c:crosses val="autoZero"/>
        <c:auto val="1"/>
        <c:lblAlgn val="ctr"/>
        <c:lblOffset val="100"/>
        <c:noMultiLvlLbl val="0"/>
      </c:cat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effectLst/>
              </a:rPr>
              <a:t>Default Ratio</a:t>
            </a:r>
            <a:r>
              <a:rPr lang="en-IN" sz="1400" b="0" i="0" u="none" strike="noStrike" baseline="0"/>
              <a:t> </a:t>
            </a:r>
            <a:endParaRPr lang="en-US"/>
          </a:p>
        </c:rich>
      </c:tx>
      <c:overlay val="0"/>
      <c:spPr>
        <a:noFill/>
        <a:ln>
          <a:noFill/>
        </a:ln>
        <a:effectLst/>
      </c:spPr>
    </c:title>
    <c:autoTitleDeleted val="0"/>
    <c:plotArea>
      <c:layout/>
      <c:pieChart>
        <c:varyColors val="1"/>
        <c:ser>
          <c:idx val="4"/>
          <c:order val="0"/>
          <c:tx>
            <c:strRef>
              <c:f>Pivot_Analysis!$I$32</c:f>
              <c:strCache>
                <c:ptCount val="1"/>
                <c:pt idx="0">
                  <c:v>Default</c:v>
                </c:pt>
              </c:strCache>
            </c:strRef>
          </c:tx>
          <c:dLbls>
            <c:spPr>
              <a:solidFill>
                <a:sysClr val="window" lastClr="FFFFFF"/>
              </a:solidFill>
              <a:ln>
                <a:solidFill>
                  <a:sysClr val="windowText" lastClr="000000">
                    <a:lumMod val="65000"/>
                    <a:lumOff val="35000"/>
                  </a:sysClr>
                </a:solidFill>
              </a:ln>
              <a:effectLst/>
            </c:sp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Pivot_Analysis!$H$33:$H$34</c:f>
              <c:strCache>
                <c:ptCount val="2"/>
                <c:pt idx="0">
                  <c:v>No</c:v>
                </c:pt>
                <c:pt idx="1">
                  <c:v>Yes</c:v>
                </c:pt>
              </c:strCache>
            </c:strRef>
          </c:cat>
          <c:val>
            <c:numRef>
              <c:f>Pivot_Analysis!$I$33:$I$34</c:f>
              <c:numCache>
                <c:formatCode>0.00</c:formatCode>
                <c:ptCount val="2"/>
                <c:pt idx="0">
                  <c:v>1622</c:v>
                </c:pt>
                <c:pt idx="1">
                  <c:v>378</c:v>
                </c:pt>
              </c:numCache>
            </c:numRef>
          </c:val>
          <c:extLst>
            <c:ext xmlns:c16="http://schemas.microsoft.com/office/drawing/2014/chart" uri="{C3380CC4-5D6E-409C-BE32-E72D297353CC}">
              <c16:uniqueId val="{00000000-0139-4465-8B70-B18966939D5F}"/>
            </c:ext>
          </c:extLst>
        </c:ser>
        <c:ser>
          <c:idx val="0"/>
          <c:order val="1"/>
          <c:dLbls>
            <c:spPr>
              <a:solidFill>
                <a:sysClr val="window" lastClr="FFFFFF"/>
              </a:solidFill>
              <a:ln>
                <a:solidFill>
                  <a:sysClr val="windowText" lastClr="000000">
                    <a:lumMod val="65000"/>
                    <a:lumOff val="35000"/>
                  </a:sysClr>
                </a:solidFill>
              </a:ln>
              <a:effectLst/>
            </c:spPr>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Pivot_Analysis!$H$25</c:f>
              <c:strCache>
                <c:ptCount val="1"/>
                <c:pt idx="0">
                  <c:v>Default Ratio</c:v>
                </c:pt>
              </c:strCache>
            </c:strRef>
          </c:cat>
          <c:val>
            <c:numRef>
              <c:f>Pivot_Analysis!$I$25</c:f>
              <c:numCache>
                <c:formatCode>General</c:formatCode>
                <c:ptCount val="1"/>
              </c:numCache>
            </c:numRef>
          </c:val>
          <c:extLst>
            <c:ext xmlns:c16="http://schemas.microsoft.com/office/drawing/2014/chart" uri="{C3380CC4-5D6E-409C-BE32-E72D297353CC}">
              <c16:uniqueId val="{00000006-0139-4465-8B70-B18966939D5F}"/>
            </c:ext>
          </c:extLst>
        </c:ser>
        <c:dLbls>
          <c:showLegendKey val="0"/>
          <c:showVal val="0"/>
          <c:showCatName val="0"/>
          <c:showSerName val="0"/>
          <c:showPercent val="0"/>
          <c:showBubbleSize val="0"/>
          <c:showLeaderLines val="0"/>
        </c:dLbls>
        <c:firstSliceAng val="0"/>
      </c:pieChart>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effectLst/>
              </a:rPr>
              <a:t>Loan default count by Purpose and Risk Category</a:t>
            </a:r>
            <a:r>
              <a:rPr lang="en-IN" sz="1400" b="0" i="0" u="none" strike="noStrike" baseline="0"/>
              <a:t> </a:t>
            </a:r>
            <a:endParaRPr lang="en-US"/>
          </a:p>
        </c:rich>
      </c:tx>
      <c:overlay val="0"/>
      <c:spPr>
        <a:noFill/>
        <a:ln>
          <a:noFill/>
        </a:ln>
        <a:effectLst/>
      </c:spPr>
    </c:title>
    <c:autoTitleDeleted val="0"/>
    <c:plotArea>
      <c:layout/>
      <c:barChart>
        <c:barDir val="col"/>
        <c:grouping val="stacked"/>
        <c:varyColors val="0"/>
        <c:ser>
          <c:idx val="2"/>
          <c:order val="0"/>
          <c:tx>
            <c:strRef>
              <c:f>Pivot_Analysis!$I$55</c:f>
              <c:strCache>
                <c:ptCount val="1"/>
                <c:pt idx="0">
                  <c:v>MEDIUM</c:v>
                </c:pt>
              </c:strCache>
            </c:strRef>
          </c:tx>
          <c:spPr>
            <a:ln w="19050" cap="sq" cmpd="sng">
              <a:bevel/>
              <a:tailEnd w="sm" len="me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Pivot_Analysis!$I$56:$I$61</c:f>
              <c:numCache>
                <c:formatCode>General</c:formatCode>
                <c:ptCount val="6"/>
                <c:pt idx="0">
                  <c:v>49</c:v>
                </c:pt>
                <c:pt idx="1">
                  <c:v>67</c:v>
                </c:pt>
                <c:pt idx="2">
                  <c:v>65</c:v>
                </c:pt>
                <c:pt idx="3">
                  <c:v>68</c:v>
                </c:pt>
                <c:pt idx="4">
                  <c:v>56</c:v>
                </c:pt>
                <c:pt idx="5">
                  <c:v>68</c:v>
                </c:pt>
              </c:numCache>
            </c:numRef>
          </c:val>
          <c:extLst>
            <c:ext xmlns:c16="http://schemas.microsoft.com/office/drawing/2014/chart" uri="{C3380CC4-5D6E-409C-BE32-E72D297353CC}">
              <c16:uniqueId val="{00000000-95BF-4C1A-92B1-3297D40602F2}"/>
            </c:ext>
          </c:extLst>
        </c:ser>
        <c:ser>
          <c:idx val="3"/>
          <c:order val="1"/>
          <c:tx>
            <c:strRef>
              <c:f>Pivot_Analysis!$J$55</c:f>
              <c:strCache>
                <c:ptCount val="1"/>
                <c:pt idx="0">
                  <c:v>LOW</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Pivot_Analysis!$J$56:$J$61</c:f>
              <c:numCache>
                <c:formatCode>General</c:formatCode>
                <c:ptCount val="6"/>
                <c:pt idx="0">
                  <c:v>123</c:v>
                </c:pt>
                <c:pt idx="1">
                  <c:v>127</c:v>
                </c:pt>
                <c:pt idx="2">
                  <c:v>135</c:v>
                </c:pt>
                <c:pt idx="3">
                  <c:v>114</c:v>
                </c:pt>
                <c:pt idx="4">
                  <c:v>117</c:v>
                </c:pt>
                <c:pt idx="5">
                  <c:v>111</c:v>
                </c:pt>
              </c:numCache>
            </c:numRef>
          </c:val>
          <c:extLst>
            <c:ext xmlns:c16="http://schemas.microsoft.com/office/drawing/2014/chart" uri="{C3380CC4-5D6E-409C-BE32-E72D297353CC}">
              <c16:uniqueId val="{00000001-95BF-4C1A-92B1-3297D40602F2}"/>
            </c:ext>
          </c:extLst>
        </c:ser>
        <c:ser>
          <c:idx val="0"/>
          <c:order val="2"/>
          <c:tx>
            <c:strRef>
              <c:f>Pivot_Analysis!$K$55</c:f>
              <c:strCache>
                <c:ptCount val="1"/>
                <c:pt idx="0">
                  <c:v>HIGH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Pivot_Analysis!$K$56:$K$61</c:f>
              <c:numCache>
                <c:formatCode>General</c:formatCode>
                <c:ptCount val="6"/>
                <c:pt idx="0">
                  <c:v>138</c:v>
                </c:pt>
                <c:pt idx="1">
                  <c:v>159</c:v>
                </c:pt>
                <c:pt idx="2">
                  <c:v>145</c:v>
                </c:pt>
                <c:pt idx="3">
                  <c:v>148</c:v>
                </c:pt>
                <c:pt idx="4">
                  <c:v>155</c:v>
                </c:pt>
                <c:pt idx="5">
                  <c:v>155</c:v>
                </c:pt>
              </c:numCache>
            </c:numRef>
          </c:val>
          <c:extLst>
            <c:ext xmlns:c16="http://schemas.microsoft.com/office/drawing/2014/chart" uri="{C3380CC4-5D6E-409C-BE32-E72D297353CC}">
              <c16:uniqueId val="{00000002-95BF-4C1A-92B1-3297D40602F2}"/>
            </c:ext>
          </c:extLst>
        </c:ser>
        <c:dLbls>
          <c:showLegendKey val="0"/>
          <c:showVal val="1"/>
          <c:showCatName val="0"/>
          <c:showSerName val="0"/>
          <c:showPercent val="0"/>
          <c:showBubbleSize val="0"/>
        </c:dLbls>
        <c:gapWidth val="150"/>
        <c:overlap val="100"/>
        <c:axId val="436380864"/>
        <c:axId val="436381280"/>
      </c:barChart>
      <c:catAx>
        <c:axId val="436380864"/>
        <c:scaling>
          <c:orientation val="minMax"/>
        </c:scaling>
        <c:delete val="0"/>
        <c:axPos val="b"/>
        <c:numFmt formatCode="General" sourceLinked="1"/>
        <c:majorTickMark val="out"/>
        <c:minorTickMark val="none"/>
        <c:tickLblPos val="nextTo"/>
        <c:crossAx val="436381280"/>
        <c:crosses val="autoZero"/>
        <c:auto val="1"/>
        <c:lblAlgn val="ctr"/>
        <c:lblOffset val="100"/>
        <c:noMultiLvlLbl val="0"/>
      </c:catAx>
      <c:valAx>
        <c:axId val="436381280"/>
        <c:scaling>
          <c:orientation val="minMax"/>
        </c:scaling>
        <c:delete val="0"/>
        <c:axPos val="l"/>
        <c:majorGridlines/>
        <c:numFmt formatCode="General" sourceLinked="1"/>
        <c:majorTickMark val="out"/>
        <c:minorTickMark val="none"/>
        <c:tickLblPos val="nextTo"/>
        <c:crossAx val="436380864"/>
        <c:crosses val="autoZero"/>
        <c:crossBetween val="between"/>
      </c:valAx>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473236703817814"/>
          <c:y val="0.11754206751491328"/>
          <c:w val="0.60617084826762246"/>
          <c:h val="0.92476851851851849"/>
        </c:manualLayout>
      </c:layout>
      <c:doughnutChart>
        <c:varyColors val="1"/>
        <c:ser>
          <c:idx val="4"/>
          <c:order val="0"/>
          <c:tx>
            <c:strRef>
              <c:f>'Data Analysis'!$G$12</c:f>
              <c:strCache>
                <c:ptCount val="1"/>
                <c:pt idx="0">
                  <c:v>Default</c:v>
                </c:pt>
              </c:strCache>
            </c:strRef>
          </c:tx>
          <c:spPr>
            <a:solidFill>
              <a:srgbClr val="FFC000"/>
            </a:solidFill>
            <a:ln>
              <a:noFill/>
            </a:ln>
            <a:effectLst>
              <a:outerShdw blurRad="50800" dist="38100" dir="2700000" algn="tl" rotWithShape="0">
                <a:schemeClr val="tx1">
                  <a:alpha val="40000"/>
                </a:schemeClr>
              </a:outerShdw>
            </a:effectLst>
          </c:spPr>
          <c:explosion val="10"/>
          <c:dPt>
            <c:idx val="0"/>
            <c:bubble3D val="0"/>
            <c:explosion val="12"/>
            <c:spPr>
              <a:solidFill>
                <a:schemeClr val="bg1"/>
              </a:solidFill>
              <a:ln>
                <a:noFill/>
              </a:ln>
              <a:effectLst>
                <a:outerShdw blurRad="50800" dist="38100" dir="2700000" algn="tl" rotWithShape="0">
                  <a:schemeClr val="tx1">
                    <a:alpha val="40000"/>
                  </a:schemeClr>
                </a:outerShdw>
              </a:effectLst>
            </c:spPr>
            <c:extLst>
              <c:ext xmlns:c16="http://schemas.microsoft.com/office/drawing/2014/chart" uri="{C3380CC4-5D6E-409C-BE32-E72D297353CC}">
                <c16:uniqueId val="{00000006-B178-49AF-A18F-097D14B0F842}"/>
              </c:ext>
            </c:extLst>
          </c:dPt>
          <c:dPt>
            <c:idx val="1"/>
            <c:bubble3D val="0"/>
            <c:spPr>
              <a:solidFill>
                <a:srgbClr val="FFC000"/>
              </a:solidFill>
              <a:ln>
                <a:noFill/>
              </a:ln>
              <a:effectLst>
                <a:glow>
                  <a:schemeClr val="accent1">
                    <a:alpha val="40000"/>
                  </a:schemeClr>
                </a:glow>
                <a:outerShdw blurRad="50800" dir="2700000" algn="tl" rotWithShape="0">
                  <a:schemeClr val="tx1">
                    <a:alpha val="40000"/>
                  </a:schemeClr>
                </a:outerShdw>
                <a:softEdge rad="0"/>
              </a:effectLst>
              <a:scene3d>
                <a:camera prst="orthographicFront"/>
                <a:lightRig rig="threePt" dir="t"/>
              </a:scene3d>
              <a:sp3d prstMaterial="dkEdge"/>
            </c:spPr>
            <c:extLst>
              <c:ext xmlns:c16="http://schemas.microsoft.com/office/drawing/2014/chart" uri="{C3380CC4-5D6E-409C-BE32-E72D297353CC}">
                <c16:uniqueId val="{00000005-B178-49AF-A18F-097D14B0F842}"/>
              </c:ext>
            </c:extLst>
          </c:dPt>
          <c:dLbls>
            <c:dLbl>
              <c:idx val="0"/>
              <c:delete val="1"/>
              <c:extLst>
                <c:ext xmlns:c15="http://schemas.microsoft.com/office/drawing/2012/chart" uri="{CE6537A1-D6FC-4f65-9D91-7224C49458BB}"/>
                <c:ext xmlns:c16="http://schemas.microsoft.com/office/drawing/2014/chart" uri="{C3380CC4-5D6E-409C-BE32-E72D297353CC}">
                  <c16:uniqueId val="{00000006-B178-49AF-A18F-097D14B0F842}"/>
                </c:ext>
              </c:extLst>
            </c:dLbl>
            <c:dLbl>
              <c:idx val="1"/>
              <c:layout>
                <c:manualLayout>
                  <c:x val="-0.24418511948330693"/>
                  <c:y val="-0.1317364056411848"/>
                </c:manualLayout>
              </c:layout>
              <c:spPr>
                <a:noFill/>
                <a:ln>
                  <a:noFill/>
                </a:ln>
                <a:effectLst/>
              </c:spPr>
              <c:txPr>
                <a:bodyPr wrap="square" lIns="38100" tIns="19050" rIns="38100" bIns="19050" anchor="ctr">
                  <a:spAutoFit/>
                </a:bodyPr>
                <a:lstStyle/>
                <a:p>
                  <a:pPr>
                    <a:defRPr sz="1200" b="1">
                      <a:solidFill>
                        <a:srgbClr val="FFC000"/>
                      </a:solidFill>
                      <a:effectLst>
                        <a:outerShdw blurRad="50800" dist="50800" dir="5400000" algn="ctr" rotWithShape="0">
                          <a:schemeClr val="tx1"/>
                        </a:outerShdw>
                      </a:effectLst>
                    </a:defRPr>
                  </a:pPr>
                  <a:endParaRPr lang="en-US"/>
                </a:p>
              </c:txPr>
              <c:showLegendKey val="0"/>
              <c:showVal val="0"/>
              <c:showCatName val="0"/>
              <c:showSerName val="1"/>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29424591002044992"/>
                      <c:h val="0.19615197248071262"/>
                    </c:manualLayout>
                  </c15:layout>
                </c:ext>
                <c:ext xmlns:c16="http://schemas.microsoft.com/office/drawing/2014/chart" uri="{C3380CC4-5D6E-409C-BE32-E72D297353CC}">
                  <c16:uniqueId val="{00000005-B178-49AF-A18F-097D14B0F842}"/>
                </c:ext>
              </c:extLst>
            </c:dLbl>
            <c:spPr>
              <a:noFill/>
              <a:ln>
                <a:noFill/>
              </a:ln>
              <a:effectLst/>
            </c:spPr>
            <c:txPr>
              <a:bodyPr wrap="square" lIns="38100" tIns="19050" rIns="38100" bIns="19050" anchor="ctr">
                <a:spAutoFit/>
              </a:bodyPr>
              <a:lstStyle/>
              <a:p>
                <a:pPr>
                  <a:defRPr sz="1200">
                    <a:solidFill>
                      <a:srgbClr val="FFC000"/>
                    </a:solidFill>
                    <a:effectLst>
                      <a:outerShdw blurRad="50800" dist="50800" dir="5400000" algn="ctr" rotWithShape="0">
                        <a:schemeClr val="tx1"/>
                      </a:outerShdw>
                    </a:effectLst>
                  </a:defRPr>
                </a:pPr>
                <a:endParaRPr lang="en-US"/>
              </a:p>
            </c:txPr>
            <c:showLegendKey val="0"/>
            <c:showVal val="0"/>
            <c:showCatName val="0"/>
            <c:showSerName val="1"/>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'Data Analysis'!$F$13:$F$14</c:f>
              <c:strCache>
                <c:ptCount val="2"/>
                <c:pt idx="0">
                  <c:v>No</c:v>
                </c:pt>
                <c:pt idx="1">
                  <c:v>Yes</c:v>
                </c:pt>
              </c:strCache>
            </c:strRef>
          </c:cat>
          <c:val>
            <c:numRef>
              <c:f>'Data Analysis'!$G$13:$G$14</c:f>
              <c:numCache>
                <c:formatCode>0.00</c:formatCode>
                <c:ptCount val="2"/>
                <c:pt idx="0">
                  <c:v>1622</c:v>
                </c:pt>
                <c:pt idx="1">
                  <c:v>378</c:v>
                </c:pt>
              </c:numCache>
            </c:numRef>
          </c:val>
          <c:extLst>
            <c:ext xmlns:c16="http://schemas.microsoft.com/office/drawing/2014/chart" uri="{C3380CC4-5D6E-409C-BE32-E72D297353CC}">
              <c16:uniqueId val="{00000000-B178-49AF-A18F-097D14B0F842}"/>
            </c:ext>
          </c:extLst>
        </c:ser>
        <c:dLbls>
          <c:showLegendKey val="0"/>
          <c:showVal val="0"/>
          <c:showCatName val="0"/>
          <c:showSerName val="0"/>
          <c:showPercent val="0"/>
          <c:showBubbleSize val="0"/>
          <c:showLeaderLines val="0"/>
        </c:dLbls>
        <c:firstSliceAng val="0"/>
        <c:holeSize val="58"/>
      </c:doughnutChart>
      <c:spPr>
        <a:noFill/>
        <a:ln w="25400">
          <a:noFill/>
        </a:ln>
      </c:spPr>
    </c:plotArea>
    <c:legend>
      <c:legendPos val="t"/>
      <c:overlay val="0"/>
      <c:txPr>
        <a:bodyPr/>
        <a:lstStyle/>
        <a:p>
          <a:pPr>
            <a:defRPr>
              <a:solidFill>
                <a:schemeClr val="bg1"/>
              </a:solidFill>
              <a:effectLst>
                <a:outerShdw blurRad="50800" dist="50800" dir="5400000" algn="ctr" rotWithShape="0">
                  <a:schemeClr val="tx1"/>
                </a:outerShdw>
              </a:effectLst>
            </a:defRPr>
          </a:pPr>
          <a:endParaRPr lang="en-US"/>
        </a:p>
      </c:txPr>
    </c:legend>
    <c:plotVisOnly val="1"/>
    <c:dispBlanksAs val="gap"/>
    <c:showDLblsOverMax val="0"/>
    <c:extLst/>
  </c:chart>
  <c:spPr>
    <a:noFill/>
    <a:ln>
      <a:noFill/>
    </a:ln>
  </c:spPr>
  <c:txPr>
    <a:bodyPr/>
    <a:lstStyle/>
    <a:p>
      <a:pPr>
        <a:defRPr sz="800" b="0">
          <a:effectLst>
            <a:outerShdw blurRad="50800" dist="50800" dir="5400000" algn="ctr" rotWithShape="0">
              <a:schemeClr val="bg1"/>
            </a:outerShdw>
          </a:effectLst>
          <a:latin typeface="Arial Rounded MT Bold" panose="020F070403050403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769664637551779E-2"/>
          <c:y val="5.9780297132941605E-2"/>
          <c:w val="0.92951523448854656"/>
          <c:h val="0.86577832162537671"/>
        </c:manualLayout>
      </c:layout>
      <c:barChart>
        <c:barDir val="col"/>
        <c:grouping val="stacked"/>
        <c:varyColors val="0"/>
        <c:ser>
          <c:idx val="2"/>
          <c:order val="0"/>
          <c:tx>
            <c:strRef>
              <c:f>Pivot_Analysis!$I$55</c:f>
              <c:strCache>
                <c:ptCount val="1"/>
                <c:pt idx="0">
                  <c:v>MEDIUM</c:v>
                </c:pt>
              </c:strCache>
            </c:strRef>
          </c:tx>
          <c:spPr>
            <a:ln w="19050" cap="sq" cmpd="sng">
              <a:bevel/>
              <a:tailEnd w="sm" len="med"/>
            </a:ln>
            <a:effectLst>
              <a:outerShdw blurRad="50800" dist="38100" dir="2700000" algn="tl" rotWithShape="0">
                <a:prstClr val="black">
                  <a:alpha val="40000"/>
                </a:prstClr>
              </a:outerShdw>
            </a:effectLst>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Pivot_Analysis!$I$56:$I$61</c:f>
              <c:numCache>
                <c:formatCode>General</c:formatCode>
                <c:ptCount val="6"/>
                <c:pt idx="0">
                  <c:v>49</c:v>
                </c:pt>
                <c:pt idx="1">
                  <c:v>67</c:v>
                </c:pt>
                <c:pt idx="2">
                  <c:v>65</c:v>
                </c:pt>
                <c:pt idx="3">
                  <c:v>68</c:v>
                </c:pt>
                <c:pt idx="4">
                  <c:v>56</c:v>
                </c:pt>
                <c:pt idx="5">
                  <c:v>68</c:v>
                </c:pt>
              </c:numCache>
            </c:numRef>
          </c:val>
          <c:extLst>
            <c:ext xmlns:c16="http://schemas.microsoft.com/office/drawing/2014/chart" uri="{C3380CC4-5D6E-409C-BE32-E72D297353CC}">
              <c16:uniqueId val="{00000000-ADD8-4446-9BC4-D81270D4F797}"/>
            </c:ext>
          </c:extLst>
        </c:ser>
        <c:ser>
          <c:idx val="3"/>
          <c:order val="1"/>
          <c:tx>
            <c:strRef>
              <c:f>Pivot_Analysis!$J$55</c:f>
              <c:strCache>
                <c:ptCount val="1"/>
                <c:pt idx="0">
                  <c:v>LOW</c:v>
                </c:pt>
              </c:strCache>
            </c:strRef>
          </c:tx>
          <c:spPr>
            <a:effectLst>
              <a:outerShdw blurRad="50800" dist="38100" dir="2700000" algn="tl" rotWithShape="0">
                <a:prstClr val="black">
                  <a:alpha val="40000"/>
                </a:prstClr>
              </a:outerShdw>
            </a:effectLst>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Pivot_Analysis!$J$56:$J$61</c:f>
              <c:numCache>
                <c:formatCode>General</c:formatCode>
                <c:ptCount val="6"/>
                <c:pt idx="0">
                  <c:v>123</c:v>
                </c:pt>
                <c:pt idx="1">
                  <c:v>127</c:v>
                </c:pt>
                <c:pt idx="2">
                  <c:v>135</c:v>
                </c:pt>
                <c:pt idx="3">
                  <c:v>114</c:v>
                </c:pt>
                <c:pt idx="4">
                  <c:v>117</c:v>
                </c:pt>
                <c:pt idx="5">
                  <c:v>111</c:v>
                </c:pt>
              </c:numCache>
            </c:numRef>
          </c:val>
          <c:extLst>
            <c:ext xmlns:c16="http://schemas.microsoft.com/office/drawing/2014/chart" uri="{C3380CC4-5D6E-409C-BE32-E72D297353CC}">
              <c16:uniqueId val="{00000001-ADD8-4446-9BC4-D81270D4F797}"/>
            </c:ext>
          </c:extLst>
        </c:ser>
        <c:ser>
          <c:idx val="0"/>
          <c:order val="2"/>
          <c:tx>
            <c:strRef>
              <c:f>Pivot_Analysis!$K$55</c:f>
              <c:strCache>
                <c:ptCount val="1"/>
                <c:pt idx="0">
                  <c:v>HIGH</c:v>
                </c:pt>
              </c:strCache>
            </c:strRef>
          </c:tx>
          <c:spPr>
            <a:solidFill>
              <a:schemeClr val="bg1"/>
            </a:solidFill>
            <a:effectLst>
              <a:outerShdw blurRad="50800" dist="38100" dir="2700000" algn="tl" rotWithShape="0">
                <a:prstClr val="black">
                  <a:alpha val="40000"/>
                </a:prstClr>
              </a:outerShdw>
            </a:effectLst>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Pivot_Analysis!$H$56:$H$61</c:f>
              <c:strCache>
                <c:ptCount val="6"/>
                <c:pt idx="0">
                  <c:v>Business</c:v>
                </c:pt>
                <c:pt idx="1">
                  <c:v>Car</c:v>
                </c:pt>
                <c:pt idx="2">
                  <c:v>Education</c:v>
                </c:pt>
                <c:pt idx="3">
                  <c:v>Home</c:v>
                </c:pt>
                <c:pt idx="4">
                  <c:v>Medical</c:v>
                </c:pt>
                <c:pt idx="5">
                  <c:v>Personal</c:v>
                </c:pt>
              </c:strCache>
            </c:strRef>
          </c:cat>
          <c:val>
            <c:numRef>
              <c:f>Pivot_Analysis!$K$56:$K$61</c:f>
              <c:numCache>
                <c:formatCode>General</c:formatCode>
                <c:ptCount val="6"/>
                <c:pt idx="0">
                  <c:v>138</c:v>
                </c:pt>
                <c:pt idx="1">
                  <c:v>159</c:v>
                </c:pt>
                <c:pt idx="2">
                  <c:v>145</c:v>
                </c:pt>
                <c:pt idx="3">
                  <c:v>148</c:v>
                </c:pt>
                <c:pt idx="4">
                  <c:v>155</c:v>
                </c:pt>
                <c:pt idx="5">
                  <c:v>155</c:v>
                </c:pt>
              </c:numCache>
            </c:numRef>
          </c:val>
          <c:extLst>
            <c:ext xmlns:c16="http://schemas.microsoft.com/office/drawing/2014/chart" uri="{C3380CC4-5D6E-409C-BE32-E72D297353CC}">
              <c16:uniqueId val="{00000002-ADD8-4446-9BC4-D81270D4F797}"/>
            </c:ext>
          </c:extLst>
        </c:ser>
        <c:dLbls>
          <c:dLblPos val="ctr"/>
          <c:showLegendKey val="0"/>
          <c:showVal val="1"/>
          <c:showCatName val="0"/>
          <c:showSerName val="0"/>
          <c:showPercent val="0"/>
          <c:showBubbleSize val="0"/>
        </c:dLbls>
        <c:gapWidth val="150"/>
        <c:overlap val="100"/>
        <c:axId val="436380864"/>
        <c:axId val="436381280"/>
      </c:barChart>
      <c:catAx>
        <c:axId val="436380864"/>
        <c:scaling>
          <c:orientation val="minMax"/>
        </c:scaling>
        <c:delete val="0"/>
        <c:axPos val="b"/>
        <c:numFmt formatCode="General" sourceLinked="1"/>
        <c:majorTickMark val="out"/>
        <c:minorTickMark val="none"/>
        <c:tickLblPos val="nextTo"/>
        <c:txPr>
          <a:bodyPr/>
          <a:lstStyle/>
          <a:p>
            <a:pPr>
              <a:defRPr>
                <a:solidFill>
                  <a:schemeClr val="bg1"/>
                </a:solidFill>
                <a:effectLst>
                  <a:outerShdw blurRad="50800" dist="38100" algn="l" rotWithShape="0">
                    <a:schemeClr val="tx1">
                      <a:alpha val="40000"/>
                    </a:schemeClr>
                  </a:outerShdw>
                </a:effectLst>
              </a:defRPr>
            </a:pPr>
            <a:endParaRPr lang="en-US"/>
          </a:p>
        </c:txPr>
        <c:crossAx val="436381280"/>
        <c:crosses val="autoZero"/>
        <c:auto val="1"/>
        <c:lblAlgn val="ctr"/>
        <c:lblOffset val="100"/>
        <c:noMultiLvlLbl val="0"/>
      </c:catAx>
      <c:valAx>
        <c:axId val="436381280"/>
        <c:scaling>
          <c:orientation val="minMax"/>
        </c:scaling>
        <c:delete val="0"/>
        <c:axPos val="l"/>
        <c:numFmt formatCode="General" sourceLinked="1"/>
        <c:majorTickMark val="out"/>
        <c:minorTickMark val="none"/>
        <c:tickLblPos val="nextTo"/>
        <c:spPr>
          <a:noFill/>
        </c:spPr>
        <c:txPr>
          <a:bodyPr/>
          <a:lstStyle/>
          <a:p>
            <a:pPr>
              <a:defRPr>
                <a:solidFill>
                  <a:schemeClr val="bg1"/>
                </a:solidFill>
              </a:defRPr>
            </a:pPr>
            <a:endParaRPr lang="en-US"/>
          </a:p>
        </c:txPr>
        <c:crossAx val="436380864"/>
        <c:crosses val="autoZero"/>
        <c:crossBetween val="between"/>
      </c:valAx>
      <c:spPr>
        <a:noFill/>
      </c:spPr>
    </c:plotArea>
    <c:legend>
      <c:legendPos val="t"/>
      <c:overlay val="0"/>
      <c:txPr>
        <a:bodyPr/>
        <a:lstStyle/>
        <a:p>
          <a:pPr>
            <a:defRPr>
              <a:solidFill>
                <a:schemeClr val="bg1"/>
              </a:solidFill>
            </a:defRPr>
          </a:pPr>
          <a:endParaRPr lang="en-US"/>
        </a:p>
      </c:txPr>
    </c:legend>
    <c:plotVisOnly val="1"/>
    <c:dispBlanksAs val="gap"/>
    <c:showDLblsOverMax val="0"/>
    <c:extLst/>
  </c:chart>
  <c:spPr>
    <a:noFill/>
    <a:ln>
      <a:noFill/>
    </a:ln>
  </c:spPr>
  <c:txPr>
    <a:bodyPr/>
    <a:lstStyle/>
    <a:p>
      <a:pPr>
        <a:defRPr>
          <a:effectLst>
            <a:outerShdw blurRad="50800" dist="38100" algn="l" rotWithShape="0">
              <a:prstClr val="black">
                <a:alpha val="40000"/>
              </a:prstClr>
            </a:outerShdw>
          </a:effectLst>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Pivot_Analysis!$I$82</c:f>
              <c:strCache>
                <c:ptCount val="1"/>
                <c:pt idx="0">
                  <c:v>Cummulative yearwise Loan Amount </c:v>
                </c:pt>
              </c:strCache>
            </c:strRef>
          </c:tx>
          <c:spPr>
            <a:ln w="19050" cap="sq" cmpd="sng">
              <a:bevel/>
              <a:tailEnd w="sm" len="med"/>
            </a:ln>
          </c:spPr>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Pivot_Analysis!$H$83:$H$88</c:f>
              <c:strCache>
                <c:ptCount val="6"/>
                <c:pt idx="0">
                  <c:v>2020</c:v>
                </c:pt>
                <c:pt idx="1">
                  <c:v>2021</c:v>
                </c:pt>
                <c:pt idx="2">
                  <c:v>2022</c:v>
                </c:pt>
                <c:pt idx="3">
                  <c:v>2023</c:v>
                </c:pt>
                <c:pt idx="4">
                  <c:v>2024</c:v>
                </c:pt>
                <c:pt idx="5">
                  <c:v>2025</c:v>
                </c:pt>
              </c:strCache>
            </c:strRef>
          </c:cat>
          <c:val>
            <c:numRef>
              <c:f>Pivot_Analysis!$I$83:$I$88</c:f>
              <c:numCache>
                <c:formatCode>[$$-409]#,##0.00</c:formatCode>
                <c:ptCount val="6"/>
                <c:pt idx="0">
                  <c:v>16776584</c:v>
                </c:pt>
                <c:pt idx="1">
                  <c:v>58667520</c:v>
                </c:pt>
                <c:pt idx="2">
                  <c:v>98065037</c:v>
                </c:pt>
                <c:pt idx="3">
                  <c:v>138910830</c:v>
                </c:pt>
                <c:pt idx="4">
                  <c:v>178524259</c:v>
                </c:pt>
                <c:pt idx="5">
                  <c:v>199472825</c:v>
                </c:pt>
              </c:numCache>
            </c:numRef>
          </c:val>
          <c:smooth val="0"/>
          <c:extLst>
            <c:ext xmlns:c16="http://schemas.microsoft.com/office/drawing/2014/chart" uri="{C3380CC4-5D6E-409C-BE32-E72D297353CC}">
              <c16:uniqueId val="{00000000-3944-4480-8972-073605398156}"/>
            </c:ext>
          </c:extLst>
        </c:ser>
        <c:ser>
          <c:idx val="3"/>
          <c:order val="1"/>
          <c:tx>
            <c:strRef>
              <c:f>Pivot_Analysis!$J$82</c:f>
              <c:strCache>
                <c:ptCount val="1"/>
              </c:strCache>
            </c:strRef>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Pivot_Analysis!$H$83:$H$88</c:f>
              <c:strCache>
                <c:ptCount val="6"/>
                <c:pt idx="0">
                  <c:v>2020</c:v>
                </c:pt>
                <c:pt idx="1">
                  <c:v>2021</c:v>
                </c:pt>
                <c:pt idx="2">
                  <c:v>2022</c:v>
                </c:pt>
                <c:pt idx="3">
                  <c:v>2023</c:v>
                </c:pt>
                <c:pt idx="4">
                  <c:v>2024</c:v>
                </c:pt>
                <c:pt idx="5">
                  <c:v>2025</c:v>
                </c:pt>
              </c:strCache>
            </c:strRef>
          </c:cat>
          <c:val>
            <c:numRef>
              <c:f>Pivot_Analysis!$J$83:$J$88</c:f>
              <c:numCache>
                <c:formatCode>General</c:formatCode>
                <c:ptCount val="6"/>
              </c:numCache>
            </c:numRef>
          </c:val>
          <c:smooth val="0"/>
          <c:extLst>
            <c:ext xmlns:c16="http://schemas.microsoft.com/office/drawing/2014/chart" uri="{C3380CC4-5D6E-409C-BE32-E72D297353CC}">
              <c16:uniqueId val="{00000001-3944-4480-8972-073605398156}"/>
            </c:ext>
          </c:extLst>
        </c:ser>
        <c:ser>
          <c:idx val="0"/>
          <c:order val="2"/>
          <c:tx>
            <c:strRef>
              <c:f>Pivot_Analysis!$I$82</c:f>
              <c:strCache>
                <c:ptCount val="1"/>
                <c:pt idx="0">
                  <c:v>Cummulative yearwise Loan Amount </c:v>
                </c:pt>
              </c:strCache>
            </c:strRef>
          </c:tx>
          <c:spPr>
            <a:ln w="38100" cap="sq" cmpd="sng">
              <a:solidFill>
                <a:srgbClr val="00B0F0"/>
              </a:solidFill>
              <a:bevel/>
              <a:tailEnd w="sm" len="med"/>
            </a:ln>
            <a:effectLst>
              <a:outerShdw blurRad="50800" dist="38100" dir="2700000" algn="tl" rotWithShape="0">
                <a:prstClr val="black">
                  <a:alpha val="40000"/>
                </a:prstClr>
              </a:outerShdw>
            </a:effectLst>
          </c:spPr>
          <c:marker>
            <c:spPr>
              <a:solidFill>
                <a:srgbClr val="FF0000"/>
              </a:solidFill>
              <a:ln cap="rnd">
                <a:bevel/>
              </a:ln>
            </c:spPr>
          </c:marker>
          <c:dLbls>
            <c:spPr>
              <a:noFill/>
              <a:ln>
                <a:noFill/>
              </a:ln>
              <a:effectLst/>
            </c:spPr>
            <c:txPr>
              <a:bodyPr wrap="square" lIns="38100" tIns="19050" rIns="38100" bIns="19050" anchor="ctr">
                <a:spAutoFit/>
              </a:bodyPr>
              <a:lstStyle/>
              <a:p>
                <a:pPr>
                  <a:defRPr>
                    <a:solidFill>
                      <a:schemeClr val="bg1"/>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Pivot_Analysis!$H$83:$H$88</c:f>
              <c:strCache>
                <c:ptCount val="6"/>
                <c:pt idx="0">
                  <c:v>2020</c:v>
                </c:pt>
                <c:pt idx="1">
                  <c:v>2021</c:v>
                </c:pt>
                <c:pt idx="2">
                  <c:v>2022</c:v>
                </c:pt>
                <c:pt idx="3">
                  <c:v>2023</c:v>
                </c:pt>
                <c:pt idx="4">
                  <c:v>2024</c:v>
                </c:pt>
                <c:pt idx="5">
                  <c:v>2025</c:v>
                </c:pt>
              </c:strCache>
            </c:strRef>
          </c:cat>
          <c:val>
            <c:numRef>
              <c:f>Pivot_Analysis!$I$83:$I$88</c:f>
              <c:numCache>
                <c:formatCode>[$$-409]#,##0.00</c:formatCode>
                <c:ptCount val="6"/>
                <c:pt idx="0">
                  <c:v>16776584</c:v>
                </c:pt>
                <c:pt idx="1">
                  <c:v>58667520</c:v>
                </c:pt>
                <c:pt idx="2">
                  <c:v>98065037</c:v>
                </c:pt>
                <c:pt idx="3">
                  <c:v>138910830</c:v>
                </c:pt>
                <c:pt idx="4">
                  <c:v>178524259</c:v>
                </c:pt>
                <c:pt idx="5">
                  <c:v>199472825</c:v>
                </c:pt>
              </c:numCache>
            </c:numRef>
          </c:val>
          <c:smooth val="1"/>
          <c:extLst>
            <c:ext xmlns:c16="http://schemas.microsoft.com/office/drawing/2014/chart" uri="{C3380CC4-5D6E-409C-BE32-E72D297353CC}">
              <c16:uniqueId val="{00000002-3944-4480-8972-073605398156}"/>
            </c:ext>
          </c:extLst>
        </c:ser>
        <c:ser>
          <c:idx val="1"/>
          <c:order val="3"/>
          <c:tx>
            <c:strRef>
              <c:f>Pivot_Analysis!$J$82</c:f>
              <c:strCache>
                <c:ptCount val="1"/>
              </c:strCache>
            </c:strRef>
          </c:tx>
          <c:marker>
            <c:symbol val="none"/>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Pivot_Analysis!$H$83:$H$88</c:f>
              <c:strCache>
                <c:ptCount val="6"/>
                <c:pt idx="0">
                  <c:v>2020</c:v>
                </c:pt>
                <c:pt idx="1">
                  <c:v>2021</c:v>
                </c:pt>
                <c:pt idx="2">
                  <c:v>2022</c:v>
                </c:pt>
                <c:pt idx="3">
                  <c:v>2023</c:v>
                </c:pt>
                <c:pt idx="4">
                  <c:v>2024</c:v>
                </c:pt>
                <c:pt idx="5">
                  <c:v>2025</c:v>
                </c:pt>
              </c:strCache>
            </c:strRef>
          </c:cat>
          <c:val>
            <c:numRef>
              <c:f>Pivot_Analysis!$J$83:$J$88</c:f>
              <c:numCache>
                <c:formatCode>General</c:formatCode>
                <c:ptCount val="6"/>
              </c:numCache>
            </c:numRef>
          </c:val>
          <c:smooth val="0"/>
          <c:extLst>
            <c:ext xmlns:c16="http://schemas.microsoft.com/office/drawing/2014/chart" uri="{C3380CC4-5D6E-409C-BE32-E72D297353CC}">
              <c16:uniqueId val="{00000003-3944-4480-8972-073605398156}"/>
            </c:ext>
          </c:extLst>
        </c:ser>
        <c:dLbls>
          <c:dLblPos val="t"/>
          <c:showLegendKey val="0"/>
          <c:showVal val="1"/>
          <c:showCatName val="0"/>
          <c:showSerName val="0"/>
          <c:showPercent val="0"/>
          <c:showBubbleSize val="0"/>
        </c:dLbls>
        <c:smooth val="0"/>
        <c:axId val="436380864"/>
        <c:axId val="436381280"/>
      </c:lineChart>
      <c:catAx>
        <c:axId val="436380864"/>
        <c:scaling>
          <c:orientation val="minMax"/>
        </c:scaling>
        <c:delete val="0"/>
        <c:axPos val="b"/>
        <c:numFmt formatCode="General" sourceLinked="1"/>
        <c:majorTickMark val="out"/>
        <c:minorTickMark val="none"/>
        <c:tickLblPos val="nextTo"/>
        <c:spPr>
          <a:noFill/>
        </c:spPr>
        <c:txPr>
          <a:bodyPr/>
          <a:lstStyle/>
          <a:p>
            <a:pPr>
              <a:defRPr>
                <a:solidFill>
                  <a:schemeClr val="bg1"/>
                </a:solidFill>
              </a:defRPr>
            </a:pPr>
            <a:endParaRPr lang="en-US"/>
          </a:p>
        </c:txPr>
        <c:crossAx val="436381280"/>
        <c:crosses val="autoZero"/>
        <c:auto val="1"/>
        <c:lblAlgn val="ctr"/>
        <c:lblOffset val="100"/>
        <c:noMultiLvlLbl val="0"/>
      </c:catAx>
      <c:valAx>
        <c:axId val="436381280"/>
        <c:scaling>
          <c:orientation val="minMax"/>
        </c:scaling>
        <c:delete val="0"/>
        <c:axPos val="l"/>
        <c:majorGridlines>
          <c:spPr>
            <a:ln>
              <a:solidFill>
                <a:schemeClr val="bg1">
                  <a:alpha val="5000"/>
                </a:schemeClr>
              </a:solidFill>
            </a:ln>
          </c:spPr>
        </c:majorGridlines>
        <c:numFmt formatCode="[$$-409]#,##0.00" sourceLinked="1"/>
        <c:majorTickMark val="out"/>
        <c:minorTickMark val="none"/>
        <c:tickLblPos val="nextTo"/>
        <c:txPr>
          <a:bodyPr/>
          <a:lstStyle/>
          <a:p>
            <a:pPr>
              <a:defRPr>
                <a:solidFill>
                  <a:schemeClr val="bg1"/>
                </a:solidFill>
              </a:defRPr>
            </a:pPr>
            <a:endParaRPr lang="en-US"/>
          </a:p>
        </c:txPr>
        <c:crossAx val="436380864"/>
        <c:crosses val="autoZero"/>
        <c:crossBetween val="between"/>
        <c:dispUnits>
          <c:builtInUnit val="millions"/>
          <c:dispUnitsLbl>
            <c:spPr>
              <a:noFill/>
            </c:spPr>
            <c:txPr>
              <a:bodyPr/>
              <a:lstStyle/>
              <a:p>
                <a:pPr>
                  <a:defRPr>
                    <a:solidFill>
                      <a:schemeClr val="bg1"/>
                    </a:solidFill>
                  </a:defRPr>
                </a:pPr>
                <a:endParaRPr lang="en-US"/>
              </a:p>
            </c:txPr>
          </c:dispUnitsLbl>
        </c:dispUnits>
      </c:valAx>
      <c:spPr>
        <a:noFill/>
      </c:spPr>
    </c:plotArea>
    <c:legend>
      <c:legendPos val="t"/>
      <c:legendEntry>
        <c:idx val="0"/>
        <c:delete val="1"/>
      </c:legendEntry>
      <c:legendEntry>
        <c:idx val="1"/>
        <c:delete val="1"/>
      </c:legendEntry>
      <c:legendEntry>
        <c:idx val="3"/>
        <c:delete val="1"/>
      </c:legendEntry>
      <c:overlay val="0"/>
      <c:txPr>
        <a:bodyPr/>
        <a:lstStyle/>
        <a:p>
          <a:pPr>
            <a:defRPr>
              <a:solidFill>
                <a:schemeClr val="bg1"/>
              </a:solidFill>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Pivot_Analysis!$I$129</c:f>
              <c:strCache>
                <c:ptCount val="1"/>
                <c:pt idx="0">
                  <c:v>Total Loan Amount</c:v>
                </c:pt>
              </c:strCache>
            </c:strRef>
          </c:tx>
          <c:spPr>
            <a:solidFill>
              <a:srgbClr val="FFC000">
                <a:alpha val="70000"/>
              </a:srgbClr>
            </a:solidFill>
            <a:effectLst>
              <a:outerShdw blurRad="50800" dist="38100" dir="2700000" algn="tl" rotWithShape="0">
                <a:prstClr val="black">
                  <a:alpha val="40000"/>
                </a:prstClr>
              </a:outerShdw>
            </a:effectLst>
          </c:spPr>
          <c:invertIfNegative val="0"/>
          <c:dLbls>
            <c:spPr>
              <a:noFill/>
              <a:ln>
                <a:noFill/>
              </a:ln>
              <a:effectLst/>
            </c:spPr>
            <c:txPr>
              <a:bodyPr wrap="square" lIns="38100" tIns="19050" rIns="38100" bIns="19050" anchor="ctr">
                <a:spAutoFit/>
              </a:bodyPr>
              <a:lstStyle/>
              <a:p>
                <a:pPr>
                  <a:defRPr b="1"/>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Pivot_Analysis!$H$130:$H$133</c:f>
              <c:strCache>
                <c:ptCount val="4"/>
                <c:pt idx="0">
                  <c:v>Employed</c:v>
                </c:pt>
                <c:pt idx="1">
                  <c:v>Retired</c:v>
                </c:pt>
                <c:pt idx="2">
                  <c:v>Self-employed</c:v>
                </c:pt>
                <c:pt idx="3">
                  <c:v>Unemployed</c:v>
                </c:pt>
              </c:strCache>
            </c:strRef>
          </c:cat>
          <c:val>
            <c:numRef>
              <c:f>Pivot_Analysis!$I$130:$I$133</c:f>
              <c:numCache>
                <c:formatCode>General</c:formatCode>
                <c:ptCount val="4"/>
                <c:pt idx="0">
                  <c:v>50089844</c:v>
                </c:pt>
                <c:pt idx="1">
                  <c:v>48940591</c:v>
                </c:pt>
                <c:pt idx="2">
                  <c:v>53820859</c:v>
                </c:pt>
                <c:pt idx="3">
                  <c:v>46621531</c:v>
                </c:pt>
              </c:numCache>
            </c:numRef>
          </c:val>
          <c:extLst>
            <c:ext xmlns:c16="http://schemas.microsoft.com/office/drawing/2014/chart" uri="{C3380CC4-5D6E-409C-BE32-E72D297353CC}">
              <c16:uniqueId val="{00000000-CB7C-44D4-A10D-F9D834B38F8B}"/>
            </c:ext>
          </c:extLst>
        </c:ser>
        <c:dLbls>
          <c:showLegendKey val="0"/>
          <c:showVal val="0"/>
          <c:showCatName val="0"/>
          <c:showSerName val="0"/>
          <c:showPercent val="0"/>
          <c:showBubbleSize val="0"/>
        </c:dLbls>
        <c:gapWidth val="100"/>
        <c:axId val="943706272"/>
        <c:axId val="943707520"/>
      </c:barChart>
      <c:lineChart>
        <c:grouping val="standard"/>
        <c:varyColors val="0"/>
        <c:ser>
          <c:idx val="1"/>
          <c:order val="1"/>
          <c:tx>
            <c:strRef>
              <c:f>Pivot_Analysis!$J$129</c:f>
              <c:strCache>
                <c:ptCount val="1"/>
                <c:pt idx="0">
                  <c:v>Default status count</c:v>
                </c:pt>
              </c:strCache>
            </c:strRef>
          </c:tx>
          <c:spPr>
            <a:ln w="28575">
              <a:solidFill>
                <a:srgbClr val="FF0000"/>
              </a:solidFill>
            </a:ln>
            <a:effectLst>
              <a:outerShdw blurRad="50800" dist="38100" dir="5400000" algn="ctr" rotWithShape="0">
                <a:schemeClr val="tx1"/>
              </a:outerShdw>
            </a:effectLst>
          </c:spPr>
          <c:marker>
            <c:symbol val="none"/>
          </c:marker>
          <c:dLbls>
            <c:spPr>
              <a:noFill/>
              <a:ln>
                <a:noFill/>
              </a:ln>
              <a:effectLst/>
            </c:spPr>
            <c:txPr>
              <a:bodyPr wrap="square" lIns="38100" tIns="19050" rIns="38100" bIns="19050" anchor="ctr">
                <a:spAutoFit/>
              </a:bodyPr>
              <a:lstStyle/>
              <a:p>
                <a:pPr>
                  <a:defRPr b="1">
                    <a:solidFill>
                      <a:schemeClr val="bg1"/>
                    </a:solidFill>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Pivot_Analysis!$H$130:$H$133</c:f>
              <c:strCache>
                <c:ptCount val="4"/>
                <c:pt idx="0">
                  <c:v>Employed</c:v>
                </c:pt>
                <c:pt idx="1">
                  <c:v>Retired</c:v>
                </c:pt>
                <c:pt idx="2">
                  <c:v>Self-employed</c:v>
                </c:pt>
                <c:pt idx="3">
                  <c:v>Unemployed</c:v>
                </c:pt>
              </c:strCache>
            </c:strRef>
          </c:cat>
          <c:val>
            <c:numRef>
              <c:f>Pivot_Analysis!$J$130:$J$133</c:f>
              <c:numCache>
                <c:formatCode>0.00%</c:formatCode>
                <c:ptCount val="4"/>
                <c:pt idx="0">
                  <c:v>0.253</c:v>
                </c:pt>
                <c:pt idx="1">
                  <c:v>0.24349999999999999</c:v>
                </c:pt>
                <c:pt idx="2">
                  <c:v>0.26250000000000001</c:v>
                </c:pt>
                <c:pt idx="3">
                  <c:v>0.24099999999999999</c:v>
                </c:pt>
              </c:numCache>
            </c:numRef>
          </c:val>
          <c:smooth val="1"/>
          <c:extLst>
            <c:ext xmlns:c16="http://schemas.microsoft.com/office/drawing/2014/chart" uri="{C3380CC4-5D6E-409C-BE32-E72D297353CC}">
              <c16:uniqueId val="{00000001-CB7C-44D4-A10D-F9D834B38F8B}"/>
            </c:ext>
          </c:extLst>
        </c:ser>
        <c:dLbls>
          <c:showLegendKey val="0"/>
          <c:showVal val="0"/>
          <c:showCatName val="0"/>
          <c:showSerName val="0"/>
          <c:showPercent val="0"/>
          <c:showBubbleSize val="0"/>
        </c:dLbls>
        <c:marker val="1"/>
        <c:smooth val="0"/>
        <c:axId val="1052903328"/>
        <c:axId val="1052902912"/>
      </c:lineChart>
      <c:valAx>
        <c:axId val="1052902912"/>
        <c:scaling>
          <c:orientation val="minMax"/>
        </c:scaling>
        <c:delete val="0"/>
        <c:axPos val="l"/>
        <c:majorGridlines>
          <c:spPr>
            <a:ln>
              <a:solidFill>
                <a:schemeClr val="bg1">
                  <a:alpha val="15000"/>
                </a:schemeClr>
              </a:solidFill>
            </a:ln>
          </c:spPr>
        </c:majorGridlines>
        <c:numFmt formatCode="0.00%" sourceLinked="1"/>
        <c:majorTickMark val="out"/>
        <c:minorTickMark val="none"/>
        <c:tickLblPos val="nextTo"/>
        <c:txPr>
          <a:bodyPr/>
          <a:lstStyle/>
          <a:p>
            <a:pPr>
              <a:defRPr>
                <a:solidFill>
                  <a:schemeClr val="bg1"/>
                </a:solidFill>
              </a:defRPr>
            </a:pPr>
            <a:endParaRPr lang="en-US"/>
          </a:p>
        </c:txPr>
        <c:crossAx val="1052903328"/>
        <c:crosses val="autoZero"/>
        <c:crossBetween val="between"/>
      </c:valAx>
      <c:catAx>
        <c:axId val="1052903328"/>
        <c:scaling>
          <c:orientation val="minMax"/>
        </c:scaling>
        <c:delete val="0"/>
        <c:axPos val="b"/>
        <c:numFmt formatCode="General" sourceLinked="1"/>
        <c:majorTickMark val="out"/>
        <c:minorTickMark val="none"/>
        <c:tickLblPos val="nextTo"/>
        <c:spPr>
          <a:noFill/>
        </c:spPr>
        <c:txPr>
          <a:bodyPr/>
          <a:lstStyle/>
          <a:p>
            <a:pPr>
              <a:defRPr>
                <a:solidFill>
                  <a:schemeClr val="bg1"/>
                </a:solidFill>
              </a:defRPr>
            </a:pPr>
            <a:endParaRPr lang="en-US"/>
          </a:p>
        </c:txPr>
        <c:crossAx val="1052902912"/>
        <c:crosses val="autoZero"/>
        <c:auto val="1"/>
        <c:lblAlgn val="ctr"/>
        <c:lblOffset val="100"/>
        <c:noMultiLvlLbl val="0"/>
      </c:catAx>
      <c:valAx>
        <c:axId val="943707520"/>
        <c:scaling>
          <c:orientation val="minMax"/>
        </c:scaling>
        <c:delete val="0"/>
        <c:axPos val="t"/>
        <c:numFmt formatCode="General" sourceLinked="1"/>
        <c:majorTickMark val="out"/>
        <c:minorTickMark val="none"/>
        <c:tickLblPos val="nextTo"/>
        <c:txPr>
          <a:bodyPr/>
          <a:lstStyle/>
          <a:p>
            <a:pPr>
              <a:defRPr>
                <a:solidFill>
                  <a:schemeClr val="bg1"/>
                </a:solidFill>
              </a:defRPr>
            </a:pPr>
            <a:endParaRPr lang="en-US"/>
          </a:p>
        </c:txPr>
        <c:crossAx val="943706272"/>
        <c:crosses val="max"/>
        <c:crossBetween val="between"/>
        <c:dispUnits>
          <c:builtInUnit val="millions"/>
          <c:dispUnitsLbl>
            <c:txPr>
              <a:bodyPr/>
              <a:lstStyle/>
              <a:p>
                <a:pPr>
                  <a:defRPr>
                    <a:solidFill>
                      <a:schemeClr val="bg1"/>
                    </a:solidFill>
                  </a:defRPr>
                </a:pPr>
                <a:endParaRPr lang="en-US"/>
              </a:p>
            </c:txPr>
          </c:dispUnitsLbl>
        </c:dispUnits>
      </c:valAx>
      <c:catAx>
        <c:axId val="943706272"/>
        <c:scaling>
          <c:orientation val="minMax"/>
        </c:scaling>
        <c:delete val="1"/>
        <c:axPos val="l"/>
        <c:numFmt formatCode="General" sourceLinked="1"/>
        <c:majorTickMark val="out"/>
        <c:minorTickMark val="none"/>
        <c:tickLblPos val="nextTo"/>
        <c:crossAx val="943707520"/>
        <c:crosses val="autoZero"/>
        <c:auto val="1"/>
        <c:lblAlgn val="ctr"/>
        <c:lblOffset val="100"/>
        <c:noMultiLvlLbl val="0"/>
      </c:catAx>
      <c:spPr>
        <a:noFill/>
        <a:ln>
          <a:noFill/>
        </a:ln>
      </c:spPr>
    </c:plotArea>
    <c:legend>
      <c:legendPos val="t"/>
      <c:overlay val="0"/>
      <c:txPr>
        <a:bodyPr/>
        <a:lstStyle/>
        <a:p>
          <a:pPr>
            <a:defRPr>
              <a:solidFill>
                <a:schemeClr val="bg1"/>
              </a:solidFill>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rot="0" spcFirstLastPara="1" vertOverflow="ellipsis" vert="horz" wrap="square" lIns="38100" tIns="19050" rIns="38100" bIns="19050" anchor="ctr" anchorCtr="1" compatLnSpc="0"/>
          <a:lstStyle/>
          <a:p>
            <a:pPr rtl="0">
              <a:defRPr sz="1600">
                <a:latin typeface="+mn-lt"/>
              </a:defRPr>
            </a:pPr>
            <a:r>
              <a:rPr lang="en-IN" sz="1600" b="1" i="0" u="none" baseline="0">
                <a:effectLst/>
                <a:latin typeface="+mn-lt"/>
              </a:rPr>
              <a:t>Risk category wise loan defaults</a:t>
            </a:r>
            <a:r>
              <a:rPr lang="en-IN" sz="1600" b="0" i="0" u="none" baseline="0">
                <a:effectLst/>
                <a:latin typeface="+mn-lt"/>
              </a:rPr>
              <a:t> </a:t>
            </a:r>
            <a:endParaRPr lang="en-IN" sz="1600" u="none">
              <a:effectLst/>
              <a:latin typeface="+mn-lt"/>
            </a:endParaRPr>
          </a:p>
        </cx:rich>
      </cx:tx>
    </cx:title>
    <cx:plotArea>
      <cx:plotAreaRegion>
        <cx:series layoutId="funnel" uniqueId="{48128037-5EB6-4D9B-854C-8EDC2D2B3695}">
          <cx:tx>
            <cx:txData>
              <cx:f>_xlchart.v2.1</cx:f>
              <cx:v>Count of Default_Status</cx:v>
            </cx:txData>
          </cx:tx>
          <cx:dataId val="0"/>
        </cx:series>
      </cx:plotAreaRegion>
      <cx:axis id="0">
        <cx:catScaling/>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baseline="0">
                <a:solidFill>
                  <a:sysClr val="windowText" lastClr="000000"/>
                </a:solidFill>
                <a:effectLst/>
                <a:latin typeface="Calibri" panose="020F0502020204030204"/>
                <a:ea typeface="Calibri" panose="020F0502020204030204" pitchFamily="34" charset="0"/>
                <a:cs typeface="Calibri" panose="020F0502020204030204" pitchFamily="34" charset="0"/>
              </a:rPr>
              <a:t>Risk category wise loan defaults</a:t>
            </a:r>
            <a:r>
              <a:rPr lang="en-IN" sz="1400" b="0" i="0" u="none" strike="noStrike" kern="1200" baseline="0">
                <a:solidFill>
                  <a:sysClr val="windowText" lastClr="000000"/>
                </a:solidFill>
                <a:latin typeface="Calibri" panose="020F0502020204030204"/>
                <a:ea typeface="Calibri" panose="020F0502020204030204" pitchFamily="34" charset="0"/>
                <a:cs typeface="Calibri" panose="020F0502020204030204" pitchFamily="34" charset="0"/>
              </a:rPr>
              <a:t> </a:t>
            </a:r>
            <a:endParaRPr lang="en-US" u="none"/>
          </a:p>
        </cx:rich>
      </cx:tx>
    </cx:title>
    <cx:plotArea>
      <cx:plotAreaRegion>
        <cx:series layoutId="funnel" uniqueId="{72544844-8CE5-4D6A-A564-CA6149B30D40}">
          <cx:tx>
            <cx:txData>
              <cx:f>_xlchart.v2.4</cx:f>
              <cx:v>Count of Default_Status</cx:v>
            </cx:txData>
          </cx:tx>
          <cx:dataId val="0"/>
        </cx:series>
      </cx:plotAreaRegion>
      <cx:axis id="0">
        <cx:catScaling/>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_xlchart.v2.8</cx:f>
      </cx:numDim>
    </cx:data>
  </cx:chartData>
  <cx:chart>
    <cx:plotArea>
      <cx:plotAreaRegion>
        <cx:plotSurface>
          <cx:spPr>
            <a:effectLst>
              <a:outerShdw blurRad="50800" dist="50800" dir="5400000" algn="ctr" rotWithShape="0">
                <a:schemeClr val="tx1">
                  <a:alpha val="40000"/>
                </a:schemeClr>
              </a:outerShdw>
            </a:effectLst>
          </cx:spPr>
        </cx:plotSurface>
        <cx:series layoutId="funnel" uniqueId="{48128037-5EB6-4D9B-854C-8EDC2D2B3695}">
          <cx:tx>
            <cx:txData>
              <cx:f>_xlchart.v2.7</cx:f>
              <cx:v>Count of Default_Status</cx:v>
            </cx:txData>
          </cx:tx>
          <cx:spPr>
            <a:solidFill>
              <a:srgbClr val="FFC000"/>
            </a:solidFill>
            <a:effectLst>
              <a:outerShdw blurRad="50800" dist="38100" dir="5400000" algn="ctr" rotWithShape="0">
                <a:schemeClr val="tx1">
                  <a:alpha val="40000"/>
                </a:schemeClr>
              </a:outerShdw>
            </a:effectLst>
          </cx:spPr>
          <cx:dataLabels>
            <cx:txPr>
              <a:bodyPr spcFirstLastPara="1" vertOverflow="ellipsis" horzOverflow="overflow" wrap="square" lIns="0" tIns="0" rIns="0" bIns="0" anchor="ctr" anchorCtr="1"/>
              <a:lstStyle/>
              <a:p>
                <a:pPr algn="ctr" rtl="0">
                  <a:defRPr b="1">
                    <a:solidFill>
                      <a:schemeClr val="tx1"/>
                    </a:solidFill>
                  </a:defRPr>
                </a:pPr>
                <a:endParaRPr lang="en-US" sz="1000" b="1" i="0" u="none" strike="noStrike" kern="1200" baseline="0">
                  <a:solidFill>
                    <a:schemeClr val="tx1"/>
                  </a:solidFill>
                  <a:latin typeface="Calibri" panose="020F0502020204030204"/>
                </a:endParaRPr>
              </a:p>
            </cx:txPr>
            <cx:visibility seriesName="0" categoryName="1" value="1"/>
            <cx:separator>
</cx:separator>
          </cx:dataLabels>
          <cx:dataId val="0"/>
        </cx:series>
      </cx:plotAreaRegion>
      <cx:axis id="0" hidden="1">
        <cx:catScaling gapWidth="0.449999988"/>
        <cx:tickLabels/>
        <cx:txPr>
          <a:bodyPr vertOverflow="overflow" horzOverflow="overflow" wrap="square" lIns="0" tIns="0" rIns="0" bIns="0"/>
          <a:lstStyle/>
          <a:p>
            <a:pPr algn="ctr" rtl="0">
              <a:defRPr sz="10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a:solidFill>
                <a:schemeClr val="bg1"/>
              </a:solidFill>
            </a:endParaRPr>
          </a:p>
        </cx:txPr>
      </cx:axis>
      <cx:axis id="1" hidden="1">
        <cx:valScaling/>
        <cx:tickLabels/>
        <cx:txPr>
          <a:bodyPr vertOverflow="overflow" horzOverflow="overflow" wrap="square" lIns="0" tIns="0" rIns="0" bIns="0"/>
          <a:lstStyle/>
          <a:p>
            <a:pPr algn="ctr" rtl="0">
              <a:defRPr sz="1000" b="0" i="0">
                <a:solidFill>
                  <a:srgbClr val="FFC000"/>
                </a:solidFill>
                <a:latin typeface="Calibri" panose="020F0502020204030204" pitchFamily="34" charset="0"/>
                <a:ea typeface="Calibri" panose="020F0502020204030204" pitchFamily="34" charset="0"/>
                <a:cs typeface="Calibri" panose="020F0502020204030204" pitchFamily="34" charset="0"/>
              </a:defRPr>
            </a:pPr>
            <a:endParaRPr lang="en-IN">
              <a:solidFill>
                <a:srgbClr val="FFC000"/>
              </a:solidFill>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acrossLinear" id="2">
  <a:schemeClr val="accent1"/>
  <a:schemeClr val="accent2"/>
  <a:schemeClr val="accent3"/>
  <a:schemeClr val="accent4"/>
  <a:schemeClr val="accent5"/>
  <a:schemeClr val="accent6"/>
</cs:colorStyle>
</file>

<file path=xl/charts/colors2.xml><?xml version="1.0" encoding="utf-8"?>
<cs:colorStyle xmlns:cs="http://schemas.microsoft.com/office/drawing/2012/chartStyle" xmlns:a="http://schemas.openxmlformats.org/drawingml/2006/main" meth="acrossLinear" id="2">
  <a:schemeClr val="accent1"/>
  <a:schemeClr val="accent2"/>
  <a:schemeClr val="accent3"/>
  <a:schemeClr val="accent4"/>
  <a:schemeClr val="accent5"/>
  <a:schemeClr val="accent6"/>
</cs:colorStyle>
</file>

<file path=xl/charts/colors3.xml><?xml version="1.0" encoding="utf-8"?>
<cs:colorStyle xmlns:cs="http://schemas.microsoft.com/office/drawing/2012/chartStyle" xmlns:a="http://schemas.openxmlformats.org/drawingml/2006/main" meth="acrossLinear" id="2">
  <a:schemeClr val="accent1"/>
  <a:schemeClr val="accent2"/>
  <a:schemeClr val="accent3"/>
  <a:schemeClr val="accent4"/>
  <a:schemeClr val="accent5"/>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loan_default_prediction_dataset!A1"/><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Pivot_Analysis!A1"/><Relationship Id="rId6" Type="http://schemas.openxmlformats.org/officeDocument/2006/relationships/hyperlink" Target="#Summary!A1"/><Relationship Id="rId11" Type="http://schemas.openxmlformats.org/officeDocument/2006/relationships/image" Target="../media/image7.svg"/><Relationship Id="rId5" Type="http://schemas.openxmlformats.org/officeDocument/2006/relationships/image" Target="../media/image3.sv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Charts!A1"/></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3.svg"/><Relationship Id="rId3" Type="http://schemas.openxmlformats.org/officeDocument/2006/relationships/chart" Target="../charts/chart2.xml"/><Relationship Id="rId7" Type="http://schemas.openxmlformats.org/officeDocument/2006/relationships/image" Target="../media/image8.png"/><Relationship Id="rId12" Type="http://schemas.openxmlformats.org/officeDocument/2006/relationships/image" Target="../media/image2.png"/><Relationship Id="rId2" Type="http://schemas.microsoft.com/office/2014/relationships/chartEx" Target="../charts/chartEx1.xml"/><Relationship Id="rId16" Type="http://schemas.openxmlformats.org/officeDocument/2006/relationships/image" Target="../media/image5.svg"/><Relationship Id="rId1" Type="http://schemas.openxmlformats.org/officeDocument/2006/relationships/chart" Target="../charts/chart1.xml"/><Relationship Id="rId6" Type="http://schemas.openxmlformats.org/officeDocument/2006/relationships/hyperlink" Target="#'Data Analysis'!A1"/><Relationship Id="rId11" Type="http://schemas.openxmlformats.org/officeDocument/2006/relationships/hyperlink" Target="#loan_default_prediction_dataset!A1"/><Relationship Id="rId5" Type="http://schemas.openxmlformats.org/officeDocument/2006/relationships/chart" Target="../charts/chart4.xml"/><Relationship Id="rId15" Type="http://schemas.openxmlformats.org/officeDocument/2006/relationships/image" Target="../media/image4.png"/><Relationship Id="rId10" Type="http://schemas.openxmlformats.org/officeDocument/2006/relationships/image" Target="../media/image1.png"/><Relationship Id="rId4" Type="http://schemas.openxmlformats.org/officeDocument/2006/relationships/chart" Target="../charts/chart3.xml"/><Relationship Id="rId9" Type="http://schemas.openxmlformats.org/officeDocument/2006/relationships/hyperlink" Target="#Pivot_Analysis!A1"/><Relationship Id="rId14" Type="http://schemas.openxmlformats.org/officeDocument/2006/relationships/hyperlink" Target="#Summary!A1"/></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4.png"/><Relationship Id="rId3" Type="http://schemas.openxmlformats.org/officeDocument/2006/relationships/chart" Target="../charts/chart6.xml"/><Relationship Id="rId7" Type="http://schemas.openxmlformats.org/officeDocument/2006/relationships/image" Target="../media/image8.png"/><Relationship Id="rId12" Type="http://schemas.openxmlformats.org/officeDocument/2006/relationships/hyperlink" Target="#Summary!A1"/><Relationship Id="rId17" Type="http://schemas.openxmlformats.org/officeDocument/2006/relationships/image" Target="../media/image7.svg"/><Relationship Id="rId2" Type="http://schemas.microsoft.com/office/2014/relationships/chartEx" Target="../charts/chartEx2.xml"/><Relationship Id="rId16" Type="http://schemas.openxmlformats.org/officeDocument/2006/relationships/image" Target="../media/image6.png"/><Relationship Id="rId1" Type="http://schemas.openxmlformats.org/officeDocument/2006/relationships/chart" Target="../charts/chart5.xml"/><Relationship Id="rId6" Type="http://schemas.openxmlformats.org/officeDocument/2006/relationships/hyperlink" Target="#'Data Analysis'!A1"/><Relationship Id="rId11" Type="http://schemas.openxmlformats.org/officeDocument/2006/relationships/image" Target="../media/image3.svg"/><Relationship Id="rId5" Type="http://schemas.openxmlformats.org/officeDocument/2006/relationships/chart" Target="../charts/chart8.xml"/><Relationship Id="rId15" Type="http://schemas.openxmlformats.org/officeDocument/2006/relationships/hyperlink" Target="#Charts!A1"/><Relationship Id="rId10" Type="http://schemas.openxmlformats.org/officeDocument/2006/relationships/image" Target="../media/image2.png"/><Relationship Id="rId4" Type="http://schemas.openxmlformats.org/officeDocument/2006/relationships/chart" Target="../charts/chart7.xml"/><Relationship Id="rId9" Type="http://schemas.openxmlformats.org/officeDocument/2006/relationships/hyperlink" Target="#loan_default_prediction_dataset!A1"/><Relationship Id="rId14" Type="http://schemas.openxmlformats.org/officeDocument/2006/relationships/image" Target="../media/image5.sv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7.svg"/><Relationship Id="rId7" Type="http://schemas.openxmlformats.org/officeDocument/2006/relationships/hyperlink" Target="#Pivot_Analysis!A1"/><Relationship Id="rId2" Type="http://schemas.openxmlformats.org/officeDocument/2006/relationships/image" Target="../media/image6.png"/><Relationship Id="rId1" Type="http://schemas.openxmlformats.org/officeDocument/2006/relationships/hyperlink" Target="#Charts!A1"/><Relationship Id="rId6" Type="http://schemas.openxmlformats.org/officeDocument/2006/relationships/image" Target="../media/image9.svg"/><Relationship Id="rId11" Type="http://schemas.openxmlformats.org/officeDocument/2006/relationships/image" Target="../media/image5.svg"/><Relationship Id="rId5" Type="http://schemas.openxmlformats.org/officeDocument/2006/relationships/image" Target="../media/image8.png"/><Relationship Id="rId10" Type="http://schemas.openxmlformats.org/officeDocument/2006/relationships/image" Target="../media/image4.png"/><Relationship Id="rId4" Type="http://schemas.openxmlformats.org/officeDocument/2006/relationships/hyperlink" Target="#'Data Analysis'!A1"/><Relationship Id="rId9" Type="http://schemas.openxmlformats.org/officeDocument/2006/relationships/hyperlink" Target="#Summary!A1"/></Relationships>
</file>

<file path=xl/drawings/_rels/drawing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chart" Target="../charts/chart9.xml"/><Relationship Id="rId18" Type="http://schemas.openxmlformats.org/officeDocument/2006/relationships/image" Target="../media/image3.svg"/><Relationship Id="rId26" Type="http://schemas.openxmlformats.org/officeDocument/2006/relationships/image" Target="../media/image1.png"/><Relationship Id="rId3" Type="http://schemas.openxmlformats.org/officeDocument/2006/relationships/image" Target="../media/image12.png"/><Relationship Id="rId21" Type="http://schemas.openxmlformats.org/officeDocument/2006/relationships/image" Target="../media/image7.svg"/><Relationship Id="rId7" Type="http://schemas.openxmlformats.org/officeDocument/2006/relationships/image" Target="../media/image16.png"/><Relationship Id="rId12" Type="http://schemas.openxmlformats.org/officeDocument/2006/relationships/image" Target="../media/image21.svg"/><Relationship Id="rId17" Type="http://schemas.openxmlformats.org/officeDocument/2006/relationships/image" Target="../media/image2.png"/><Relationship Id="rId25" Type="http://schemas.openxmlformats.org/officeDocument/2006/relationships/hyperlink" Target="#Pivot_Analysis!A1"/><Relationship Id="rId2" Type="http://schemas.openxmlformats.org/officeDocument/2006/relationships/image" Target="../media/image11.svg"/><Relationship Id="rId16" Type="http://schemas.openxmlformats.org/officeDocument/2006/relationships/hyperlink" Target="#loan_default_prediction_dataset!A1"/><Relationship Id="rId20" Type="http://schemas.openxmlformats.org/officeDocument/2006/relationships/image" Target="../media/image6.png"/><Relationship Id="rId29" Type="http://schemas.openxmlformats.org/officeDocument/2006/relationships/image" Target="../media/image22.png"/><Relationship Id="rId1" Type="http://schemas.openxmlformats.org/officeDocument/2006/relationships/image" Target="../media/image10.png"/><Relationship Id="rId6" Type="http://schemas.openxmlformats.org/officeDocument/2006/relationships/image" Target="../media/image15.svg"/><Relationship Id="rId11" Type="http://schemas.openxmlformats.org/officeDocument/2006/relationships/image" Target="../media/image20.png"/><Relationship Id="rId24" Type="http://schemas.openxmlformats.org/officeDocument/2006/relationships/image" Target="../media/image9.svg"/><Relationship Id="rId5" Type="http://schemas.openxmlformats.org/officeDocument/2006/relationships/image" Target="../media/image14.png"/><Relationship Id="rId15" Type="http://schemas.openxmlformats.org/officeDocument/2006/relationships/chart" Target="../charts/chart11.xml"/><Relationship Id="rId23" Type="http://schemas.openxmlformats.org/officeDocument/2006/relationships/image" Target="../media/image8.png"/><Relationship Id="rId28" Type="http://schemas.openxmlformats.org/officeDocument/2006/relationships/chart" Target="../charts/chart12.xml"/><Relationship Id="rId10" Type="http://schemas.openxmlformats.org/officeDocument/2006/relationships/image" Target="../media/image19.svg"/><Relationship Id="rId19" Type="http://schemas.openxmlformats.org/officeDocument/2006/relationships/hyperlink" Target="#Charts!A1"/><Relationship Id="rId4" Type="http://schemas.openxmlformats.org/officeDocument/2006/relationships/image" Target="../media/image13.svg"/><Relationship Id="rId9" Type="http://schemas.openxmlformats.org/officeDocument/2006/relationships/image" Target="../media/image18.png"/><Relationship Id="rId14" Type="http://schemas.openxmlformats.org/officeDocument/2006/relationships/chart" Target="../charts/chart10.xml"/><Relationship Id="rId22" Type="http://schemas.openxmlformats.org/officeDocument/2006/relationships/hyperlink" Target="#'Data Analysis'!A1"/><Relationship Id="rId27"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editAs="oneCell">
    <xdr:from>
      <xdr:col>5</xdr:col>
      <xdr:colOff>845076</xdr:colOff>
      <xdr:row>0</xdr:row>
      <xdr:rowOff>189756</xdr:rowOff>
    </xdr:from>
    <xdr:to>
      <xdr:col>6</xdr:col>
      <xdr:colOff>297941</xdr:colOff>
      <xdr:row>2</xdr:row>
      <xdr:rowOff>137921</xdr:rowOff>
    </xdr:to>
    <xdr:pic macro="[0]!pivot_table">
      <xdr:nvPicPr>
        <xdr:cNvPr id="3" name="Picture 2" descr="Table icon">
          <a:hlinkClick xmlns:r="http://schemas.openxmlformats.org/officeDocument/2006/relationships" r:id="rId1"/>
          <a:extLst>
            <a:ext uri="{FF2B5EF4-FFF2-40B4-BE49-F238E27FC236}">
              <a16:creationId xmlns:a16="http://schemas.microsoft.com/office/drawing/2014/main" id="{A0707562-BC01-43BE-BE90-08636B3B3BDD}"/>
            </a:ext>
          </a:extLst>
        </xdr:cNvPr>
        <xdr:cNvPicPr>
          <a:picLocks noChangeAspect="1" noChangeArrowheads="1"/>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893076" y="189756"/>
          <a:ext cx="321545" cy="321545"/>
        </a:xfrm>
        <a:prstGeom prst="rect">
          <a:avLst/>
        </a:prstGeom>
        <a:noFill/>
        <a:ln>
          <a:noFill/>
        </a:ln>
        <a:effectLst>
          <a:outerShdw blurRad="50800" dist="38100" dir="2700000" algn="tl" rotWithShape="0">
            <a:prstClr val="black">
              <a:alpha val="40000"/>
            </a:prstClr>
          </a:outerShdw>
        </a:effectLst>
      </xdr:spPr>
    </xdr:pic>
    <xdr:clientData/>
  </xdr:twoCellAnchor>
  <xdr:twoCellAnchor editAs="oneCell">
    <xdr:from>
      <xdr:col>6</xdr:col>
      <xdr:colOff>525275</xdr:colOff>
      <xdr:row>0</xdr:row>
      <xdr:rowOff>145742</xdr:rowOff>
    </xdr:from>
    <xdr:to>
      <xdr:col>6</xdr:col>
      <xdr:colOff>934323</xdr:colOff>
      <xdr:row>2</xdr:row>
      <xdr:rowOff>181410</xdr:rowOff>
    </xdr:to>
    <xdr:pic>
      <xdr:nvPicPr>
        <xdr:cNvPr id="5" name="Graphic 4" descr="Database with solid fill">
          <a:hlinkClick xmlns:r="http://schemas.openxmlformats.org/officeDocument/2006/relationships" r:id="rId3"/>
          <a:extLst>
            <a:ext uri="{FF2B5EF4-FFF2-40B4-BE49-F238E27FC236}">
              <a16:creationId xmlns:a16="http://schemas.microsoft.com/office/drawing/2014/main" id="{B8E45EF5-5F6C-40D5-B936-06C1B777E7B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441955" y="145742"/>
          <a:ext cx="409048" cy="409048"/>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1116887</xdr:colOff>
      <xdr:row>0</xdr:row>
      <xdr:rowOff>159993</xdr:rowOff>
    </xdr:from>
    <xdr:to>
      <xdr:col>6</xdr:col>
      <xdr:colOff>1505534</xdr:colOff>
      <xdr:row>2</xdr:row>
      <xdr:rowOff>175260</xdr:rowOff>
    </xdr:to>
    <xdr:pic>
      <xdr:nvPicPr>
        <xdr:cNvPr id="6" name="Graphic 5" descr="Presentation with bar chart with solid fill">
          <a:hlinkClick xmlns:r="http://schemas.openxmlformats.org/officeDocument/2006/relationships" r:id="rId6"/>
          <a:extLst>
            <a:ext uri="{FF2B5EF4-FFF2-40B4-BE49-F238E27FC236}">
              <a16:creationId xmlns:a16="http://schemas.microsoft.com/office/drawing/2014/main" id="{6DFF49DE-801E-4A94-8E34-41A5AE99AF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33567" y="159993"/>
          <a:ext cx="388647" cy="388647"/>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146924</xdr:colOff>
      <xdr:row>0</xdr:row>
      <xdr:rowOff>160019</xdr:rowOff>
    </xdr:from>
    <xdr:to>
      <xdr:col>5</xdr:col>
      <xdr:colOff>558420</xdr:colOff>
      <xdr:row>2</xdr:row>
      <xdr:rowOff>175674</xdr:rowOff>
    </xdr:to>
    <xdr:pic>
      <xdr:nvPicPr>
        <xdr:cNvPr id="7" name="Graphic 6" descr="Pie chart with solid fill">
          <a:hlinkClick xmlns:r="http://schemas.openxmlformats.org/officeDocument/2006/relationships" r:id="rId9"/>
          <a:extLst>
            <a:ext uri="{FF2B5EF4-FFF2-40B4-BE49-F238E27FC236}">
              <a16:creationId xmlns:a16="http://schemas.microsoft.com/office/drawing/2014/main" id="{86060EAF-C3CE-44AF-9B37-D42005BEAEB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194924" y="160019"/>
          <a:ext cx="411496" cy="389035"/>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76200</xdr:colOff>
      <xdr:row>40</xdr:row>
      <xdr:rowOff>109436</xdr:rowOff>
    </xdr:from>
    <xdr:to>
      <xdr:col>18</xdr:col>
      <xdr:colOff>320039</xdr:colOff>
      <xdr:row>60</xdr:row>
      <xdr:rowOff>30480</xdr:rowOff>
    </xdr:to>
    <xdr:graphicFrame macro="">
      <xdr:nvGraphicFramePr>
        <xdr:cNvPr id="2" name="Chart 1">
          <a:extLst>
            <a:ext uri="{FF2B5EF4-FFF2-40B4-BE49-F238E27FC236}">
              <a16:creationId xmlns:a16="http://schemas.microsoft.com/office/drawing/2014/main" id="{2035985F-1549-417F-B968-412A826B06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64365</xdr:colOff>
      <xdr:row>61</xdr:row>
      <xdr:rowOff>4702</xdr:rowOff>
    </xdr:from>
    <xdr:to>
      <xdr:col>18</xdr:col>
      <xdr:colOff>342900</xdr:colOff>
      <xdr:row>75</xdr:row>
      <xdr:rowOff>144780</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744D0562-080C-4987-A681-728D3F499A10}"/>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721965" y="11168002"/>
              <a:ext cx="7593735" cy="270039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33885</xdr:colOff>
      <xdr:row>76</xdr:row>
      <xdr:rowOff>137808</xdr:rowOff>
    </xdr:from>
    <xdr:to>
      <xdr:col>18</xdr:col>
      <xdr:colOff>381000</xdr:colOff>
      <xdr:row>92</xdr:row>
      <xdr:rowOff>86861</xdr:rowOff>
    </xdr:to>
    <xdr:graphicFrame macro="">
      <xdr:nvGraphicFramePr>
        <xdr:cNvPr id="4" name="Chart 3">
          <a:extLst>
            <a:ext uri="{FF2B5EF4-FFF2-40B4-BE49-F238E27FC236}">
              <a16:creationId xmlns:a16="http://schemas.microsoft.com/office/drawing/2014/main" id="{83E1ECF4-908A-4E47-AE11-9A60419E3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85441</xdr:colOff>
      <xdr:row>21</xdr:row>
      <xdr:rowOff>23347</xdr:rowOff>
    </xdr:from>
    <xdr:to>
      <xdr:col>18</xdr:col>
      <xdr:colOff>335280</xdr:colOff>
      <xdr:row>39</xdr:row>
      <xdr:rowOff>152400</xdr:rowOff>
    </xdr:to>
    <xdr:graphicFrame macro="">
      <xdr:nvGraphicFramePr>
        <xdr:cNvPr id="6" name="Chart 5">
          <a:extLst>
            <a:ext uri="{FF2B5EF4-FFF2-40B4-BE49-F238E27FC236}">
              <a16:creationId xmlns:a16="http://schemas.microsoft.com/office/drawing/2014/main" id="{20D024DC-B7D4-4900-BDC5-27DC7445C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91440</xdr:colOff>
      <xdr:row>9</xdr:row>
      <xdr:rowOff>0</xdr:rowOff>
    </xdr:from>
    <xdr:to>
      <xdr:col>18</xdr:col>
      <xdr:colOff>335280</xdr:colOff>
      <xdr:row>20</xdr:row>
      <xdr:rowOff>137160</xdr:rowOff>
    </xdr:to>
    <xdr:graphicFrame macro="">
      <xdr:nvGraphicFramePr>
        <xdr:cNvPr id="7" name="Chart 6">
          <a:extLst>
            <a:ext uri="{FF2B5EF4-FFF2-40B4-BE49-F238E27FC236}">
              <a16:creationId xmlns:a16="http://schemas.microsoft.com/office/drawing/2014/main" id="{5F31D826-6484-402C-BFB0-660F12F4A9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42850</xdr:colOff>
      <xdr:row>2</xdr:row>
      <xdr:rowOff>40903</xdr:rowOff>
    </xdr:from>
    <xdr:to>
      <xdr:col>6</xdr:col>
      <xdr:colOff>448096</xdr:colOff>
      <xdr:row>4</xdr:row>
      <xdr:rowOff>87561</xdr:rowOff>
    </xdr:to>
    <xdr:pic>
      <xdr:nvPicPr>
        <xdr:cNvPr id="8" name="Graphic 7" descr="Playbook with solid fill">
          <a:hlinkClick xmlns:r="http://schemas.openxmlformats.org/officeDocument/2006/relationships" r:id="rId6"/>
          <a:extLst>
            <a:ext uri="{FF2B5EF4-FFF2-40B4-BE49-F238E27FC236}">
              <a16:creationId xmlns:a16="http://schemas.microsoft.com/office/drawing/2014/main" id="{BF55BAE5-8DF6-4237-987A-0E6F065F559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700450" y="399491"/>
          <a:ext cx="405246" cy="405246"/>
        </a:xfrm>
        <a:prstGeom prst="rect">
          <a:avLst/>
        </a:prstGeom>
        <a:effectLst>
          <a:outerShdw blurRad="50800" dist="38100" dir="2700000" algn="tl" rotWithShape="0">
            <a:schemeClr val="bg1">
              <a:alpha val="25000"/>
            </a:schemeClr>
          </a:outerShdw>
        </a:effectLst>
      </xdr:spPr>
    </xdr:pic>
    <xdr:clientData/>
  </xdr:twoCellAnchor>
  <xdr:twoCellAnchor editAs="oneCell">
    <xdr:from>
      <xdr:col>7</xdr:col>
      <xdr:colOff>122503</xdr:colOff>
      <xdr:row>2</xdr:row>
      <xdr:rowOff>61584</xdr:rowOff>
    </xdr:from>
    <xdr:to>
      <xdr:col>7</xdr:col>
      <xdr:colOff>466165</xdr:colOff>
      <xdr:row>4</xdr:row>
      <xdr:rowOff>46658</xdr:rowOff>
    </xdr:to>
    <xdr:pic macro="[0]!pivot_table">
      <xdr:nvPicPr>
        <xdr:cNvPr id="9" name="Picture 8" descr="Table icon">
          <a:hlinkClick xmlns:r="http://schemas.openxmlformats.org/officeDocument/2006/relationships" r:id="rId9"/>
          <a:extLst>
            <a:ext uri="{FF2B5EF4-FFF2-40B4-BE49-F238E27FC236}">
              <a16:creationId xmlns:a16="http://schemas.microsoft.com/office/drawing/2014/main" id="{ED42E35D-2077-466A-B9F1-572E5DBD3A5E}"/>
            </a:ext>
          </a:extLst>
        </xdr:cNvPr>
        <xdr:cNvPicPr>
          <a:picLocks noChangeAspect="1" noChangeArrowheads="1"/>
        </xdr:cNvPicPr>
      </xdr:nvPicPr>
      <xdr:blipFill>
        <a:blip xmlns:r="http://schemas.openxmlformats.org/officeDocument/2006/relationships" r:embed="rId10"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218503" y="420172"/>
          <a:ext cx="343662" cy="343662"/>
        </a:xfrm>
        <a:prstGeom prst="rect">
          <a:avLst/>
        </a:prstGeom>
        <a:noFill/>
        <a:ln>
          <a:noFill/>
        </a:ln>
        <a:effectLst/>
      </xdr:spPr>
    </xdr:pic>
    <xdr:clientData/>
  </xdr:twoCellAnchor>
  <xdr:twoCellAnchor editAs="oneCell">
    <xdr:from>
      <xdr:col>8</xdr:col>
      <xdr:colOff>80682</xdr:colOff>
      <xdr:row>2</xdr:row>
      <xdr:rowOff>8965</xdr:rowOff>
    </xdr:from>
    <xdr:to>
      <xdr:col>8</xdr:col>
      <xdr:colOff>517866</xdr:colOff>
      <xdr:row>4</xdr:row>
      <xdr:rowOff>87561</xdr:rowOff>
    </xdr:to>
    <xdr:pic>
      <xdr:nvPicPr>
        <xdr:cNvPr id="10" name="Graphic 9" descr="Database with solid fill">
          <a:hlinkClick xmlns:r="http://schemas.openxmlformats.org/officeDocument/2006/relationships" r:id="rId11"/>
          <a:extLst>
            <a:ext uri="{FF2B5EF4-FFF2-40B4-BE49-F238E27FC236}">
              <a16:creationId xmlns:a16="http://schemas.microsoft.com/office/drawing/2014/main" id="{2A44302E-E197-4F06-845D-888D23D447B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786282" y="367553"/>
          <a:ext cx="437184" cy="437184"/>
        </a:xfrm>
        <a:prstGeom prst="rect">
          <a:avLst/>
        </a:prstGeom>
        <a:effectLst>
          <a:outerShdw blurRad="50800" dist="50800" dir="5400000" algn="ctr" rotWithShape="0">
            <a:schemeClr val="bg1">
              <a:alpha val="20000"/>
            </a:schemeClr>
          </a:outerShdw>
        </a:effectLst>
      </xdr:spPr>
    </xdr:pic>
    <xdr:clientData/>
  </xdr:twoCellAnchor>
  <xdr:twoCellAnchor editAs="oneCell">
    <xdr:from>
      <xdr:col>9</xdr:col>
      <xdr:colOff>71718</xdr:colOff>
      <xdr:row>2</xdr:row>
      <xdr:rowOff>44824</xdr:rowOff>
    </xdr:from>
    <xdr:to>
      <xdr:col>9</xdr:col>
      <xdr:colOff>487097</xdr:colOff>
      <xdr:row>4</xdr:row>
      <xdr:rowOff>101615</xdr:rowOff>
    </xdr:to>
    <xdr:pic>
      <xdr:nvPicPr>
        <xdr:cNvPr id="12" name="Graphic 11" descr="Presentation with bar chart with solid fill">
          <a:hlinkClick xmlns:r="http://schemas.openxmlformats.org/officeDocument/2006/relationships" r:id="rId14"/>
          <a:extLst>
            <a:ext uri="{FF2B5EF4-FFF2-40B4-BE49-F238E27FC236}">
              <a16:creationId xmlns:a16="http://schemas.microsoft.com/office/drawing/2014/main" id="{9A1989C3-DEC8-4BE5-949B-33AD0A64058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386918" y="403412"/>
          <a:ext cx="415379" cy="4153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747623</xdr:colOff>
      <xdr:row>69</xdr:row>
      <xdr:rowOff>71887</xdr:rowOff>
    </xdr:from>
    <xdr:to>
      <xdr:col>16</xdr:col>
      <xdr:colOff>100642</xdr:colOff>
      <xdr:row>88</xdr:row>
      <xdr:rowOff>71888</xdr:rowOff>
    </xdr:to>
    <xdr:graphicFrame macro="">
      <xdr:nvGraphicFramePr>
        <xdr:cNvPr id="13" name="Chart 12">
          <a:extLst>
            <a:ext uri="{FF2B5EF4-FFF2-40B4-BE49-F238E27FC236}">
              <a16:creationId xmlns:a16="http://schemas.microsoft.com/office/drawing/2014/main" id="{4BBBBC09-67F9-4437-8DEB-DB4A7E0A59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977660</xdr:colOff>
      <xdr:row>95</xdr:row>
      <xdr:rowOff>30032</xdr:rowOff>
    </xdr:from>
    <xdr:to>
      <xdr:col>16</xdr:col>
      <xdr:colOff>115019</xdr:colOff>
      <xdr:row>110</xdr:row>
      <xdr:rowOff>98612</xdr:rowOff>
    </xdr:to>
    <mc:AlternateContent xmlns:mc="http://schemas.openxmlformats.org/markup-compatibility/2006">
      <mc:Choice xmlns:cx2="http://schemas.microsoft.com/office/drawing/2015/10/21/chartex" Requires="cx2">
        <xdr:graphicFrame macro="">
          <xdr:nvGraphicFramePr>
            <xdr:cNvPr id="14" name="Chart 13">
              <a:extLst>
                <a:ext uri="{FF2B5EF4-FFF2-40B4-BE49-F238E27FC236}">
                  <a16:creationId xmlns:a16="http://schemas.microsoft.com/office/drawing/2014/main" id="{273206C9-4F29-4291-90FB-58AEA87E0E0C}"/>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287020" y="17563652"/>
              <a:ext cx="8418519" cy="28727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743318</xdr:colOff>
      <xdr:row>117</xdr:row>
      <xdr:rowOff>118572</xdr:rowOff>
    </xdr:from>
    <xdr:to>
      <xdr:col>16</xdr:col>
      <xdr:colOff>663039</xdr:colOff>
      <xdr:row>133</xdr:row>
      <xdr:rowOff>143774</xdr:rowOff>
    </xdr:to>
    <xdr:graphicFrame macro="">
      <xdr:nvGraphicFramePr>
        <xdr:cNvPr id="15" name="Chart 14">
          <a:extLst>
            <a:ext uri="{FF2B5EF4-FFF2-40B4-BE49-F238E27FC236}">
              <a16:creationId xmlns:a16="http://schemas.microsoft.com/office/drawing/2014/main" id="{2AF48E3D-5A86-47FC-B7AE-C7DA2A5D3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575094</xdr:colOff>
      <xdr:row>23</xdr:row>
      <xdr:rowOff>57510</xdr:rowOff>
    </xdr:from>
    <xdr:to>
      <xdr:col>11</xdr:col>
      <xdr:colOff>1279583</xdr:colOff>
      <xdr:row>34</xdr:row>
      <xdr:rowOff>121784</xdr:rowOff>
    </xdr:to>
    <xdr:graphicFrame macro="">
      <xdr:nvGraphicFramePr>
        <xdr:cNvPr id="16" name="Chart 15">
          <a:extLst>
            <a:ext uri="{FF2B5EF4-FFF2-40B4-BE49-F238E27FC236}">
              <a16:creationId xmlns:a16="http://schemas.microsoft.com/office/drawing/2014/main" id="{34F85B2C-E5A1-4E9F-A539-907C255C3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379208</xdr:colOff>
      <xdr:row>40</xdr:row>
      <xdr:rowOff>0</xdr:rowOff>
    </xdr:from>
    <xdr:to>
      <xdr:col>16</xdr:col>
      <xdr:colOff>301924</xdr:colOff>
      <xdr:row>61</xdr:row>
      <xdr:rowOff>0</xdr:rowOff>
    </xdr:to>
    <xdr:graphicFrame macro="">
      <xdr:nvGraphicFramePr>
        <xdr:cNvPr id="17" name="Chart 16">
          <a:extLst>
            <a:ext uri="{FF2B5EF4-FFF2-40B4-BE49-F238E27FC236}">
              <a16:creationId xmlns:a16="http://schemas.microsoft.com/office/drawing/2014/main" id="{0B40F28B-9ABE-488B-93AE-E81BE4A17C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0</xdr:colOff>
      <xdr:row>2</xdr:row>
      <xdr:rowOff>0</xdr:rowOff>
    </xdr:from>
    <xdr:to>
      <xdr:col>7</xdr:col>
      <xdr:colOff>405246</xdr:colOff>
      <xdr:row>4</xdr:row>
      <xdr:rowOff>46658</xdr:rowOff>
    </xdr:to>
    <xdr:pic>
      <xdr:nvPicPr>
        <xdr:cNvPr id="40" name="Graphic 39" descr="Playbook with solid fill">
          <a:hlinkClick xmlns:r="http://schemas.openxmlformats.org/officeDocument/2006/relationships" r:id="rId6"/>
          <a:extLst>
            <a:ext uri="{FF2B5EF4-FFF2-40B4-BE49-F238E27FC236}">
              <a16:creationId xmlns:a16="http://schemas.microsoft.com/office/drawing/2014/main" id="{19A74D32-AD5C-41C1-BC46-92BD15526E3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4267200" y="358588"/>
          <a:ext cx="405246" cy="405246"/>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747646</xdr:colOff>
      <xdr:row>1</xdr:row>
      <xdr:rowOff>137635</xdr:rowOff>
    </xdr:from>
    <xdr:to>
      <xdr:col>8</xdr:col>
      <xdr:colOff>1212912</xdr:colOff>
      <xdr:row>4</xdr:row>
      <xdr:rowOff>32849</xdr:rowOff>
    </xdr:to>
    <xdr:pic>
      <xdr:nvPicPr>
        <xdr:cNvPr id="42" name="Graphic 41" descr="Database with solid fill">
          <a:hlinkClick xmlns:r="http://schemas.openxmlformats.org/officeDocument/2006/relationships" r:id="rId9"/>
          <a:extLst>
            <a:ext uri="{FF2B5EF4-FFF2-40B4-BE49-F238E27FC236}">
              <a16:creationId xmlns:a16="http://schemas.microsoft.com/office/drawing/2014/main" id="{AA8973F2-CB27-4566-BCC4-FB8D6194CB6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783472" y="319852"/>
          <a:ext cx="450889" cy="441867"/>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834943</xdr:colOff>
      <xdr:row>1</xdr:row>
      <xdr:rowOff>162435</xdr:rowOff>
    </xdr:from>
    <xdr:to>
      <xdr:col>9</xdr:col>
      <xdr:colOff>1251941</xdr:colOff>
      <xdr:row>4</xdr:row>
      <xdr:rowOff>37008</xdr:rowOff>
    </xdr:to>
    <xdr:pic>
      <xdr:nvPicPr>
        <xdr:cNvPr id="43" name="Graphic 42" descr="Presentation with bar chart with solid fill">
          <a:hlinkClick xmlns:r="http://schemas.openxmlformats.org/officeDocument/2006/relationships" r:id="rId12"/>
          <a:extLst>
            <a:ext uri="{FF2B5EF4-FFF2-40B4-BE49-F238E27FC236}">
              <a16:creationId xmlns:a16="http://schemas.microsoft.com/office/drawing/2014/main" id="{60F121DD-FA6D-4073-A19B-4C786CE5E39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632769" y="344652"/>
          <a:ext cx="416998" cy="421226"/>
        </a:xfrm>
        <a:prstGeom prst="rect">
          <a:avLst/>
        </a:prstGeom>
        <a:effectLst>
          <a:outerShdw blurRad="50800" dist="38100" dir="2700000" algn="tl" rotWithShape="0">
            <a:prstClr val="black">
              <a:alpha val="40000"/>
            </a:prstClr>
          </a:outerShdw>
        </a:effectLst>
      </xdr:spPr>
    </xdr:pic>
    <xdr:clientData/>
  </xdr:twoCellAnchor>
  <xdr:twoCellAnchor editAs="oneCell">
    <xdr:from>
      <xdr:col>7</xdr:col>
      <xdr:colOff>704344</xdr:colOff>
      <xdr:row>1</xdr:row>
      <xdr:rowOff>165653</xdr:rowOff>
    </xdr:from>
    <xdr:to>
      <xdr:col>8</xdr:col>
      <xdr:colOff>396501</xdr:colOff>
      <xdr:row>4</xdr:row>
      <xdr:rowOff>40641</xdr:rowOff>
    </xdr:to>
    <xdr:pic>
      <xdr:nvPicPr>
        <xdr:cNvPr id="44" name="Graphic 43" descr="Pie chart with solid fill">
          <a:hlinkClick xmlns:r="http://schemas.openxmlformats.org/officeDocument/2006/relationships" r:id="rId15"/>
          <a:extLst>
            <a:ext uri="{FF2B5EF4-FFF2-40B4-BE49-F238E27FC236}">
              <a16:creationId xmlns:a16="http://schemas.microsoft.com/office/drawing/2014/main" id="{DDAA18C6-52E3-4D77-89CF-42422B66292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994735" y="347870"/>
          <a:ext cx="437592" cy="421641"/>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253378</xdr:colOff>
      <xdr:row>139</xdr:row>
      <xdr:rowOff>139271</xdr:rowOff>
    </xdr:from>
    <xdr:to>
      <xdr:col>14</xdr:col>
      <xdr:colOff>1385453</xdr:colOff>
      <xdr:row>145</xdr:row>
      <xdr:rowOff>61313</xdr:rowOff>
    </xdr:to>
    <mc:AlternateContent xmlns:mc="http://schemas.openxmlformats.org/markup-compatibility/2006" xmlns:a14="http://schemas.microsoft.com/office/drawing/2010/main">
      <mc:Choice Requires="a14">
        <xdr:graphicFrame macro="">
          <xdr:nvGraphicFramePr>
            <xdr:cNvPr id="21" name="Gender">
              <a:extLst>
                <a:ext uri="{FF2B5EF4-FFF2-40B4-BE49-F238E27FC236}">
                  <a16:creationId xmlns:a16="http://schemas.microsoft.com/office/drawing/2014/main" id="{96015FA8-1B2F-41D8-A5E2-642780ED03C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539604" y="26349196"/>
              <a:ext cx="1836566" cy="1043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268579</xdr:colOff>
      <xdr:row>139</xdr:row>
      <xdr:rowOff>172252</xdr:rowOff>
    </xdr:from>
    <xdr:to>
      <xdr:col>12</xdr:col>
      <xdr:colOff>109799</xdr:colOff>
      <xdr:row>150</xdr:row>
      <xdr:rowOff>153205</xdr:rowOff>
    </xdr:to>
    <mc:AlternateContent xmlns:mc="http://schemas.openxmlformats.org/markup-compatibility/2006" xmlns:a14="http://schemas.microsoft.com/office/drawing/2010/main">
      <mc:Choice Requires="a14">
        <xdr:graphicFrame macro="">
          <xdr:nvGraphicFramePr>
            <xdr:cNvPr id="22" name="Loan_Purpose">
              <a:extLst>
                <a:ext uri="{FF2B5EF4-FFF2-40B4-BE49-F238E27FC236}">
                  <a16:creationId xmlns:a16="http://schemas.microsoft.com/office/drawing/2014/main" id="{5B08284B-FD38-4B91-95E4-6B520D063BB4}"/>
                </a:ext>
              </a:extLst>
            </xdr:cNvPr>
            <xdr:cNvGraphicFramePr/>
          </xdr:nvGraphicFramePr>
          <xdr:xfrm>
            <a:off x="0" y="0"/>
            <a:ext cx="0" cy="0"/>
          </xdr:xfrm>
          <a:graphic>
            <a:graphicData uri="http://schemas.microsoft.com/office/drawing/2010/slicer">
              <sle:slicer xmlns:sle="http://schemas.microsoft.com/office/drawing/2010/slicer" name="Loan_Purpose"/>
            </a:graphicData>
          </a:graphic>
        </xdr:graphicFrame>
      </mc:Choice>
      <mc:Fallback xmlns="">
        <xdr:sp macro="" textlink="">
          <xdr:nvSpPr>
            <xdr:cNvPr id="0" name=""/>
            <xdr:cNvSpPr>
              <a:spLocks noTextEdit="1"/>
            </xdr:cNvSpPr>
          </xdr:nvSpPr>
          <xdr:spPr>
            <a:xfrm>
              <a:off x="9426956" y="26382177"/>
              <a:ext cx="1825296" cy="20369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1636884</xdr:colOff>
      <xdr:row>140</xdr:row>
      <xdr:rowOff>13288</xdr:rowOff>
    </xdr:from>
    <xdr:to>
      <xdr:col>15</xdr:col>
      <xdr:colOff>1688932</xdr:colOff>
      <xdr:row>145</xdr:row>
      <xdr:rowOff>72200</xdr:rowOff>
    </xdr:to>
    <mc:AlternateContent xmlns:mc="http://schemas.openxmlformats.org/markup-compatibility/2006" xmlns:a14="http://schemas.microsoft.com/office/drawing/2010/main">
      <mc:Choice Requires="a14">
        <xdr:graphicFrame macro="">
          <xdr:nvGraphicFramePr>
            <xdr:cNvPr id="23" name="Default_Status">
              <a:extLst>
                <a:ext uri="{FF2B5EF4-FFF2-40B4-BE49-F238E27FC236}">
                  <a16:creationId xmlns:a16="http://schemas.microsoft.com/office/drawing/2014/main" id="{04F36D72-6C30-4621-90CE-68ECE825C9EF}"/>
                </a:ext>
              </a:extLst>
            </xdr:cNvPr>
            <xdr:cNvGraphicFramePr/>
          </xdr:nvGraphicFramePr>
          <xdr:xfrm>
            <a:off x="0" y="0"/>
            <a:ext cx="0" cy="0"/>
          </xdr:xfrm>
          <a:graphic>
            <a:graphicData uri="http://schemas.microsoft.com/office/drawing/2010/slicer">
              <sle:slicer xmlns:sle="http://schemas.microsoft.com/office/drawing/2010/slicer" name="Default_Status"/>
            </a:graphicData>
          </a:graphic>
        </xdr:graphicFrame>
      </mc:Choice>
      <mc:Fallback xmlns="">
        <xdr:sp macro="" textlink="">
          <xdr:nvSpPr>
            <xdr:cNvPr id="0" name=""/>
            <xdr:cNvSpPr>
              <a:spLocks noTextEdit="1"/>
            </xdr:cNvSpPr>
          </xdr:nvSpPr>
          <xdr:spPr>
            <a:xfrm>
              <a:off x="12849170" y="25357210"/>
              <a:ext cx="1823450" cy="9495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997863</xdr:colOff>
      <xdr:row>139</xdr:row>
      <xdr:rowOff>177944</xdr:rowOff>
    </xdr:from>
    <xdr:to>
      <xdr:col>10</xdr:col>
      <xdr:colOff>1477794</xdr:colOff>
      <xdr:row>150</xdr:row>
      <xdr:rowOff>149190</xdr:rowOff>
    </xdr:to>
    <mc:AlternateContent xmlns:mc="http://schemas.openxmlformats.org/markup-compatibility/2006" xmlns:a14="http://schemas.microsoft.com/office/drawing/2010/main">
      <mc:Choice Requires="a14">
        <xdr:graphicFrame macro="">
          <xdr:nvGraphicFramePr>
            <xdr:cNvPr id="24" name="Risk_category">
              <a:extLst>
                <a:ext uri="{FF2B5EF4-FFF2-40B4-BE49-F238E27FC236}">
                  <a16:creationId xmlns:a16="http://schemas.microsoft.com/office/drawing/2014/main" id="{9512AC05-69BC-48F2-8C9E-9E344616663B}"/>
                </a:ext>
              </a:extLst>
            </xdr:cNvPr>
            <xdr:cNvGraphicFramePr/>
          </xdr:nvGraphicFramePr>
          <xdr:xfrm>
            <a:off x="0" y="0"/>
            <a:ext cx="0" cy="0"/>
          </xdr:xfrm>
          <a:graphic>
            <a:graphicData uri="http://schemas.microsoft.com/office/drawing/2010/slicer">
              <sle:slicer xmlns:sle="http://schemas.microsoft.com/office/drawing/2010/slicer" name="Risk_category"/>
            </a:graphicData>
          </a:graphic>
        </xdr:graphicFrame>
      </mc:Choice>
      <mc:Fallback xmlns="">
        <xdr:sp macro="" textlink="">
          <xdr:nvSpPr>
            <xdr:cNvPr id="0" name=""/>
            <xdr:cNvSpPr>
              <a:spLocks noTextEdit="1"/>
            </xdr:cNvSpPr>
          </xdr:nvSpPr>
          <xdr:spPr>
            <a:xfrm>
              <a:off x="7266391" y="26387869"/>
              <a:ext cx="1831403" cy="20272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481435</xdr:colOff>
      <xdr:row>140</xdr:row>
      <xdr:rowOff>12847</xdr:rowOff>
    </xdr:from>
    <xdr:to>
      <xdr:col>9</xdr:col>
      <xdr:colOff>290178</xdr:colOff>
      <xdr:row>151</xdr:row>
      <xdr:rowOff>11372</xdr:rowOff>
    </xdr:to>
    <mc:AlternateContent xmlns:mc="http://schemas.openxmlformats.org/markup-compatibility/2006" xmlns:a14="http://schemas.microsoft.com/office/drawing/2010/main">
      <mc:Choice Requires="a14">
        <xdr:graphicFrame macro="">
          <xdr:nvGraphicFramePr>
            <xdr:cNvPr id="25" name="Years">
              <a:extLst>
                <a:ext uri="{FF2B5EF4-FFF2-40B4-BE49-F238E27FC236}">
                  <a16:creationId xmlns:a16="http://schemas.microsoft.com/office/drawing/2014/main" id="{F1D9D5F6-7C0F-43B6-AE38-A9655942D5AB}"/>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4776344" y="25356769"/>
              <a:ext cx="1828384" cy="19579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304800</xdr:colOff>
      <xdr:row>2</xdr:row>
      <xdr:rowOff>121920</xdr:rowOff>
    </xdr:to>
    <xdr:sp macro="" textlink="">
      <xdr:nvSpPr>
        <xdr:cNvPr id="1026" name="AutoShape 2" descr="Table Icon PNG Transparent Background, Free Download #24160 ...">
          <a:extLst>
            <a:ext uri="{FF2B5EF4-FFF2-40B4-BE49-F238E27FC236}">
              <a16:creationId xmlns:a16="http://schemas.microsoft.com/office/drawing/2014/main" id="{D5E2C840-396D-4BCF-8EF2-D3197F714CF9}"/>
            </a:ext>
          </a:extLst>
        </xdr:cNvPr>
        <xdr:cNvSpPr>
          <a:spLocks noChangeAspect="1" noChangeArrowheads="1"/>
        </xdr:cNvSpPr>
      </xdr:nvSpPr>
      <xdr:spPr bwMode="auto">
        <a:xfrm>
          <a:off x="1828800" y="36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624664</xdr:colOff>
      <xdr:row>0</xdr:row>
      <xdr:rowOff>179756</xdr:rowOff>
    </xdr:from>
    <xdr:to>
      <xdr:col>3</xdr:col>
      <xdr:colOff>62346</xdr:colOff>
      <xdr:row>3</xdr:row>
      <xdr:rowOff>0</xdr:rowOff>
    </xdr:to>
    <xdr:pic>
      <xdr:nvPicPr>
        <xdr:cNvPr id="8" name="Graphic 7" descr="Pie chart with solid fill">
          <a:hlinkClick xmlns:r="http://schemas.openxmlformats.org/officeDocument/2006/relationships" r:id="rId1"/>
          <a:extLst>
            <a:ext uri="{FF2B5EF4-FFF2-40B4-BE49-F238E27FC236}">
              <a16:creationId xmlns:a16="http://schemas.microsoft.com/office/drawing/2014/main" id="{357AFDB1-09C0-449F-A88D-9A46953853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3864" y="179756"/>
          <a:ext cx="390182" cy="368884"/>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45720</xdr:colOff>
      <xdr:row>1</xdr:row>
      <xdr:rowOff>6234</xdr:rowOff>
    </xdr:from>
    <xdr:to>
      <xdr:col>2</xdr:col>
      <xdr:colOff>405246</xdr:colOff>
      <xdr:row>3</xdr:row>
      <xdr:rowOff>0</xdr:rowOff>
    </xdr:to>
    <xdr:pic>
      <xdr:nvPicPr>
        <xdr:cNvPr id="9" name="Graphic 8" descr="Playbook with solid fill">
          <a:hlinkClick xmlns:r="http://schemas.openxmlformats.org/officeDocument/2006/relationships" r:id="rId4"/>
          <a:extLst>
            <a:ext uri="{FF2B5EF4-FFF2-40B4-BE49-F238E27FC236}">
              <a16:creationId xmlns:a16="http://schemas.microsoft.com/office/drawing/2014/main" id="{39ACAA57-56D6-40DD-90AC-3F4DE5EF3E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264920" y="189114"/>
          <a:ext cx="359526" cy="359526"/>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327213</xdr:colOff>
      <xdr:row>1</xdr:row>
      <xdr:rowOff>38772</xdr:rowOff>
    </xdr:from>
    <xdr:to>
      <xdr:col>3</xdr:col>
      <xdr:colOff>632103</xdr:colOff>
      <xdr:row>2</xdr:row>
      <xdr:rowOff>160782</xdr:rowOff>
    </xdr:to>
    <xdr:pic macro="[0]!pivot_table">
      <xdr:nvPicPr>
        <xdr:cNvPr id="10" name="Picture 9" descr="Table icon">
          <a:hlinkClick xmlns:r="http://schemas.openxmlformats.org/officeDocument/2006/relationships" r:id="rId7"/>
          <a:extLst>
            <a:ext uri="{FF2B5EF4-FFF2-40B4-BE49-F238E27FC236}">
              <a16:creationId xmlns:a16="http://schemas.microsoft.com/office/drawing/2014/main" id="{86BFF75E-074E-4077-87EA-79E4D41C234B}"/>
            </a:ext>
          </a:extLst>
        </xdr:cNvPr>
        <xdr:cNvPicPr>
          <a:picLocks noChangeAspect="1" noChangeArrowheads="1"/>
        </xdr:cNvPicPr>
      </xdr:nvPicPr>
      <xdr:blipFill>
        <a:blip xmlns:r="http://schemas.openxmlformats.org/officeDocument/2006/relationships" r:embed="rId8"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498913" y="221652"/>
          <a:ext cx="304890" cy="304890"/>
        </a:xfrm>
        <a:prstGeom prst="rect">
          <a:avLst/>
        </a:prstGeom>
        <a:noFill/>
        <a:ln>
          <a:noFill/>
        </a:ln>
        <a:effectLst>
          <a:outerShdw blurRad="50800" dist="38100" dir="2700000" algn="tl" rotWithShape="0">
            <a:prstClr val="black">
              <a:alpha val="40000"/>
            </a:prstClr>
          </a:outerShdw>
        </a:effectLst>
      </xdr:spPr>
    </xdr:pic>
    <xdr:clientData/>
  </xdr:twoCellAnchor>
  <xdr:twoCellAnchor editAs="oneCell">
    <xdr:from>
      <xdr:col>3</xdr:col>
      <xdr:colOff>953127</xdr:colOff>
      <xdr:row>1</xdr:row>
      <xdr:rowOff>27982</xdr:rowOff>
    </xdr:from>
    <xdr:to>
      <xdr:col>3</xdr:col>
      <xdr:colOff>1321643</xdr:colOff>
      <xdr:row>3</xdr:row>
      <xdr:rowOff>30738</xdr:rowOff>
    </xdr:to>
    <xdr:pic>
      <xdr:nvPicPr>
        <xdr:cNvPr id="11" name="Graphic 10" descr="Presentation with bar chart with solid fill">
          <a:hlinkClick xmlns:r="http://schemas.openxmlformats.org/officeDocument/2006/relationships" r:id="rId9"/>
          <a:extLst>
            <a:ext uri="{FF2B5EF4-FFF2-40B4-BE49-F238E27FC236}">
              <a16:creationId xmlns:a16="http://schemas.microsoft.com/office/drawing/2014/main" id="{DFBE76D5-52B7-40DC-8254-145B88E6498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124827" y="210862"/>
          <a:ext cx="368516" cy="368516"/>
        </a:xfrm>
        <a:prstGeom prst="rect">
          <a:avLst/>
        </a:prstGeom>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304799</xdr:colOff>
      <xdr:row>12</xdr:row>
      <xdr:rowOff>143436</xdr:rowOff>
    </xdr:from>
    <xdr:to>
      <xdr:col>23</xdr:col>
      <xdr:colOff>484094</xdr:colOff>
      <xdr:row>47</xdr:row>
      <xdr:rowOff>140460</xdr:rowOff>
    </xdr:to>
    <xdr:pic>
      <xdr:nvPicPr>
        <xdr:cNvPr id="63" name="Graphic 62" descr="Dollar with solid fill">
          <a:extLst>
            <a:ext uri="{FF2B5EF4-FFF2-40B4-BE49-F238E27FC236}">
              <a16:creationId xmlns:a16="http://schemas.microsoft.com/office/drawing/2014/main" id="{9AF361EB-AAAD-44AF-8B39-87DC25BDAB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l="875" r="875"/>
        <a:stretch/>
      </xdr:blipFill>
      <xdr:spPr>
        <a:xfrm>
          <a:off x="8229599" y="2294965"/>
          <a:ext cx="6275295" cy="6272319"/>
        </a:xfrm>
        <a:prstGeom prst="rect">
          <a:avLst/>
        </a:prstGeom>
        <a:effectLst>
          <a:outerShdw blurRad="50800" dist="38100" dir="2700000" algn="tl" rotWithShape="0">
            <a:schemeClr val="tx1">
              <a:alpha val="50000"/>
            </a:schemeClr>
          </a:outerShdw>
        </a:effectLst>
      </xdr:spPr>
    </xdr:pic>
    <xdr:clientData/>
  </xdr:twoCellAnchor>
  <xdr:twoCellAnchor>
    <xdr:from>
      <xdr:col>4</xdr:col>
      <xdr:colOff>197224</xdr:colOff>
      <xdr:row>12</xdr:row>
      <xdr:rowOff>143436</xdr:rowOff>
    </xdr:from>
    <xdr:to>
      <xdr:col>13</xdr:col>
      <xdr:colOff>367553</xdr:colOff>
      <xdr:row>47</xdr:row>
      <xdr:rowOff>161364</xdr:rowOff>
    </xdr:to>
    <xdr:pic>
      <xdr:nvPicPr>
        <xdr:cNvPr id="56" name="Graphic 55" descr="Dollar with solid fill">
          <a:extLst>
            <a:ext uri="{FF2B5EF4-FFF2-40B4-BE49-F238E27FC236}">
              <a16:creationId xmlns:a16="http://schemas.microsoft.com/office/drawing/2014/main" id="{595E1F1C-7B6A-400E-A739-5CE0751AD0C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l="875" r="875"/>
        <a:stretch/>
      </xdr:blipFill>
      <xdr:spPr>
        <a:xfrm>
          <a:off x="2635624" y="2294965"/>
          <a:ext cx="5656729" cy="6293223"/>
        </a:xfrm>
        <a:prstGeom prst="rect">
          <a:avLst/>
        </a:prstGeom>
        <a:effectLst>
          <a:outerShdw blurRad="50800" dist="38100" dir="2700000" algn="tl" rotWithShape="0">
            <a:schemeClr val="tx1">
              <a:alpha val="50000"/>
            </a:schemeClr>
          </a:outerShdw>
        </a:effectLst>
      </xdr:spPr>
    </xdr:pic>
    <xdr:clientData/>
  </xdr:twoCellAnchor>
  <xdr:twoCellAnchor>
    <xdr:from>
      <xdr:col>0</xdr:col>
      <xdr:colOff>0</xdr:colOff>
      <xdr:row>0</xdr:row>
      <xdr:rowOff>20752</xdr:rowOff>
    </xdr:from>
    <xdr:to>
      <xdr:col>23</xdr:col>
      <xdr:colOff>526815</xdr:colOff>
      <xdr:row>4</xdr:row>
      <xdr:rowOff>91440</xdr:rowOff>
    </xdr:to>
    <xdr:sp macro="" textlink="'Data Analysis'!F7">
      <xdr:nvSpPr>
        <xdr:cNvPr id="57" name="Rectangle: Rounded Corners 56">
          <a:extLst>
            <a:ext uri="{FF2B5EF4-FFF2-40B4-BE49-F238E27FC236}">
              <a16:creationId xmlns:a16="http://schemas.microsoft.com/office/drawing/2014/main" id="{FA0E9914-3C2F-44DC-B1AE-1AF45874B1A0}"/>
            </a:ext>
          </a:extLst>
        </xdr:cNvPr>
        <xdr:cNvSpPr/>
      </xdr:nvSpPr>
      <xdr:spPr>
        <a:xfrm>
          <a:off x="0" y="20752"/>
          <a:ext cx="14590889" cy="785651"/>
        </a:xfrm>
        <a:prstGeom prst="roundRect">
          <a:avLst>
            <a:gd name="adj" fmla="val 7168"/>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2400" b="1">
              <a:solidFill>
                <a:schemeClr val="bg1"/>
              </a:solidFill>
              <a:latin typeface="Segoe UI" panose="020B0502040204020203" pitchFamily="34" charset="0"/>
              <a:cs typeface="Segoe UI" panose="020B0502040204020203" pitchFamily="34" charset="0"/>
            </a:rPr>
            <a:t>LOAN</a:t>
          </a:r>
          <a:r>
            <a:rPr lang="en-IN" sz="2400" b="1" baseline="0">
              <a:solidFill>
                <a:schemeClr val="bg1"/>
              </a:solidFill>
              <a:latin typeface="Segoe UI" panose="020B0502040204020203" pitchFamily="34" charset="0"/>
              <a:cs typeface="Segoe UI" panose="020B0502040204020203" pitchFamily="34" charset="0"/>
            </a:rPr>
            <a:t> DEFAULT PREDICTION SUMMARY</a:t>
          </a:r>
          <a:endParaRPr lang="en-IN" sz="24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4</xdr:col>
      <xdr:colOff>587263</xdr:colOff>
      <xdr:row>5</xdr:row>
      <xdr:rowOff>5695</xdr:rowOff>
    </xdr:from>
    <xdr:to>
      <xdr:col>23</xdr:col>
      <xdr:colOff>517399</xdr:colOff>
      <xdr:row>8</xdr:row>
      <xdr:rowOff>129681</xdr:rowOff>
    </xdr:to>
    <xdr:grpSp>
      <xdr:nvGrpSpPr>
        <xdr:cNvPr id="37" name="Group 36">
          <a:extLst>
            <a:ext uri="{FF2B5EF4-FFF2-40B4-BE49-F238E27FC236}">
              <a16:creationId xmlns:a16="http://schemas.microsoft.com/office/drawing/2014/main" id="{EBE85B29-4C7C-44D9-8BB4-A7C7A49D5DDB}"/>
            </a:ext>
          </a:extLst>
        </xdr:cNvPr>
        <xdr:cNvGrpSpPr/>
      </xdr:nvGrpSpPr>
      <xdr:grpSpPr>
        <a:xfrm>
          <a:off x="3025663" y="910570"/>
          <a:ext cx="11512536" cy="666911"/>
          <a:chOff x="2659380" y="836238"/>
          <a:chExt cx="9311740" cy="672522"/>
        </a:xfrm>
      </xdr:grpSpPr>
      <xdr:grpSp>
        <xdr:nvGrpSpPr>
          <xdr:cNvPr id="21" name="Group 20">
            <a:extLst>
              <a:ext uri="{FF2B5EF4-FFF2-40B4-BE49-F238E27FC236}">
                <a16:creationId xmlns:a16="http://schemas.microsoft.com/office/drawing/2014/main" id="{53190BBF-469B-45F2-81A1-E7CF09D8FDF6}"/>
              </a:ext>
            </a:extLst>
          </xdr:cNvPr>
          <xdr:cNvGrpSpPr/>
        </xdr:nvGrpSpPr>
        <xdr:grpSpPr>
          <a:xfrm>
            <a:off x="6267698" y="836238"/>
            <a:ext cx="1992382" cy="670560"/>
            <a:chOff x="6328658" y="836238"/>
            <a:chExt cx="1992382" cy="670560"/>
          </a:xfrm>
        </xdr:grpSpPr>
        <xdr:sp macro="" textlink="'Data Analysis'!H7">
          <xdr:nvSpPr>
            <xdr:cNvPr id="19" name="Rectangle: Rounded Corners 18">
              <a:extLst>
                <a:ext uri="{FF2B5EF4-FFF2-40B4-BE49-F238E27FC236}">
                  <a16:creationId xmlns:a16="http://schemas.microsoft.com/office/drawing/2014/main" id="{10CA61D6-3EC7-4485-8EEC-4D3B3E5AA278}"/>
                </a:ext>
              </a:extLst>
            </xdr:cNvPr>
            <xdr:cNvSpPr/>
          </xdr:nvSpPr>
          <xdr:spPr>
            <a:xfrm>
              <a:off x="6328658" y="836238"/>
              <a:ext cx="1992382" cy="670560"/>
            </a:xfrm>
            <a:prstGeom prst="roundRect">
              <a:avLst>
                <a:gd name="adj" fmla="val 6083"/>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200" b="1" i="0" u="none" strike="noStrike" baseline="0">
                  <a:solidFill>
                    <a:srgbClr val="FFC000"/>
                  </a:solidFill>
                  <a:effectLst/>
                  <a:latin typeface="Arial Rounded MT Bold" panose="020F0704030504030204" pitchFamily="34" charset="0"/>
                  <a:ea typeface="Calibri"/>
                  <a:cs typeface="Segoe UI" panose="020B0502040204020203" pitchFamily="34" charset="0"/>
                </a:rPr>
                <a:t>Average Cerdit Score</a:t>
              </a:r>
            </a:p>
            <a:p>
              <a:pPr algn="r"/>
              <a:fld id="{4B744712-A790-4B0D-82B6-B7A5C67AB283}" type="TxLink">
                <a:rPr lang="en-US" sz="1800" b="1" i="0" u="none" strike="noStrike" baseline="0">
                  <a:solidFill>
                    <a:schemeClr val="bg1"/>
                  </a:solidFill>
                  <a:effectLst/>
                  <a:latin typeface="Segoe UI" panose="020B0502040204020203" pitchFamily="34" charset="0"/>
                  <a:ea typeface="Calibri"/>
                  <a:cs typeface="Segoe UI" panose="020B0502040204020203" pitchFamily="34" charset="0"/>
                </a:rPr>
                <a:pPr algn="r"/>
                <a:t>576</a:t>
              </a:fld>
              <a:endParaRPr lang="en-US" sz="1800" b="1" i="0" u="none" strike="noStrike" baseline="0">
                <a:solidFill>
                  <a:schemeClr val="bg1"/>
                </a:solidFill>
                <a:effectLst/>
                <a:latin typeface="Segoe UI" panose="020B0502040204020203" pitchFamily="34" charset="0"/>
                <a:ea typeface="Calibri"/>
                <a:cs typeface="Segoe UI" panose="020B0502040204020203" pitchFamily="34" charset="0"/>
              </a:endParaRPr>
            </a:p>
          </xdr:txBody>
        </xdr:sp>
        <xdr:pic>
          <xdr:nvPicPr>
            <xdr:cNvPr id="20" name="Graphic 19" descr="Gauge with solid fill">
              <a:extLst>
                <a:ext uri="{FF2B5EF4-FFF2-40B4-BE49-F238E27FC236}">
                  <a16:creationId xmlns:a16="http://schemas.microsoft.com/office/drawing/2014/main" id="{8BD24A48-DA34-4726-BCA8-EBA25783035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l="875" r="875"/>
            <a:stretch/>
          </xdr:blipFill>
          <xdr:spPr>
            <a:xfrm>
              <a:off x="6393179" y="906780"/>
              <a:ext cx="491600" cy="500352"/>
            </a:xfrm>
            <a:prstGeom prst="rect">
              <a:avLst/>
            </a:prstGeom>
            <a:effectLst>
              <a:outerShdw blurRad="50800" dist="38100" dir="2700000" algn="tl" rotWithShape="0">
                <a:schemeClr val="bg1"/>
              </a:outerShdw>
            </a:effectLst>
          </xdr:spPr>
        </xdr:pic>
      </xdr:grpSp>
      <xdr:grpSp>
        <xdr:nvGrpSpPr>
          <xdr:cNvPr id="29" name="Group 28">
            <a:extLst>
              <a:ext uri="{FF2B5EF4-FFF2-40B4-BE49-F238E27FC236}">
                <a16:creationId xmlns:a16="http://schemas.microsoft.com/office/drawing/2014/main" id="{DB48AE6A-5659-44F0-AFD5-E64D3509ADBE}"/>
              </a:ext>
            </a:extLst>
          </xdr:cNvPr>
          <xdr:cNvGrpSpPr/>
        </xdr:nvGrpSpPr>
        <xdr:grpSpPr>
          <a:xfrm>
            <a:off x="10275819" y="836238"/>
            <a:ext cx="1695301" cy="670560"/>
            <a:chOff x="10275819" y="836238"/>
            <a:chExt cx="1695301" cy="670560"/>
          </a:xfrm>
        </xdr:grpSpPr>
        <xdr:sp macro="" textlink="'Data Analysis'!J7">
          <xdr:nvSpPr>
            <xdr:cNvPr id="25" name="Rectangle: Rounded Corners 24">
              <a:extLst>
                <a:ext uri="{FF2B5EF4-FFF2-40B4-BE49-F238E27FC236}">
                  <a16:creationId xmlns:a16="http://schemas.microsoft.com/office/drawing/2014/main" id="{7C84B839-CE0E-4929-8D54-D8E8702F78DF}"/>
                </a:ext>
              </a:extLst>
            </xdr:cNvPr>
            <xdr:cNvSpPr/>
          </xdr:nvSpPr>
          <xdr:spPr>
            <a:xfrm>
              <a:off x="10275819" y="836238"/>
              <a:ext cx="1695301" cy="670560"/>
            </a:xfrm>
            <a:prstGeom prst="roundRect">
              <a:avLst>
                <a:gd name="adj" fmla="val 6083"/>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200" b="1" i="0" u="none" strike="noStrike">
                  <a:solidFill>
                    <a:srgbClr val="FFC000"/>
                  </a:solidFill>
                  <a:effectLst/>
                  <a:latin typeface="Arial Rounded MT Bold" panose="020F0704030504030204" pitchFamily="34" charset="0"/>
                  <a:ea typeface="Calibri"/>
                  <a:cs typeface="Segoe UI" panose="020B0502040204020203" pitchFamily="34" charset="0"/>
                </a:rPr>
                <a:t>Debt - Equity Ratio</a:t>
              </a:r>
            </a:p>
            <a:p>
              <a:pPr algn="r"/>
              <a:fld id="{68520D1B-05FB-41F6-ADEA-B659FFD9A434}" type="TxLink">
                <a:rPr lang="en-US" sz="1800" b="1" i="0" u="none" strike="noStrike">
                  <a:solidFill>
                    <a:schemeClr val="bg1"/>
                  </a:solidFill>
                  <a:effectLst/>
                  <a:latin typeface="Segoe UI" panose="020B0502040204020203" pitchFamily="34" charset="0"/>
                  <a:ea typeface="Calibri"/>
                  <a:cs typeface="Segoe UI" panose="020B0502040204020203" pitchFamily="34" charset="0"/>
                </a:rPr>
                <a:pPr algn="r"/>
                <a:t>0.56</a:t>
              </a:fld>
              <a:endParaRPr lang="en-IN" sz="1800" b="1">
                <a:solidFill>
                  <a:schemeClr val="bg1"/>
                </a:solidFill>
                <a:latin typeface="Segoe UI" panose="020B0502040204020203" pitchFamily="34" charset="0"/>
                <a:cs typeface="Segoe UI" panose="020B0502040204020203" pitchFamily="34" charset="0"/>
              </a:endParaRPr>
            </a:p>
          </xdr:txBody>
        </xdr:sp>
        <xdr:pic>
          <xdr:nvPicPr>
            <xdr:cNvPr id="8" name="Graphic 7" descr="Research with solid fill">
              <a:extLst>
                <a:ext uri="{FF2B5EF4-FFF2-40B4-BE49-F238E27FC236}">
                  <a16:creationId xmlns:a16="http://schemas.microsoft.com/office/drawing/2014/main" id="{F297E3B2-F1FC-45D1-BFE7-19C1B0DE3C4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l="875" r="875"/>
            <a:stretch/>
          </xdr:blipFill>
          <xdr:spPr>
            <a:xfrm>
              <a:off x="10320563" y="898218"/>
              <a:ext cx="491600" cy="500352"/>
            </a:xfrm>
            <a:prstGeom prst="rect">
              <a:avLst/>
            </a:prstGeom>
            <a:effectLst>
              <a:outerShdw blurRad="50800" dist="38100" dir="2700000" algn="tl" rotWithShape="0">
                <a:schemeClr val="tx1">
                  <a:alpha val="64000"/>
                </a:schemeClr>
              </a:outerShdw>
            </a:effectLst>
          </xdr:spPr>
        </xdr:pic>
      </xdr:grpSp>
      <xdr:grpSp>
        <xdr:nvGrpSpPr>
          <xdr:cNvPr id="31" name="Group 30">
            <a:extLst>
              <a:ext uri="{FF2B5EF4-FFF2-40B4-BE49-F238E27FC236}">
                <a16:creationId xmlns:a16="http://schemas.microsoft.com/office/drawing/2014/main" id="{5F70852E-52F3-45D4-BD56-B8BA2E80B1DC}"/>
              </a:ext>
            </a:extLst>
          </xdr:cNvPr>
          <xdr:cNvGrpSpPr/>
        </xdr:nvGrpSpPr>
        <xdr:grpSpPr>
          <a:xfrm>
            <a:off x="8271758" y="836238"/>
            <a:ext cx="1992382" cy="670560"/>
            <a:chOff x="8271758" y="836238"/>
            <a:chExt cx="1992382" cy="670560"/>
          </a:xfrm>
        </xdr:grpSpPr>
        <xdr:sp macro="" textlink="'Data Analysis'!I7">
          <xdr:nvSpPr>
            <xdr:cNvPr id="23" name="Rectangle: Rounded Corners 22">
              <a:extLst>
                <a:ext uri="{FF2B5EF4-FFF2-40B4-BE49-F238E27FC236}">
                  <a16:creationId xmlns:a16="http://schemas.microsoft.com/office/drawing/2014/main" id="{23F41FF8-713A-44AA-977C-2C6774047D9D}"/>
                </a:ext>
              </a:extLst>
            </xdr:cNvPr>
            <xdr:cNvSpPr/>
          </xdr:nvSpPr>
          <xdr:spPr>
            <a:xfrm>
              <a:off x="8271758" y="836238"/>
              <a:ext cx="1992382" cy="670560"/>
            </a:xfrm>
            <a:prstGeom prst="roundRect">
              <a:avLst>
                <a:gd name="adj" fmla="val 6083"/>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200" b="1" i="0" u="none" strike="noStrike">
                  <a:solidFill>
                    <a:srgbClr val="FFC000"/>
                  </a:solidFill>
                  <a:latin typeface="Arial Rounded MT Bold" panose="020F0704030504030204" pitchFamily="34" charset="0"/>
                  <a:ea typeface="Calibri"/>
                  <a:cs typeface="Segoe UI" panose="020B0502040204020203" pitchFamily="34" charset="0"/>
                </a:rPr>
                <a:t>Average Annual</a:t>
              </a:r>
              <a:r>
                <a:rPr lang="en-US" sz="1200" b="1" i="0" u="none" strike="noStrike" baseline="0">
                  <a:solidFill>
                    <a:srgbClr val="FFC000"/>
                  </a:solidFill>
                  <a:latin typeface="Arial Rounded MT Bold" panose="020F0704030504030204" pitchFamily="34" charset="0"/>
                  <a:ea typeface="Calibri"/>
                  <a:cs typeface="Segoe UI" panose="020B0502040204020203" pitchFamily="34" charset="0"/>
                </a:rPr>
                <a:t> Income</a:t>
              </a:r>
            </a:p>
            <a:p>
              <a:pPr algn="r"/>
              <a:fld id="{E84502C3-EEEF-42F0-BF83-8C15ECC5276F}" type="TxLink">
                <a:rPr lang="en-US" sz="1800" b="1" i="0" u="none" strike="noStrike">
                  <a:solidFill>
                    <a:schemeClr val="bg1"/>
                  </a:solidFill>
                  <a:latin typeface="Segoe UI" panose="020B0502040204020203" pitchFamily="34" charset="0"/>
                  <a:ea typeface="Calibri"/>
                  <a:cs typeface="Segoe UI" panose="020B0502040204020203" pitchFamily="34" charset="0"/>
                </a:rPr>
                <a:pPr algn="r"/>
                <a:t>$84,959</a:t>
              </a:fld>
              <a:endParaRPr lang="en-US" sz="1800" b="1">
                <a:solidFill>
                  <a:schemeClr val="bg1"/>
                </a:solidFill>
                <a:latin typeface="Segoe UI" panose="020B0502040204020203" pitchFamily="34" charset="0"/>
                <a:cs typeface="Segoe UI" panose="020B0502040204020203" pitchFamily="34" charset="0"/>
              </a:endParaRPr>
            </a:p>
          </xdr:txBody>
        </xdr:sp>
        <xdr:pic>
          <xdr:nvPicPr>
            <xdr:cNvPr id="30" name="Graphic 29" descr="Dollar with solid fill">
              <a:extLst>
                <a:ext uri="{FF2B5EF4-FFF2-40B4-BE49-F238E27FC236}">
                  <a16:creationId xmlns:a16="http://schemas.microsoft.com/office/drawing/2014/main" id="{AD7B7ACE-92E4-4B90-B681-FDEA9F79885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l="875" r="875"/>
            <a:stretch/>
          </xdr:blipFill>
          <xdr:spPr>
            <a:xfrm>
              <a:off x="8325098" y="1008374"/>
              <a:ext cx="369322" cy="375897"/>
            </a:xfrm>
            <a:prstGeom prst="rect">
              <a:avLst/>
            </a:prstGeom>
            <a:effectLst>
              <a:outerShdw blurRad="50800" dist="38100" dir="2700000" algn="tl" rotWithShape="0">
                <a:schemeClr val="tx1">
                  <a:alpha val="50000"/>
                </a:schemeClr>
              </a:outerShdw>
            </a:effectLst>
          </xdr:spPr>
        </xdr:pic>
      </xdr:grpSp>
      <xdr:grpSp>
        <xdr:nvGrpSpPr>
          <xdr:cNvPr id="33" name="Group 32">
            <a:extLst>
              <a:ext uri="{FF2B5EF4-FFF2-40B4-BE49-F238E27FC236}">
                <a16:creationId xmlns:a16="http://schemas.microsoft.com/office/drawing/2014/main" id="{1928FE74-40EA-40F8-B62E-A5EC2AC2752C}"/>
              </a:ext>
            </a:extLst>
          </xdr:cNvPr>
          <xdr:cNvGrpSpPr/>
        </xdr:nvGrpSpPr>
        <xdr:grpSpPr>
          <a:xfrm>
            <a:off x="4263638" y="838200"/>
            <a:ext cx="1992382" cy="670560"/>
            <a:chOff x="4263638" y="838200"/>
            <a:chExt cx="1992382" cy="670560"/>
          </a:xfrm>
        </xdr:grpSpPr>
        <xdr:sp macro="" textlink="'Data Analysis'!G7">
          <xdr:nvSpPr>
            <xdr:cNvPr id="14" name="Rectangle: Rounded Corners 13">
              <a:extLst>
                <a:ext uri="{FF2B5EF4-FFF2-40B4-BE49-F238E27FC236}">
                  <a16:creationId xmlns:a16="http://schemas.microsoft.com/office/drawing/2014/main" id="{D617C0D3-C027-4297-A2AB-C128D61CEF0C}"/>
                </a:ext>
              </a:extLst>
            </xdr:cNvPr>
            <xdr:cNvSpPr/>
          </xdr:nvSpPr>
          <xdr:spPr>
            <a:xfrm>
              <a:off x="4263638" y="838200"/>
              <a:ext cx="1992382" cy="670560"/>
            </a:xfrm>
            <a:prstGeom prst="roundRect">
              <a:avLst>
                <a:gd name="adj" fmla="val 6083"/>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200" b="1" i="0" u="none" strike="noStrike">
                  <a:solidFill>
                    <a:srgbClr val="FFC000"/>
                  </a:solidFill>
                  <a:effectLst/>
                  <a:latin typeface="Arial Rounded MT Bold" panose="020F0704030504030204" pitchFamily="34" charset="0"/>
                  <a:ea typeface="Calibri"/>
                  <a:cs typeface="Segoe UI" panose="020B0502040204020203" pitchFamily="34" charset="0"/>
                </a:rPr>
                <a:t>Total</a:t>
              </a:r>
              <a:r>
                <a:rPr lang="en-US" sz="1200" b="1" i="0" u="none" strike="noStrike" baseline="0">
                  <a:solidFill>
                    <a:srgbClr val="FFC000"/>
                  </a:solidFill>
                  <a:effectLst/>
                  <a:latin typeface="Arial Rounded MT Bold" panose="020F0704030504030204" pitchFamily="34" charset="0"/>
                  <a:ea typeface="Calibri"/>
                  <a:cs typeface="Segoe UI" panose="020B0502040204020203" pitchFamily="34" charset="0"/>
                </a:rPr>
                <a:t> Loan Portfolio</a:t>
              </a:r>
            </a:p>
            <a:p>
              <a:pPr algn="r"/>
              <a:fld id="{D8B746CA-E7EE-4E10-88A5-2F14F32E896E}" type="TxLink">
                <a:rPr lang="en-US" sz="1800" b="1" i="0" u="none" strike="noStrike">
                  <a:solidFill>
                    <a:schemeClr val="bg1"/>
                  </a:solidFill>
                  <a:effectLst/>
                  <a:latin typeface="Segoe UI" panose="020B0502040204020203" pitchFamily="34" charset="0"/>
                  <a:ea typeface="Calibri"/>
                  <a:cs typeface="Segoe UI" panose="020B0502040204020203" pitchFamily="34" charset="0"/>
                </a:rPr>
                <a:pPr algn="r"/>
                <a:t>$19,94,72,825</a:t>
              </a:fld>
              <a:endParaRPr lang="en-IN" sz="1800" b="1">
                <a:solidFill>
                  <a:schemeClr val="bg1"/>
                </a:solidFill>
                <a:latin typeface="Segoe UI" panose="020B0502040204020203" pitchFamily="34" charset="0"/>
                <a:cs typeface="Segoe UI" panose="020B0502040204020203" pitchFamily="34" charset="0"/>
              </a:endParaRPr>
            </a:p>
          </xdr:txBody>
        </xdr:sp>
        <xdr:pic>
          <xdr:nvPicPr>
            <xdr:cNvPr id="32" name="Graphic 31" descr="Dollar with solid fill">
              <a:extLst>
                <a:ext uri="{FF2B5EF4-FFF2-40B4-BE49-F238E27FC236}">
                  <a16:creationId xmlns:a16="http://schemas.microsoft.com/office/drawing/2014/main" id="{32A3AC16-A8EC-4500-AEDD-FA018BF1A36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l="875" r="875"/>
            <a:stretch/>
          </xdr:blipFill>
          <xdr:spPr>
            <a:xfrm>
              <a:off x="4309358" y="967740"/>
              <a:ext cx="369322" cy="375897"/>
            </a:xfrm>
            <a:prstGeom prst="rect">
              <a:avLst/>
            </a:prstGeom>
            <a:effectLst>
              <a:outerShdw blurRad="50800" dist="38100" dir="2700000" algn="tl" rotWithShape="0">
                <a:schemeClr val="tx1">
                  <a:alpha val="50000"/>
                </a:schemeClr>
              </a:outerShdw>
            </a:effectLst>
          </xdr:spPr>
        </xdr:pic>
      </xdr:grpSp>
      <xdr:grpSp>
        <xdr:nvGrpSpPr>
          <xdr:cNvPr id="34" name="Group 33">
            <a:extLst>
              <a:ext uri="{FF2B5EF4-FFF2-40B4-BE49-F238E27FC236}">
                <a16:creationId xmlns:a16="http://schemas.microsoft.com/office/drawing/2014/main" id="{B715A99F-E452-47B9-A1EC-357A73D68ACE}"/>
              </a:ext>
            </a:extLst>
          </xdr:cNvPr>
          <xdr:cNvGrpSpPr/>
        </xdr:nvGrpSpPr>
        <xdr:grpSpPr>
          <a:xfrm>
            <a:off x="2659380" y="838200"/>
            <a:ext cx="1584960" cy="670559"/>
            <a:chOff x="10275818" y="830580"/>
            <a:chExt cx="1992382" cy="670559"/>
          </a:xfrm>
        </xdr:grpSpPr>
        <xdr:sp macro="" textlink="'Data Analysis'!F7">
          <xdr:nvSpPr>
            <xdr:cNvPr id="35" name="Rectangle: Rounded Corners 34">
              <a:extLst>
                <a:ext uri="{FF2B5EF4-FFF2-40B4-BE49-F238E27FC236}">
                  <a16:creationId xmlns:a16="http://schemas.microsoft.com/office/drawing/2014/main" id="{52E9F344-B444-4878-B9AD-6AA077FFD521}"/>
                </a:ext>
              </a:extLst>
            </xdr:cNvPr>
            <xdr:cNvSpPr/>
          </xdr:nvSpPr>
          <xdr:spPr>
            <a:xfrm>
              <a:off x="10275818" y="830580"/>
              <a:ext cx="1992382" cy="670559"/>
            </a:xfrm>
            <a:prstGeom prst="roundRect">
              <a:avLst>
                <a:gd name="adj" fmla="val 6083"/>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200" b="1" i="0" u="none" strike="noStrike">
                  <a:solidFill>
                    <a:srgbClr val="FFC000"/>
                  </a:solidFill>
                  <a:latin typeface="Arial Rounded MT Bold" panose="020F0704030504030204" pitchFamily="34" charset="0"/>
                  <a:ea typeface="Calibri"/>
                  <a:cs typeface="Segoe UI" panose="020B0502040204020203" pitchFamily="34" charset="0"/>
                </a:rPr>
                <a:t>Total</a:t>
              </a:r>
              <a:r>
                <a:rPr lang="en-US" sz="1200" b="1" i="0" u="none" strike="noStrike" baseline="0">
                  <a:solidFill>
                    <a:srgbClr val="FFC000"/>
                  </a:solidFill>
                  <a:latin typeface="Arial Rounded MT Bold" panose="020F0704030504030204" pitchFamily="34" charset="0"/>
                  <a:ea typeface="Calibri"/>
                  <a:cs typeface="Segoe UI" panose="020B0502040204020203" pitchFamily="34" charset="0"/>
                </a:rPr>
                <a:t> Count</a:t>
              </a:r>
            </a:p>
            <a:p>
              <a:pPr algn="r"/>
              <a:fld id="{FECDBEEB-B03E-4F48-8176-510AFF13B961}" type="TxLink">
                <a:rPr lang="en-US" sz="1800" b="1" i="0" u="none" strike="noStrike">
                  <a:solidFill>
                    <a:schemeClr val="bg1"/>
                  </a:solidFill>
                  <a:latin typeface="Segoe UI" panose="020B0502040204020203" pitchFamily="34" charset="0"/>
                  <a:ea typeface="Calibri"/>
                  <a:cs typeface="Segoe UI" panose="020B0502040204020203" pitchFamily="34" charset="0"/>
                </a:rPr>
                <a:pPr algn="r"/>
                <a:t>2000</a:t>
              </a:fld>
              <a:endParaRPr lang="en-US" sz="1800" b="1">
                <a:solidFill>
                  <a:schemeClr val="bg1"/>
                </a:solidFill>
                <a:latin typeface="Segoe UI" panose="020B0502040204020203" pitchFamily="34" charset="0"/>
                <a:cs typeface="Segoe UI" panose="020B0502040204020203" pitchFamily="34" charset="0"/>
              </a:endParaRPr>
            </a:p>
          </xdr:txBody>
        </xdr:sp>
        <xdr:pic>
          <xdr:nvPicPr>
            <xdr:cNvPr id="36" name="Graphic 35" descr="Business Growth with solid fill">
              <a:extLst>
                <a:ext uri="{FF2B5EF4-FFF2-40B4-BE49-F238E27FC236}">
                  <a16:creationId xmlns:a16="http://schemas.microsoft.com/office/drawing/2014/main" id="{4403B7BB-F61F-43FE-A034-87CDD8FE76D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l="875" r="875"/>
            <a:stretch/>
          </xdr:blipFill>
          <xdr:spPr>
            <a:xfrm>
              <a:off x="10320563" y="898218"/>
              <a:ext cx="711977" cy="500352"/>
            </a:xfrm>
            <a:prstGeom prst="rect">
              <a:avLst/>
            </a:prstGeom>
            <a:effectLst>
              <a:outerShdw blurRad="50800" dist="38100" dir="2700000" algn="tl" rotWithShape="0">
                <a:schemeClr val="tx1">
                  <a:alpha val="64000"/>
                </a:schemeClr>
              </a:outerShdw>
            </a:effectLst>
          </xdr:spPr>
        </xdr:pic>
      </xdr:grpSp>
    </xdr:grpSp>
    <xdr:clientData/>
  </xdr:twoCellAnchor>
  <xdr:twoCellAnchor>
    <xdr:from>
      <xdr:col>13</xdr:col>
      <xdr:colOff>461022</xdr:colOff>
      <xdr:row>12</xdr:row>
      <xdr:rowOff>158152</xdr:rowOff>
    </xdr:from>
    <xdr:to>
      <xdr:col>18</xdr:col>
      <xdr:colOff>470890</xdr:colOff>
      <xdr:row>29</xdr:row>
      <xdr:rowOff>6686</xdr:rowOff>
    </xdr:to>
    <xdr:grpSp>
      <xdr:nvGrpSpPr>
        <xdr:cNvPr id="7175" name="Group 7174">
          <a:extLst>
            <a:ext uri="{FF2B5EF4-FFF2-40B4-BE49-F238E27FC236}">
              <a16:creationId xmlns:a16="http://schemas.microsoft.com/office/drawing/2014/main" id="{DA0F0444-A43B-432E-AD36-C7EB7B65AC3A}"/>
            </a:ext>
          </a:extLst>
        </xdr:cNvPr>
        <xdr:cNvGrpSpPr/>
      </xdr:nvGrpSpPr>
      <xdr:grpSpPr>
        <a:xfrm>
          <a:off x="8385822" y="2329852"/>
          <a:ext cx="3057868" cy="2925109"/>
          <a:chOff x="7064633" y="2651760"/>
          <a:chExt cx="3374684" cy="2560320"/>
        </a:xfrm>
      </xdr:grpSpPr>
      <xdr:sp macro="" textlink="'Data Analysis'!F7">
        <xdr:nvSpPr>
          <xdr:cNvPr id="51" name="Rectangle: Rounded Corners 50">
            <a:extLst>
              <a:ext uri="{FF2B5EF4-FFF2-40B4-BE49-F238E27FC236}">
                <a16:creationId xmlns:a16="http://schemas.microsoft.com/office/drawing/2014/main" id="{C7FDAC62-C4ED-4E3E-9E0D-B8822DA92891}"/>
              </a:ext>
            </a:extLst>
          </xdr:cNvPr>
          <xdr:cNvSpPr/>
        </xdr:nvSpPr>
        <xdr:spPr>
          <a:xfrm>
            <a:off x="7064633" y="2651760"/>
            <a:ext cx="3374684" cy="2560320"/>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u="sng">
                <a:solidFill>
                  <a:schemeClr val="bg1"/>
                </a:solidFill>
                <a:latin typeface="Segoe UI" panose="020B0502040204020203" pitchFamily="34" charset="0"/>
                <a:cs typeface="Segoe UI" panose="020B0502040204020203" pitchFamily="34" charset="0"/>
              </a:rPr>
              <a:t>Default Ratio</a:t>
            </a:r>
          </a:p>
        </xdr:txBody>
      </xdr:sp>
      <xdr:graphicFrame macro="">
        <xdr:nvGraphicFramePr>
          <xdr:cNvPr id="40" name="Chart 39">
            <a:extLst>
              <a:ext uri="{FF2B5EF4-FFF2-40B4-BE49-F238E27FC236}">
                <a16:creationId xmlns:a16="http://schemas.microsoft.com/office/drawing/2014/main" id="{E1EBCD2A-5548-4B9A-876E-D111950FD811}"/>
              </a:ext>
            </a:extLst>
          </xdr:cNvPr>
          <xdr:cNvGraphicFramePr>
            <a:graphicFrameLocks/>
          </xdr:cNvGraphicFramePr>
        </xdr:nvGraphicFramePr>
        <xdr:xfrm>
          <a:off x="7125060" y="2770080"/>
          <a:ext cx="3047999" cy="2320080"/>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0</xdr:col>
      <xdr:colOff>258727</xdr:colOff>
      <xdr:row>39</xdr:row>
      <xdr:rowOff>99060</xdr:rowOff>
    </xdr:from>
    <xdr:to>
      <xdr:col>1</xdr:col>
      <xdr:colOff>487327</xdr:colOff>
      <xdr:row>41</xdr:row>
      <xdr:rowOff>22860</xdr:rowOff>
    </xdr:to>
    <xdr:sp macro="[0]!Reset_Summary" textlink="'Data Analysis'!F7">
      <xdr:nvSpPr>
        <xdr:cNvPr id="47" name="Rectangle: Rounded Corners 46">
          <a:extLst>
            <a:ext uri="{FF2B5EF4-FFF2-40B4-BE49-F238E27FC236}">
              <a16:creationId xmlns:a16="http://schemas.microsoft.com/office/drawing/2014/main" id="{BC87C62C-6418-49AE-A15F-D9E7F40B3FB4}"/>
            </a:ext>
          </a:extLst>
        </xdr:cNvPr>
        <xdr:cNvSpPr/>
      </xdr:nvSpPr>
      <xdr:spPr>
        <a:xfrm>
          <a:off x="258727" y="7231380"/>
          <a:ext cx="838200" cy="289560"/>
        </a:xfrm>
        <a:prstGeom prst="roundRect">
          <a:avLst>
            <a:gd name="adj" fmla="val 6083"/>
          </a:avLst>
        </a:prstGeom>
        <a:solidFill>
          <a:srgbClr val="FFC000"/>
        </a:solidFill>
        <a:ln>
          <a:noFill/>
        </a:ln>
        <a:effectLst>
          <a:outerShdw blurRad="50800" dist="38100" dir="2700000" algn="tl" rotWithShape="0">
            <a:schemeClr val="tx1">
              <a:alpha val="40000"/>
            </a:schemeClr>
          </a:outerShdw>
        </a:effectLst>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200" b="1">
              <a:solidFill>
                <a:schemeClr val="tx1"/>
              </a:solidFill>
              <a:effectLst>
                <a:outerShdw blurRad="50800" dist="50800" dir="5400000" algn="ctr" rotWithShape="0">
                  <a:schemeClr val="bg1"/>
                </a:outerShdw>
              </a:effectLst>
              <a:latin typeface="Arial Rounded MT Bold" panose="020F0704030504030204" pitchFamily="34" charset="0"/>
              <a:cs typeface="Segoe UI" panose="020B0502040204020203" pitchFamily="34" charset="0"/>
            </a:rPr>
            <a:t>RESET</a:t>
          </a:r>
        </a:p>
      </xdr:txBody>
    </xdr:sp>
    <xdr:clientData/>
  </xdr:twoCellAnchor>
  <xdr:twoCellAnchor editAs="oneCell">
    <xdr:from>
      <xdr:col>7</xdr:col>
      <xdr:colOff>19906</xdr:colOff>
      <xdr:row>9</xdr:row>
      <xdr:rowOff>152640</xdr:rowOff>
    </xdr:from>
    <xdr:to>
      <xdr:col>20</xdr:col>
      <xdr:colOff>283142</xdr:colOff>
      <xdr:row>12</xdr:row>
      <xdr:rowOff>0</xdr:rowOff>
    </xdr:to>
    <mc:AlternateContent xmlns:mc="http://schemas.openxmlformats.org/markup-compatibility/2006" xmlns:a14="http://schemas.microsoft.com/office/drawing/2010/main">
      <mc:Choice Requires="a14">
        <xdr:graphicFrame macro="">
          <xdr:nvGraphicFramePr>
            <xdr:cNvPr id="48" name="Years 1">
              <a:extLst>
                <a:ext uri="{FF2B5EF4-FFF2-40B4-BE49-F238E27FC236}">
                  <a16:creationId xmlns:a16="http://schemas.microsoft.com/office/drawing/2014/main" id="{AF5BAE5F-A6F0-4E65-86A8-0CF0FE9BC975}"/>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4303270" y="1815185"/>
              <a:ext cx="8218054" cy="4015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220626</xdr:colOff>
      <xdr:row>31</xdr:row>
      <xdr:rowOff>0</xdr:rowOff>
    </xdr:from>
    <xdr:to>
      <xdr:col>13</xdr:col>
      <xdr:colOff>387026</xdr:colOff>
      <xdr:row>48</xdr:row>
      <xdr:rowOff>0</xdr:rowOff>
    </xdr:to>
    <xdr:grpSp>
      <xdr:nvGrpSpPr>
        <xdr:cNvPr id="7176" name="Group 7175">
          <a:extLst>
            <a:ext uri="{FF2B5EF4-FFF2-40B4-BE49-F238E27FC236}">
              <a16:creationId xmlns:a16="http://schemas.microsoft.com/office/drawing/2014/main" id="{369981B8-FA64-4BE5-AC62-9C669B0790BC}"/>
            </a:ext>
          </a:extLst>
        </xdr:cNvPr>
        <xdr:cNvGrpSpPr/>
      </xdr:nvGrpSpPr>
      <xdr:grpSpPr>
        <a:xfrm>
          <a:off x="2659026" y="5610225"/>
          <a:ext cx="5652800" cy="3076575"/>
          <a:chOff x="2645649" y="4851832"/>
          <a:chExt cx="8278173" cy="3880994"/>
        </a:xfrm>
      </xdr:grpSpPr>
      <xdr:sp macro="" textlink="'Data Analysis'!F7">
        <xdr:nvSpPr>
          <xdr:cNvPr id="84" name="Rectangle: Rounded Corners 83">
            <a:extLst>
              <a:ext uri="{FF2B5EF4-FFF2-40B4-BE49-F238E27FC236}">
                <a16:creationId xmlns:a16="http://schemas.microsoft.com/office/drawing/2014/main" id="{0A1DCBA8-5980-4DD8-BFC4-16B8A3FFC806}"/>
              </a:ext>
            </a:extLst>
          </xdr:cNvPr>
          <xdr:cNvSpPr/>
        </xdr:nvSpPr>
        <xdr:spPr>
          <a:xfrm>
            <a:off x="2645649" y="4851832"/>
            <a:ext cx="8278173" cy="3880994"/>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u="sng">
                <a:solidFill>
                  <a:schemeClr val="bg1"/>
                </a:solidFill>
                <a:latin typeface="Segoe UI" panose="020B0502040204020203" pitchFamily="34" charset="0"/>
                <a:cs typeface="Segoe UI" panose="020B0502040204020203" pitchFamily="34" charset="0"/>
              </a:rPr>
              <a:t>Loan Default count by Purpose and Risk Category</a:t>
            </a:r>
          </a:p>
        </xdr:txBody>
      </xdr:sp>
      <xdr:graphicFrame macro="">
        <xdr:nvGraphicFramePr>
          <xdr:cNvPr id="49" name="Chart 48">
            <a:extLst>
              <a:ext uri="{FF2B5EF4-FFF2-40B4-BE49-F238E27FC236}">
                <a16:creationId xmlns:a16="http://schemas.microsoft.com/office/drawing/2014/main" id="{3E56677F-50FD-4288-BCAD-1F3A90E9C5A7}"/>
              </a:ext>
            </a:extLst>
          </xdr:cNvPr>
          <xdr:cNvGraphicFramePr>
            <a:graphicFrameLocks/>
          </xdr:cNvGraphicFramePr>
        </xdr:nvGraphicFramePr>
        <xdr:xfrm>
          <a:off x="2754684" y="5241834"/>
          <a:ext cx="7565039" cy="3259185"/>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4</xdr:col>
      <xdr:colOff>220980</xdr:colOff>
      <xdr:row>12</xdr:row>
      <xdr:rowOff>151466</xdr:rowOff>
    </xdr:from>
    <xdr:to>
      <xdr:col>13</xdr:col>
      <xdr:colOff>387034</xdr:colOff>
      <xdr:row>30</xdr:row>
      <xdr:rowOff>129540</xdr:rowOff>
    </xdr:to>
    <xdr:grpSp>
      <xdr:nvGrpSpPr>
        <xdr:cNvPr id="7178" name="Group 7177">
          <a:extLst>
            <a:ext uri="{FF2B5EF4-FFF2-40B4-BE49-F238E27FC236}">
              <a16:creationId xmlns:a16="http://schemas.microsoft.com/office/drawing/2014/main" id="{847AFBF0-D9D1-494F-BDD1-FA6DCED59842}"/>
            </a:ext>
          </a:extLst>
        </xdr:cNvPr>
        <xdr:cNvGrpSpPr/>
      </xdr:nvGrpSpPr>
      <xdr:grpSpPr>
        <a:xfrm>
          <a:off x="2659380" y="2323166"/>
          <a:ext cx="5652454" cy="3235624"/>
          <a:chOff x="11094719" y="5246580"/>
          <a:chExt cx="8278172" cy="4109288"/>
        </a:xfrm>
      </xdr:grpSpPr>
      <xdr:sp macro="" textlink="'Data Analysis'!F7">
        <xdr:nvSpPr>
          <xdr:cNvPr id="92" name="Rectangle: Rounded Corners 91">
            <a:extLst>
              <a:ext uri="{FF2B5EF4-FFF2-40B4-BE49-F238E27FC236}">
                <a16:creationId xmlns:a16="http://schemas.microsoft.com/office/drawing/2014/main" id="{F7277F85-DC67-4F0A-832A-EC1D9724D63C}"/>
              </a:ext>
            </a:extLst>
          </xdr:cNvPr>
          <xdr:cNvSpPr/>
        </xdr:nvSpPr>
        <xdr:spPr>
          <a:xfrm>
            <a:off x="11094719" y="5246580"/>
            <a:ext cx="8278172" cy="4109288"/>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1" u="sng">
                <a:solidFill>
                  <a:schemeClr val="lt1"/>
                </a:solidFill>
                <a:effectLst/>
                <a:latin typeface="+mn-lt"/>
                <a:ea typeface="+mn-ea"/>
                <a:cs typeface="+mn-cs"/>
              </a:rPr>
              <a:t>Loan</a:t>
            </a:r>
            <a:r>
              <a:rPr lang="en-IN" sz="1200" b="1" u="sng" baseline="0">
                <a:solidFill>
                  <a:schemeClr val="lt1"/>
                </a:solidFill>
                <a:effectLst/>
                <a:latin typeface="+mn-lt"/>
                <a:ea typeface="+mn-ea"/>
                <a:cs typeface="+mn-cs"/>
              </a:rPr>
              <a:t> Portfolio Growth</a:t>
            </a:r>
            <a:endParaRPr lang="en-IN" sz="1200">
              <a:effectLst/>
            </a:endParaRPr>
          </a:p>
          <a:p>
            <a:pPr algn="l"/>
            <a:endParaRPr lang="en-IN" sz="1800" b="1">
              <a:solidFill>
                <a:schemeClr val="bg1"/>
              </a:solidFill>
              <a:latin typeface="Segoe UI" panose="020B0502040204020203" pitchFamily="34" charset="0"/>
              <a:cs typeface="Segoe UI" panose="020B0502040204020203" pitchFamily="34" charset="0"/>
            </a:endParaRPr>
          </a:p>
        </xdr:txBody>
      </xdr:sp>
      <xdr:graphicFrame macro="">
        <xdr:nvGraphicFramePr>
          <xdr:cNvPr id="53" name="Chart 52">
            <a:extLst>
              <a:ext uri="{FF2B5EF4-FFF2-40B4-BE49-F238E27FC236}">
                <a16:creationId xmlns:a16="http://schemas.microsoft.com/office/drawing/2014/main" id="{F7771C39-D34B-48B8-BFD4-A7EAD97FFE82}"/>
              </a:ext>
            </a:extLst>
          </xdr:cNvPr>
          <xdr:cNvGraphicFramePr>
            <a:graphicFrameLocks/>
          </xdr:cNvGraphicFramePr>
        </xdr:nvGraphicFramePr>
        <xdr:xfrm>
          <a:off x="11167663" y="5745707"/>
          <a:ext cx="7559039" cy="3364577"/>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editAs="oneCell">
    <xdr:from>
      <xdr:col>4</xdr:col>
      <xdr:colOff>118535</xdr:colOff>
      <xdr:row>1</xdr:row>
      <xdr:rowOff>42876</xdr:rowOff>
    </xdr:from>
    <xdr:to>
      <xdr:col>4</xdr:col>
      <xdr:colOff>555719</xdr:colOff>
      <xdr:row>3</xdr:row>
      <xdr:rowOff>114300</xdr:rowOff>
    </xdr:to>
    <xdr:pic>
      <xdr:nvPicPr>
        <xdr:cNvPr id="58" name="Graphic 57" descr="Database with solid fill">
          <a:hlinkClick xmlns:r="http://schemas.openxmlformats.org/officeDocument/2006/relationships" r:id="rId16"/>
          <a:extLst>
            <a:ext uri="{FF2B5EF4-FFF2-40B4-BE49-F238E27FC236}">
              <a16:creationId xmlns:a16="http://schemas.microsoft.com/office/drawing/2014/main" id="{141DC546-5DE4-4B4B-A2AC-BBB93738E8D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556935" y="225756"/>
          <a:ext cx="437184" cy="437184"/>
        </a:xfrm>
        <a:prstGeom prst="rect">
          <a:avLst/>
        </a:prstGeom>
        <a:effectLst>
          <a:outerShdw blurRad="50800" dist="50800" dir="5400000" algn="ctr" rotWithShape="0">
            <a:schemeClr val="bg1">
              <a:alpha val="20000"/>
            </a:schemeClr>
          </a:outerShdw>
        </a:effectLst>
      </xdr:spPr>
    </xdr:pic>
    <xdr:clientData/>
  </xdr:twoCellAnchor>
  <xdr:twoCellAnchor editAs="oneCell">
    <xdr:from>
      <xdr:col>2</xdr:col>
      <xdr:colOff>169800</xdr:colOff>
      <xdr:row>1</xdr:row>
      <xdr:rowOff>64266</xdr:rowOff>
    </xdr:from>
    <xdr:to>
      <xdr:col>3</xdr:col>
      <xdr:colOff>0</xdr:colOff>
      <xdr:row>3</xdr:row>
      <xdr:rowOff>114300</xdr:rowOff>
    </xdr:to>
    <xdr:pic>
      <xdr:nvPicPr>
        <xdr:cNvPr id="60" name="Graphic 59" descr="Pie chart with solid fill">
          <a:hlinkClick xmlns:r="http://schemas.openxmlformats.org/officeDocument/2006/relationships" r:id="rId19"/>
          <a:extLst>
            <a:ext uri="{FF2B5EF4-FFF2-40B4-BE49-F238E27FC236}">
              <a16:creationId xmlns:a16="http://schemas.microsoft.com/office/drawing/2014/main" id="{56C59D86-9E06-47FE-A66B-330ECB4178F7}"/>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389000" y="247146"/>
          <a:ext cx="439800" cy="415794"/>
        </a:xfrm>
        <a:prstGeom prst="rect">
          <a:avLst/>
        </a:prstGeom>
        <a:effectLst>
          <a:outerShdw blurRad="50800" dist="50800" dir="5400000" algn="ctr" rotWithShape="0">
            <a:schemeClr val="bg1">
              <a:alpha val="20000"/>
            </a:schemeClr>
          </a:outerShdw>
        </a:effectLst>
      </xdr:spPr>
    </xdr:pic>
    <xdr:clientData/>
  </xdr:twoCellAnchor>
  <xdr:twoCellAnchor editAs="oneCell">
    <xdr:from>
      <xdr:col>1</xdr:col>
      <xdr:colOff>204354</xdr:colOff>
      <xdr:row>1</xdr:row>
      <xdr:rowOff>74814</xdr:rowOff>
    </xdr:from>
    <xdr:to>
      <xdr:col>2</xdr:col>
      <xdr:colOff>0</xdr:colOff>
      <xdr:row>3</xdr:row>
      <xdr:rowOff>114300</xdr:rowOff>
    </xdr:to>
    <xdr:pic>
      <xdr:nvPicPr>
        <xdr:cNvPr id="7168" name="Graphic 7167" descr="Playbook with solid fill">
          <a:hlinkClick xmlns:r="http://schemas.openxmlformats.org/officeDocument/2006/relationships" r:id="rId22"/>
          <a:extLst>
            <a:ext uri="{FF2B5EF4-FFF2-40B4-BE49-F238E27FC236}">
              <a16:creationId xmlns:a16="http://schemas.microsoft.com/office/drawing/2014/main" id="{01ACA133-CCE0-46F5-B944-41AF3D7E3C36}"/>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813954" y="257694"/>
          <a:ext cx="405246" cy="405246"/>
        </a:xfrm>
        <a:prstGeom prst="rect">
          <a:avLst/>
        </a:prstGeom>
        <a:effectLst>
          <a:outerShdw blurRad="50800" dist="38100" dir="2700000" algn="tl" rotWithShape="0">
            <a:schemeClr val="bg1">
              <a:alpha val="25000"/>
            </a:schemeClr>
          </a:outerShdw>
        </a:effectLst>
      </xdr:spPr>
    </xdr:pic>
    <xdr:clientData/>
  </xdr:twoCellAnchor>
  <xdr:twoCellAnchor editAs="oneCell">
    <xdr:from>
      <xdr:col>3</xdr:col>
      <xdr:colOff>226095</xdr:colOff>
      <xdr:row>1</xdr:row>
      <xdr:rowOff>89673</xdr:rowOff>
    </xdr:from>
    <xdr:to>
      <xdr:col>3</xdr:col>
      <xdr:colOff>569757</xdr:colOff>
      <xdr:row>3</xdr:row>
      <xdr:rowOff>67575</xdr:rowOff>
    </xdr:to>
    <xdr:pic macro="[0]!pivot_table">
      <xdr:nvPicPr>
        <xdr:cNvPr id="67" name="Picture 66" descr="Table icon">
          <a:hlinkClick xmlns:r="http://schemas.openxmlformats.org/officeDocument/2006/relationships" r:id="rId25"/>
          <a:extLst>
            <a:ext uri="{FF2B5EF4-FFF2-40B4-BE49-F238E27FC236}">
              <a16:creationId xmlns:a16="http://schemas.microsoft.com/office/drawing/2014/main" id="{052BBF2D-2C80-4274-9B07-3AB81CCA973D}"/>
            </a:ext>
          </a:extLst>
        </xdr:cNvPr>
        <xdr:cNvPicPr>
          <a:picLocks noChangeAspect="1" noChangeArrowheads="1"/>
        </xdr:cNvPicPr>
      </xdr:nvPicPr>
      <xdr:blipFill>
        <a:blip xmlns:r="http://schemas.openxmlformats.org/officeDocument/2006/relationships" r:embed="rId26" cstate="print">
          <a:duotone>
            <a:schemeClr val="accent4">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054895" y="272553"/>
          <a:ext cx="343662" cy="343662"/>
        </a:xfrm>
        <a:prstGeom prst="rect">
          <a:avLst/>
        </a:prstGeom>
        <a:noFill/>
        <a:ln>
          <a:noFill/>
        </a:ln>
        <a:effectLst/>
      </xdr:spPr>
    </xdr:pic>
    <xdr:clientData/>
  </xdr:twoCellAnchor>
  <xdr:twoCellAnchor>
    <xdr:from>
      <xdr:col>0</xdr:col>
      <xdr:colOff>181494</xdr:colOff>
      <xdr:row>13</xdr:row>
      <xdr:rowOff>0</xdr:rowOff>
    </xdr:from>
    <xdr:to>
      <xdr:col>4</xdr:col>
      <xdr:colOff>99910</xdr:colOff>
      <xdr:row>38</xdr:row>
      <xdr:rowOff>173231</xdr:rowOff>
    </xdr:to>
    <xdr:grpSp>
      <xdr:nvGrpSpPr>
        <xdr:cNvPr id="7174" name="Group 7173">
          <a:extLst>
            <a:ext uri="{FF2B5EF4-FFF2-40B4-BE49-F238E27FC236}">
              <a16:creationId xmlns:a16="http://schemas.microsoft.com/office/drawing/2014/main" id="{A6DD9E3A-2EF1-400E-920D-A3096C1A6F0D}"/>
            </a:ext>
          </a:extLst>
        </xdr:cNvPr>
        <xdr:cNvGrpSpPr/>
      </xdr:nvGrpSpPr>
      <xdr:grpSpPr>
        <a:xfrm>
          <a:off x="181494" y="2352675"/>
          <a:ext cx="2356816" cy="4697606"/>
          <a:chOff x="181494" y="2377440"/>
          <a:chExt cx="2356816" cy="4748418"/>
        </a:xfrm>
      </xdr:grpSpPr>
      <xdr:grpSp>
        <xdr:nvGrpSpPr>
          <xdr:cNvPr id="7173" name="Group 7172">
            <a:extLst>
              <a:ext uri="{FF2B5EF4-FFF2-40B4-BE49-F238E27FC236}">
                <a16:creationId xmlns:a16="http://schemas.microsoft.com/office/drawing/2014/main" id="{219A8853-6980-4AFF-B067-F06567569621}"/>
              </a:ext>
            </a:extLst>
          </xdr:cNvPr>
          <xdr:cNvGrpSpPr/>
        </xdr:nvGrpSpPr>
        <xdr:grpSpPr>
          <a:xfrm>
            <a:off x="188708" y="5615939"/>
            <a:ext cx="2340000" cy="1509919"/>
            <a:chOff x="188708" y="5615939"/>
            <a:chExt cx="2340000" cy="1509919"/>
          </a:xfrm>
        </xdr:grpSpPr>
        <xdr:sp macro="" textlink="'Data Analysis'!F7">
          <xdr:nvSpPr>
            <xdr:cNvPr id="78" name="Rectangle: Rounded Corners 77">
              <a:extLst>
                <a:ext uri="{FF2B5EF4-FFF2-40B4-BE49-F238E27FC236}">
                  <a16:creationId xmlns:a16="http://schemas.microsoft.com/office/drawing/2014/main" id="{90B1DCC3-3E4F-4FE8-AB87-3B0740F77930}"/>
                </a:ext>
              </a:extLst>
            </xdr:cNvPr>
            <xdr:cNvSpPr/>
          </xdr:nvSpPr>
          <xdr:spPr>
            <a:xfrm>
              <a:off x="188708" y="5615939"/>
              <a:ext cx="2340000" cy="1509919"/>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a:solidFill>
                    <a:schemeClr val="bg1"/>
                  </a:solidFill>
                  <a:latin typeface="Segoe UI" panose="020B0502040204020203" pitchFamily="34" charset="0"/>
                  <a:cs typeface="Segoe UI" panose="020B0502040204020203" pitchFamily="34" charset="0"/>
                </a:rPr>
                <a:t>Loan</a:t>
              </a:r>
              <a:r>
                <a:rPr lang="en-IN" sz="1200" b="1" baseline="0">
                  <a:solidFill>
                    <a:schemeClr val="bg1"/>
                  </a:solidFill>
                  <a:latin typeface="Segoe UI" panose="020B0502040204020203" pitchFamily="34" charset="0"/>
                  <a:cs typeface="Segoe UI" panose="020B0502040204020203" pitchFamily="34" charset="0"/>
                </a:rPr>
                <a:t> Purpose</a:t>
              </a:r>
              <a:endParaRPr lang="en-IN" sz="1200" b="1">
                <a:solidFill>
                  <a:schemeClr val="bg1"/>
                </a:solidFill>
                <a:latin typeface="Segoe UI" panose="020B0502040204020203" pitchFamily="34" charset="0"/>
                <a:cs typeface="Segoe UI"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43" name="Loan_Purpose 1">
                  <a:extLst>
                    <a:ext uri="{FF2B5EF4-FFF2-40B4-BE49-F238E27FC236}">
                      <a16:creationId xmlns:a16="http://schemas.microsoft.com/office/drawing/2014/main" id="{19D47637-47C2-41F3-8D2E-111AFC31F0A5}"/>
                    </a:ext>
                  </a:extLst>
                </xdr:cNvPr>
                <xdr:cNvGraphicFramePr/>
              </xdr:nvGraphicFramePr>
              <xdr:xfrm>
                <a:off x="243487" y="5978096"/>
                <a:ext cx="2217419" cy="994337"/>
              </xdr:xfrm>
              <a:graphic>
                <a:graphicData uri="http://schemas.microsoft.com/office/drawing/2010/slicer">
                  <sle:slicer xmlns:sle="http://schemas.microsoft.com/office/drawing/2010/slicer" name="Loan_Purpose 1"/>
                </a:graphicData>
              </a:graphic>
            </xdr:graphicFrame>
          </mc:Choice>
          <mc:Fallback xmlns="">
            <xdr:sp macro="" textlink="">
              <xdr:nvSpPr>
                <xdr:cNvPr id="0" name=""/>
                <xdr:cNvSpPr>
                  <a:spLocks noTextEdit="1"/>
                </xdr:cNvSpPr>
              </xdr:nvSpPr>
              <xdr:spPr>
                <a:xfrm>
                  <a:off x="243730" y="6034713"/>
                  <a:ext cx="2226109" cy="1003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170" name="Group 7169">
            <a:extLst>
              <a:ext uri="{FF2B5EF4-FFF2-40B4-BE49-F238E27FC236}">
                <a16:creationId xmlns:a16="http://schemas.microsoft.com/office/drawing/2014/main" id="{31DF33F5-1ED4-4B84-AF71-880175B183DC}"/>
              </a:ext>
            </a:extLst>
          </xdr:cNvPr>
          <xdr:cNvGrpSpPr/>
        </xdr:nvGrpSpPr>
        <xdr:grpSpPr>
          <a:xfrm>
            <a:off x="181494" y="2377440"/>
            <a:ext cx="2340000" cy="1368000"/>
            <a:chOff x="181494" y="2377440"/>
            <a:chExt cx="2340000" cy="1368000"/>
          </a:xfrm>
        </xdr:grpSpPr>
        <xdr:sp macro="" textlink="'Data Analysis'!F7">
          <xdr:nvSpPr>
            <xdr:cNvPr id="38" name="Rectangle: Rounded Corners 37">
              <a:extLst>
                <a:ext uri="{FF2B5EF4-FFF2-40B4-BE49-F238E27FC236}">
                  <a16:creationId xmlns:a16="http://schemas.microsoft.com/office/drawing/2014/main" id="{3948BC8F-6F4E-4203-9B2B-D8EC1B0EADF8}"/>
                </a:ext>
              </a:extLst>
            </xdr:cNvPr>
            <xdr:cNvSpPr/>
          </xdr:nvSpPr>
          <xdr:spPr>
            <a:xfrm>
              <a:off x="181494" y="2377440"/>
              <a:ext cx="2340000" cy="1368000"/>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a:solidFill>
                    <a:schemeClr val="bg1"/>
                  </a:solidFill>
                  <a:latin typeface="Segoe UI" panose="020B0502040204020203" pitchFamily="34" charset="0"/>
                  <a:cs typeface="Segoe UI" panose="020B0502040204020203" pitchFamily="34" charset="0"/>
                </a:rPr>
                <a:t>Risk</a:t>
              </a:r>
              <a:r>
                <a:rPr lang="en-IN" sz="1200" b="1" baseline="0">
                  <a:solidFill>
                    <a:schemeClr val="bg1"/>
                  </a:solidFill>
                  <a:latin typeface="Segoe UI" panose="020B0502040204020203" pitchFamily="34" charset="0"/>
                  <a:cs typeface="Segoe UI" panose="020B0502040204020203" pitchFamily="34" charset="0"/>
                </a:rPr>
                <a:t> Status</a:t>
              </a:r>
              <a:endParaRPr lang="en-IN" sz="1200" b="1">
                <a:solidFill>
                  <a:schemeClr val="bg1"/>
                </a:solidFill>
                <a:latin typeface="Segoe UI" panose="020B0502040204020203" pitchFamily="34" charset="0"/>
                <a:cs typeface="Segoe UI"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45" name="Risk_category 1">
                  <a:extLst>
                    <a:ext uri="{FF2B5EF4-FFF2-40B4-BE49-F238E27FC236}">
                      <a16:creationId xmlns:a16="http://schemas.microsoft.com/office/drawing/2014/main" id="{F9B960B6-D0BA-4C46-A846-15AD4443855F}"/>
                    </a:ext>
                  </a:extLst>
                </xdr:cNvPr>
                <xdr:cNvGraphicFramePr/>
              </xdr:nvGraphicFramePr>
              <xdr:xfrm>
                <a:off x="246240" y="2685600"/>
                <a:ext cx="2192160" cy="972000"/>
              </xdr:xfrm>
              <a:graphic>
                <a:graphicData uri="http://schemas.microsoft.com/office/drawing/2010/slicer">
                  <sle:slicer xmlns:sle="http://schemas.microsoft.com/office/drawing/2010/slicer" name="Risk_category 1"/>
                </a:graphicData>
              </a:graphic>
            </xdr:graphicFrame>
          </mc:Choice>
          <mc:Fallback xmlns="">
            <xdr:sp macro="" textlink="">
              <xdr:nvSpPr>
                <xdr:cNvPr id="0" name=""/>
                <xdr:cNvSpPr>
                  <a:spLocks noTextEdit="1"/>
                </xdr:cNvSpPr>
              </xdr:nvSpPr>
              <xdr:spPr>
                <a:xfrm>
                  <a:off x="246240" y="2685600"/>
                  <a:ext cx="2192160" cy="97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3" name="Group 72">
            <a:extLst>
              <a:ext uri="{FF2B5EF4-FFF2-40B4-BE49-F238E27FC236}">
                <a16:creationId xmlns:a16="http://schemas.microsoft.com/office/drawing/2014/main" id="{9D80BAAC-02DC-4CA4-A948-733D9FABA852}"/>
              </a:ext>
            </a:extLst>
          </xdr:cNvPr>
          <xdr:cNvGrpSpPr/>
        </xdr:nvGrpSpPr>
        <xdr:grpSpPr>
          <a:xfrm>
            <a:off x="198310" y="3840480"/>
            <a:ext cx="2340000" cy="828000"/>
            <a:chOff x="609600" y="6217920"/>
            <a:chExt cx="2340000" cy="828000"/>
          </a:xfrm>
        </xdr:grpSpPr>
        <xdr:sp macro="" textlink="'Data Analysis'!F7">
          <xdr:nvSpPr>
            <xdr:cNvPr id="74" name="Rectangle: Rounded Corners 73">
              <a:extLst>
                <a:ext uri="{FF2B5EF4-FFF2-40B4-BE49-F238E27FC236}">
                  <a16:creationId xmlns:a16="http://schemas.microsoft.com/office/drawing/2014/main" id="{3878E502-043B-48A3-B66F-BFF97266EC28}"/>
                </a:ext>
              </a:extLst>
            </xdr:cNvPr>
            <xdr:cNvSpPr/>
          </xdr:nvSpPr>
          <xdr:spPr>
            <a:xfrm>
              <a:off x="609600" y="6217920"/>
              <a:ext cx="2340000" cy="828000"/>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a:solidFill>
                    <a:schemeClr val="bg1"/>
                  </a:solidFill>
                  <a:latin typeface="Segoe UI" panose="020B0502040204020203" pitchFamily="34" charset="0"/>
                  <a:cs typeface="Segoe UI" panose="020B0502040204020203" pitchFamily="34" charset="0"/>
                </a:rPr>
                <a:t>Default</a:t>
              </a:r>
              <a:r>
                <a:rPr lang="en-IN" sz="1200" b="1" baseline="0">
                  <a:solidFill>
                    <a:schemeClr val="bg1"/>
                  </a:solidFill>
                  <a:latin typeface="Segoe UI" panose="020B0502040204020203" pitchFamily="34" charset="0"/>
                  <a:cs typeface="Segoe UI" panose="020B0502040204020203" pitchFamily="34" charset="0"/>
                </a:rPr>
                <a:t> Status</a:t>
              </a:r>
              <a:endParaRPr lang="en-IN" sz="1200" b="1">
                <a:solidFill>
                  <a:schemeClr val="bg1"/>
                </a:solidFill>
                <a:latin typeface="Segoe UI" panose="020B0502040204020203" pitchFamily="34" charset="0"/>
                <a:cs typeface="Segoe UI"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75" name="Default_Status 2">
                  <a:extLst>
                    <a:ext uri="{FF2B5EF4-FFF2-40B4-BE49-F238E27FC236}">
                      <a16:creationId xmlns:a16="http://schemas.microsoft.com/office/drawing/2014/main" id="{3BB499DA-7307-4238-803F-CAF04393AF65}"/>
                    </a:ext>
                  </a:extLst>
                </xdr:cNvPr>
                <xdr:cNvGraphicFramePr/>
              </xdr:nvGraphicFramePr>
              <xdr:xfrm>
                <a:off x="669000" y="6525059"/>
                <a:ext cx="2232000" cy="432001"/>
              </xdr:xfrm>
              <a:graphic>
                <a:graphicData uri="http://schemas.microsoft.com/office/drawing/2010/slicer">
                  <sle:slicer xmlns:sle="http://schemas.microsoft.com/office/drawing/2010/slicer" name="Default_Status 2"/>
                </a:graphicData>
              </a:graphic>
            </xdr:graphicFrame>
          </mc:Choice>
          <mc:Fallback xmlns="">
            <xdr:sp macro="" textlink="">
              <xdr:nvSpPr>
                <xdr:cNvPr id="0" name=""/>
                <xdr:cNvSpPr>
                  <a:spLocks noTextEdit="1"/>
                </xdr:cNvSpPr>
              </xdr:nvSpPr>
              <xdr:spPr>
                <a:xfrm>
                  <a:off x="257710" y="4147619"/>
                  <a:ext cx="2232000" cy="432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172" name="Group 7171">
            <a:extLst>
              <a:ext uri="{FF2B5EF4-FFF2-40B4-BE49-F238E27FC236}">
                <a16:creationId xmlns:a16="http://schemas.microsoft.com/office/drawing/2014/main" id="{C1C1BDDC-56DB-4D77-B528-14CEFB10FCF4}"/>
              </a:ext>
            </a:extLst>
          </xdr:cNvPr>
          <xdr:cNvGrpSpPr/>
        </xdr:nvGrpSpPr>
        <xdr:grpSpPr>
          <a:xfrm>
            <a:off x="198310" y="4754880"/>
            <a:ext cx="2340000" cy="792000"/>
            <a:chOff x="798357" y="7315200"/>
            <a:chExt cx="2340000" cy="792000"/>
          </a:xfrm>
        </xdr:grpSpPr>
        <xdr:sp macro="" textlink="'Data Analysis'!F7">
          <xdr:nvSpPr>
            <xdr:cNvPr id="70" name="Rectangle: Rounded Corners 69">
              <a:extLst>
                <a:ext uri="{FF2B5EF4-FFF2-40B4-BE49-F238E27FC236}">
                  <a16:creationId xmlns:a16="http://schemas.microsoft.com/office/drawing/2014/main" id="{87D848B7-BC5D-4B89-9544-0C893AAFB509}"/>
                </a:ext>
              </a:extLst>
            </xdr:cNvPr>
            <xdr:cNvSpPr/>
          </xdr:nvSpPr>
          <xdr:spPr>
            <a:xfrm>
              <a:off x="798357" y="7315200"/>
              <a:ext cx="2340000" cy="792000"/>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a:solidFill>
                    <a:schemeClr val="bg1"/>
                  </a:solidFill>
                  <a:latin typeface="Segoe UI" panose="020B0502040204020203" pitchFamily="34" charset="0"/>
                  <a:cs typeface="Segoe UI" panose="020B0502040204020203" pitchFamily="34" charset="0"/>
                </a:rPr>
                <a:t>Gender</a:t>
              </a:r>
            </a:p>
          </xdr:txBody>
        </xdr:sp>
        <mc:AlternateContent xmlns:mc="http://schemas.openxmlformats.org/markup-compatibility/2006" xmlns:a14="http://schemas.microsoft.com/office/drawing/2010/main">
          <mc:Choice Requires="a14">
            <xdr:graphicFrame macro="">
              <xdr:nvGraphicFramePr>
                <xdr:cNvPr id="42" name="Gender 1">
                  <a:extLst>
                    <a:ext uri="{FF2B5EF4-FFF2-40B4-BE49-F238E27FC236}">
                      <a16:creationId xmlns:a16="http://schemas.microsoft.com/office/drawing/2014/main" id="{AC1A5273-F443-4421-905B-2E7854DE521B}"/>
                    </a:ext>
                  </a:extLst>
                </xdr:cNvPr>
                <xdr:cNvGraphicFramePr/>
              </xdr:nvGraphicFramePr>
              <xdr:xfrm>
                <a:off x="843534" y="7614720"/>
                <a:ext cx="2232000" cy="43200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43487" y="5054400"/>
                  <a:ext cx="22320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18</xdr:col>
      <xdr:colOff>528167</xdr:colOff>
      <xdr:row>12</xdr:row>
      <xdr:rowOff>158152</xdr:rowOff>
    </xdr:from>
    <xdr:to>
      <xdr:col>23</xdr:col>
      <xdr:colOff>509546</xdr:colOff>
      <xdr:row>29</xdr:row>
      <xdr:rowOff>6686</xdr:rowOff>
    </xdr:to>
    <xdr:grpSp>
      <xdr:nvGrpSpPr>
        <xdr:cNvPr id="7177" name="Group 7176">
          <a:extLst>
            <a:ext uri="{FF2B5EF4-FFF2-40B4-BE49-F238E27FC236}">
              <a16:creationId xmlns:a16="http://schemas.microsoft.com/office/drawing/2014/main" id="{F38549FB-3118-4F4F-ADE9-712E1A2ED8B8}"/>
            </a:ext>
          </a:extLst>
        </xdr:cNvPr>
        <xdr:cNvGrpSpPr/>
      </xdr:nvGrpSpPr>
      <xdr:grpSpPr>
        <a:xfrm>
          <a:off x="11500967" y="2329852"/>
          <a:ext cx="3029379" cy="2925109"/>
          <a:chOff x="2645649" y="9058072"/>
          <a:chExt cx="8327151" cy="3986794"/>
        </a:xfrm>
      </xdr:grpSpPr>
      <xdr:sp macro="" textlink="'Data Analysis'!F7">
        <xdr:nvSpPr>
          <xdr:cNvPr id="88" name="Rectangle: Rounded Corners 87">
            <a:extLst>
              <a:ext uri="{FF2B5EF4-FFF2-40B4-BE49-F238E27FC236}">
                <a16:creationId xmlns:a16="http://schemas.microsoft.com/office/drawing/2014/main" id="{20776DDC-B2E6-4D11-9A32-2264F9131A17}"/>
              </a:ext>
            </a:extLst>
          </xdr:cNvPr>
          <xdr:cNvSpPr/>
        </xdr:nvSpPr>
        <xdr:spPr>
          <a:xfrm>
            <a:off x="2645649" y="9058072"/>
            <a:ext cx="8327151" cy="3986794"/>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u="sng">
                <a:solidFill>
                  <a:schemeClr val="bg1"/>
                </a:solidFill>
                <a:latin typeface="Segoe UI" panose="020B0502040204020203" pitchFamily="34" charset="0"/>
                <a:cs typeface="Segoe UI" panose="020B0502040204020203" pitchFamily="34" charset="0"/>
              </a:rPr>
              <a:t>Risk</a:t>
            </a:r>
            <a:r>
              <a:rPr lang="en-IN" sz="1200" b="1" u="sng" baseline="0">
                <a:solidFill>
                  <a:schemeClr val="bg1"/>
                </a:solidFill>
                <a:latin typeface="Segoe UI" panose="020B0502040204020203" pitchFamily="34" charset="0"/>
                <a:cs typeface="Segoe UI" panose="020B0502040204020203" pitchFamily="34" charset="0"/>
              </a:rPr>
              <a:t> category wise loan defaults</a:t>
            </a:r>
            <a:endParaRPr lang="en-IN" sz="1200" b="1" u="sng">
              <a:solidFill>
                <a:schemeClr val="bg1"/>
              </a:solidFill>
              <a:latin typeface="Segoe UI" panose="020B0502040204020203" pitchFamily="34" charset="0"/>
              <a:cs typeface="Segoe UI" panose="020B0502040204020203" pitchFamily="34" charset="0"/>
            </a:endParaRPr>
          </a:p>
        </xdr:txBody>
      </xdr:sp>
      <mc:AlternateContent xmlns:mc="http://schemas.openxmlformats.org/markup-compatibility/2006">
        <mc:Choice xmlns:cx2="http://schemas.microsoft.com/office/drawing/2015/10/21/chartex" Requires="cx2">
          <xdr:graphicFrame macro="">
            <xdr:nvGraphicFramePr>
              <xdr:cNvPr id="54" name="Chart 53">
                <a:extLst>
                  <a:ext uri="{FF2B5EF4-FFF2-40B4-BE49-F238E27FC236}">
                    <a16:creationId xmlns:a16="http://schemas.microsoft.com/office/drawing/2014/main" id="{2038A0F6-9D46-4C76-9807-694B6A24819C}"/>
                  </a:ext>
                </a:extLst>
              </xdr:cNvPr>
              <xdr:cNvGraphicFramePr>
                <a:graphicFrameLocks/>
              </xdr:cNvGraphicFramePr>
            </xdr:nvGraphicFramePr>
            <xdr:xfrm>
              <a:off x="2956019" y="9584463"/>
              <a:ext cx="7621012" cy="3217138"/>
            </xdr:xfrm>
            <a:graphic>
              <a:graphicData uri="http://schemas.microsoft.com/office/drawing/2014/chartex">
                <cx:chart xmlns:cx="http://schemas.microsoft.com/office/drawing/2014/chartex" xmlns:r="http://schemas.openxmlformats.org/officeDocument/2006/relationships" r:id="rId27"/>
              </a:graphicData>
            </a:graphic>
          </xdr:graphicFrame>
        </mc:Choice>
        <mc:Fallback>
          <xdr:sp macro="" textlink="">
            <xdr:nvSpPr>
              <xdr:cNvPr id="0" name=""/>
              <xdr:cNvSpPr>
                <a:spLocks noTextEdit="1"/>
              </xdr:cNvSpPr>
            </xdr:nvSpPr>
            <xdr:spPr>
              <a:xfrm>
                <a:off x="2956019" y="9584463"/>
                <a:ext cx="7621012" cy="321713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13</xdr:col>
      <xdr:colOff>461022</xdr:colOff>
      <xdr:row>29</xdr:row>
      <xdr:rowOff>65837</xdr:rowOff>
    </xdr:from>
    <xdr:to>
      <xdr:col>23</xdr:col>
      <xdr:colOff>509546</xdr:colOff>
      <xdr:row>48</xdr:row>
      <xdr:rowOff>1451</xdr:rowOff>
    </xdr:to>
    <xdr:grpSp>
      <xdr:nvGrpSpPr>
        <xdr:cNvPr id="7179" name="Group 7178">
          <a:extLst>
            <a:ext uri="{FF2B5EF4-FFF2-40B4-BE49-F238E27FC236}">
              <a16:creationId xmlns:a16="http://schemas.microsoft.com/office/drawing/2014/main" id="{7127C2BD-142A-4B9B-9D04-3550903A7BFB}"/>
            </a:ext>
          </a:extLst>
        </xdr:cNvPr>
        <xdr:cNvGrpSpPr/>
      </xdr:nvGrpSpPr>
      <xdr:grpSpPr>
        <a:xfrm>
          <a:off x="8385822" y="5314112"/>
          <a:ext cx="6144524" cy="3374139"/>
          <a:chOff x="11704319" y="3108959"/>
          <a:chExt cx="7802881" cy="3474720"/>
        </a:xfrm>
      </xdr:grpSpPr>
      <xdr:sp macro="" textlink="'Data Analysis'!F7">
        <xdr:nvSpPr>
          <xdr:cNvPr id="98" name="Rectangle: Rounded Corners 97">
            <a:extLst>
              <a:ext uri="{FF2B5EF4-FFF2-40B4-BE49-F238E27FC236}">
                <a16:creationId xmlns:a16="http://schemas.microsoft.com/office/drawing/2014/main" id="{87CED77F-3795-4369-A5B4-95D6975AB5E0}"/>
              </a:ext>
            </a:extLst>
          </xdr:cNvPr>
          <xdr:cNvSpPr/>
        </xdr:nvSpPr>
        <xdr:spPr>
          <a:xfrm>
            <a:off x="11704319" y="3108959"/>
            <a:ext cx="7802881" cy="3474720"/>
          </a:xfrm>
          <a:prstGeom prst="roundRect">
            <a:avLst>
              <a:gd name="adj" fmla="val 1364"/>
            </a:avLst>
          </a:prstGeom>
          <a:solidFill>
            <a:schemeClr val="tx1">
              <a:alpha val="40000"/>
            </a:schemeClr>
          </a:solidFill>
          <a:ln>
            <a:noFill/>
          </a:ln>
          <a:effectLst>
            <a:outerShdw blurRad="50800" dist="38100" dir="2700000" algn="tl" rotWithShape="0">
              <a:schemeClr val="tx1">
                <a:alpha val="40000"/>
              </a:scheme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u="sng">
                <a:solidFill>
                  <a:schemeClr val="bg1"/>
                </a:solidFill>
                <a:latin typeface="Segoe UI" panose="020B0502040204020203" pitchFamily="34" charset="0"/>
                <a:cs typeface="Segoe UI" panose="020B0502040204020203" pitchFamily="34" charset="0"/>
              </a:rPr>
              <a:t>Employment status by Loan Amount</a:t>
            </a:r>
            <a:r>
              <a:rPr lang="en-IN" sz="1200" b="1" u="sng" baseline="0">
                <a:solidFill>
                  <a:schemeClr val="bg1"/>
                </a:solidFill>
                <a:latin typeface="Segoe UI" panose="020B0502040204020203" pitchFamily="34" charset="0"/>
                <a:cs typeface="Segoe UI" panose="020B0502040204020203" pitchFamily="34" charset="0"/>
              </a:rPr>
              <a:t> by Default Rate</a:t>
            </a:r>
            <a:endParaRPr lang="en-IN" sz="1200" b="1" u="sng">
              <a:solidFill>
                <a:schemeClr val="bg1"/>
              </a:solidFill>
              <a:latin typeface="Segoe UI" panose="020B0502040204020203" pitchFamily="34" charset="0"/>
              <a:cs typeface="Segoe UI" panose="020B0502040204020203" pitchFamily="34" charset="0"/>
            </a:endParaRPr>
          </a:p>
        </xdr:txBody>
      </xdr:sp>
      <xdr:graphicFrame macro="">
        <xdr:nvGraphicFramePr>
          <xdr:cNvPr id="96" name="Chart 95">
            <a:extLst>
              <a:ext uri="{FF2B5EF4-FFF2-40B4-BE49-F238E27FC236}">
                <a16:creationId xmlns:a16="http://schemas.microsoft.com/office/drawing/2014/main" id="{1BE95398-70AB-43CA-A188-566C36DE9B84}"/>
              </a:ext>
            </a:extLst>
          </xdr:cNvPr>
          <xdr:cNvGraphicFramePr>
            <a:graphicFrameLocks/>
          </xdr:cNvGraphicFramePr>
        </xdr:nvGraphicFramePr>
        <xdr:xfrm>
          <a:off x="11822025" y="3426751"/>
          <a:ext cx="7685175" cy="2969077"/>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4</xdr:col>
      <xdr:colOff>600704</xdr:colOff>
      <xdr:row>1</xdr:row>
      <xdr:rowOff>59985</xdr:rowOff>
    </xdr:from>
    <xdr:to>
      <xdr:col>5</xdr:col>
      <xdr:colOff>419534</xdr:colOff>
      <xdr:row>3</xdr:row>
      <xdr:rowOff>122655</xdr:rowOff>
    </xdr:to>
    <xdr:pic macro="[0]!Covert_PDF">
      <xdr:nvPicPr>
        <xdr:cNvPr id="101" name="Picture 100" descr="pdf png icon red and white color for 23234824 PNG">
          <a:extLst>
            <a:ext uri="{FF2B5EF4-FFF2-40B4-BE49-F238E27FC236}">
              <a16:creationId xmlns:a16="http://schemas.microsoft.com/office/drawing/2014/main" id="{063648B1-BDE2-4CDE-A224-BC69AACC1C47}"/>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3039104" y="242865"/>
          <a:ext cx="428430" cy="4284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jeshwaran Arulmani" refreshedDate="46021.780235532409" createdVersion="7" refreshedVersion="7" minRefreshableVersion="3" recordCount="2000" xr:uid="{BFC80179-63D7-4837-82F4-5B7458D28678}">
  <cacheSource type="worksheet">
    <worksheetSource ref="C7:AB2007" sheet="loan_default_prediction_dataset"/>
  </cacheSource>
  <cacheFields count="28">
    <cacheField name="Customer_ID" numFmtId="0">
      <sharedItems count="2000">
        <s v="LM143415"/>
        <s v="LM143559"/>
        <s v="LM143757"/>
        <s v="LM143774"/>
        <s v="LM144179"/>
        <s v="LM144302"/>
        <s v="LM144543"/>
        <s v="LM143242"/>
        <s v="LM143667"/>
        <s v="LM143909"/>
        <s v="LM143142"/>
        <s v="LM143291"/>
        <s v="LM143266"/>
        <s v="LM143910"/>
        <s v="LM144406"/>
        <s v="LM144480"/>
        <s v="LM144804"/>
        <s v="LM144831"/>
        <s v="LM143035"/>
        <s v="LM143309"/>
        <s v="LM144829"/>
        <s v="LM143262"/>
        <s v="LM143312"/>
        <s v="LM143478"/>
        <s v="LM144135"/>
        <s v="LM144169"/>
        <s v="LM144644"/>
        <s v="LM143350"/>
        <s v="LM144129"/>
        <s v="LM144576"/>
        <s v="LM143030"/>
        <s v="LM143794"/>
        <s v="LM143887"/>
        <s v="LM143944"/>
        <s v="LM144469"/>
        <s v="LM144612"/>
        <s v="LM143333"/>
        <s v="LM144227"/>
        <s v="LM144257"/>
        <s v="LM143202"/>
        <s v="LM143299"/>
        <s v="LM144014"/>
        <s v="LM144180"/>
        <s v="LM144352"/>
        <s v="LM144556"/>
        <s v="LM143265"/>
        <s v="LM143320"/>
        <s v="LM143470"/>
        <s v="LM144314"/>
        <s v="LM144777"/>
        <s v="LM143749"/>
        <s v="LM143883"/>
        <s v="LM143046"/>
        <s v="LM143196"/>
        <s v="LM143390"/>
        <s v="LM143717"/>
        <s v="LM143731"/>
        <s v="LM144504"/>
        <s v="LM143007"/>
        <s v="LM143576"/>
        <s v="LM144834"/>
        <s v="LM143005"/>
        <s v="LM143799"/>
        <s v="LM144551"/>
        <s v="LM143021"/>
        <s v="LM143321"/>
        <s v="LM143621"/>
        <s v="LM143225"/>
        <s v="LM143815"/>
        <s v="LM143968"/>
        <s v="LM143969"/>
        <s v="LM144370"/>
        <s v="LM144484"/>
        <s v="LM144632"/>
        <s v="LM143253"/>
        <s v="LM143546"/>
        <s v="LM144895"/>
        <s v="LM143041"/>
        <s v="LM143388"/>
        <s v="LM144522"/>
        <s v="LM143057"/>
        <s v="LM144403"/>
        <s v="LM144983"/>
        <s v="LM144105"/>
        <s v="LM144344"/>
        <s v="LM144679"/>
        <s v="LM144791"/>
        <s v="LM144939"/>
        <s v="LM143685"/>
        <s v="LM144065"/>
        <s v="LM144079"/>
        <s v="LM144669"/>
        <s v="LM144707"/>
        <s v="LM143032"/>
        <s v="LM143355"/>
        <s v="LM143499"/>
        <s v="LM144340"/>
        <s v="LM144500"/>
        <s v="LM144706"/>
        <s v="LM143394"/>
        <s v="LM144424"/>
        <s v="LM144807"/>
        <s v="LM144891"/>
        <s v="LM143947"/>
        <s v="LM143300"/>
        <s v="LM143330"/>
        <s v="LM143568"/>
        <s v="LM143662"/>
        <s v="LM144244"/>
        <s v="LM144635"/>
        <s v="LM143444"/>
        <s v="LM143596"/>
        <s v="LM144097"/>
        <s v="LM144923"/>
        <s v="LM143088"/>
        <s v="LM143290"/>
        <s v="LM143331"/>
        <s v="LM143357"/>
        <s v="LM143520"/>
        <s v="LM143756"/>
        <s v="LM144866"/>
        <s v="LM144364"/>
        <s v="LM144156"/>
        <s v="LM144157"/>
        <s v="LM144276"/>
        <s v="LM144354"/>
        <s v="LM144733"/>
        <s v="LM143459"/>
        <s v="LM143807"/>
        <s v="LM144663"/>
        <s v="LM144376"/>
        <s v="LM143072"/>
        <s v="LM143168"/>
        <s v="LM144587"/>
        <s v="LM144604"/>
        <s v="LM143318"/>
        <s v="LM143989"/>
        <s v="LM144154"/>
        <s v="LM144812"/>
        <s v="LM144060"/>
        <s v="LM144091"/>
        <s v="LM143583"/>
        <s v="LM144224"/>
        <s v="LM144936"/>
        <s v="LM143045"/>
        <s v="LM143501"/>
        <s v="LM143702"/>
        <s v="LM144555"/>
        <s v="LM143070"/>
        <s v="LM143379"/>
        <s v="LM144828"/>
        <s v="LM143455"/>
        <s v="LM144643"/>
        <s v="LM144860"/>
        <s v="LM144678"/>
        <s v="LM143271"/>
        <s v="LM143977"/>
        <s v="LM144165"/>
        <s v="LM143256"/>
        <s v="LM144606"/>
        <s v="LM143258"/>
        <s v="LM143787"/>
        <s v="LM143918"/>
        <s v="LM143073"/>
        <s v="LM143754"/>
        <s v="LM144066"/>
        <s v="LM144287"/>
        <s v="LM144355"/>
        <s v="LM144441"/>
        <s v="LM144493"/>
        <s v="LM144610"/>
        <s v="LM144018"/>
        <s v="LM144414"/>
        <s v="LM144471"/>
        <s v="LM144479"/>
        <s v="LM144613"/>
        <s v="LM144649"/>
        <s v="LM143985"/>
        <s v="LM144565"/>
        <s v="LM143075"/>
        <s v="LM144073"/>
        <s v="LM143443"/>
        <s v="LM144347"/>
        <s v="LM144642"/>
        <s v="LM144889"/>
        <s v="LM143830"/>
        <s v="LM144594"/>
        <s v="LM143200"/>
        <s v="LM143619"/>
        <s v="LM144025"/>
        <s v="LM144261"/>
        <s v="LM144534"/>
        <s v="LM143322"/>
        <s v="LM143663"/>
        <s v="LM144144"/>
        <s v="LM143328"/>
        <s v="LM143529"/>
        <s v="LM144172"/>
        <s v="LM143952"/>
        <s v="LM144538"/>
        <s v="LM144633"/>
        <s v="LM143903"/>
        <s v="LM144047"/>
        <s v="LM144117"/>
        <s v="LM143574"/>
        <s v="LM143736"/>
        <s v="LM143988"/>
        <s v="LM144190"/>
        <s v="LM144323"/>
        <s v="LM144614"/>
        <s v="LM144916"/>
        <s v="LM144930"/>
        <s v="LM144440"/>
        <s v="LM144451"/>
        <s v="LM144781"/>
        <s v="LM143853"/>
        <s v="LM144102"/>
        <s v="LM144103"/>
        <s v="LM144629"/>
        <s v="LM144192"/>
        <s v="LM144250"/>
        <s v="LM143243"/>
        <s v="LM143534"/>
        <s v="LM144280"/>
        <s v="LM144918"/>
        <s v="LM143905"/>
        <s v="LM144107"/>
        <s v="LM144262"/>
        <s v="LM144732"/>
        <s v="LM143077"/>
        <s v="LM144277"/>
        <s v="LM144317"/>
        <s v="LM144857"/>
        <s v="LM144550"/>
        <s v="LM143542"/>
        <s v="LM143593"/>
        <s v="LM144468"/>
        <s v="LM143399"/>
        <s v="LM143710"/>
        <s v="LM143769"/>
        <s v="LM144058"/>
        <s v="LM144132"/>
        <s v="LM144589"/>
        <s v="LM144967"/>
        <s v="LM143061"/>
        <s v="LM144083"/>
        <s v="LM144273"/>
        <s v="LM144382"/>
        <s v="LM144508"/>
        <s v="LM144516"/>
        <s v="LM143699"/>
        <s v="LM144209"/>
        <s v="LM144803"/>
        <s v="LM143334"/>
        <s v="LM143987"/>
        <s v="LM144037"/>
        <s v="LM144282"/>
        <s v="LM144548"/>
        <s v="LM143110"/>
        <s v="LM143381"/>
        <s v="LM143464"/>
        <s v="LM143882"/>
        <s v="LM143954"/>
        <s v="LM144329"/>
        <s v="LM144660"/>
        <s v="LM143067"/>
        <s v="LM144139"/>
        <s v="LM144915"/>
        <s v="LM143957"/>
        <s v="LM144061"/>
        <s v="LM144465"/>
        <s v="LM144833"/>
        <s v="LM143091"/>
        <s v="LM143898"/>
        <s v="LM144098"/>
        <s v="LM144204"/>
        <s v="LM144631"/>
        <s v="LM144767"/>
        <s v="LM144919"/>
        <s v="LM144962"/>
        <s v="LM143768"/>
        <s v="LM143937"/>
        <s v="LM144035"/>
        <s v="LM144080"/>
        <s v="LM144121"/>
        <s v="LM144783"/>
        <s v="LM144985"/>
        <s v="LM143179"/>
        <s v="LM144001"/>
        <s v="LM144223"/>
        <s v="LM144520"/>
        <s v="LM143295"/>
        <s v="LM144046"/>
        <s v="LM144334"/>
        <s v="LM144586"/>
        <s v="LM143553"/>
        <s v="LM144312"/>
        <s v="LM143078"/>
        <s v="LM143716"/>
        <s v="LM144095"/>
        <s v="LM144517"/>
        <s v="LM144577"/>
        <s v="LM143176"/>
        <s v="LM143263"/>
        <s v="LM143991"/>
        <s v="LM144041"/>
        <s v="LM144356"/>
        <s v="LM144435"/>
        <s v="LM143066"/>
        <s v="LM143687"/>
        <s v="LM144596"/>
        <s v="LM144627"/>
        <s v="LM144975"/>
        <s v="LM143441"/>
        <s v="LM144215"/>
        <s v="LM144710"/>
        <s v="LM143239"/>
        <s v="LM143417"/>
        <s v="LM143491"/>
        <s v="LM143608"/>
        <s v="LM143928"/>
        <s v="LM143955"/>
        <s v="LM144495"/>
        <s v="LM144527"/>
        <s v="LM144682"/>
        <s v="LM144799"/>
        <s v="LM144943"/>
        <s v="LM143502"/>
        <s v="LM143670"/>
        <s v="LM144054"/>
        <s v="LM144541"/>
        <s v="LM144568"/>
        <s v="LM143107"/>
        <s v="LM143945"/>
        <s v="LM143193"/>
        <s v="LM143838"/>
        <s v="LM143925"/>
        <s v="LM143344"/>
        <s v="LM144874"/>
        <s v="LM143819"/>
        <s v="LM143926"/>
        <s v="LM144938"/>
        <s v="LM143345"/>
        <s v="LM143896"/>
        <s v="LM144894"/>
        <s v="LM143329"/>
        <s v="LM144085"/>
        <s v="LM144148"/>
        <s v="LM144447"/>
        <s v="LM143400"/>
        <s v="LM144053"/>
        <s v="LM144309"/>
        <s v="LM144341"/>
        <s v="LM144625"/>
        <s v="LM144648"/>
        <s v="LM143028"/>
        <s v="LM143053"/>
        <s v="LM143145"/>
        <s v="LM144252"/>
        <s v="LM144701"/>
        <s v="LM143120"/>
        <s v="LM144379"/>
        <s v="LM144750"/>
        <s v="LM144960"/>
        <s v="LM143190"/>
        <s v="LM143240"/>
        <s v="LM143018"/>
        <s v="LM143230"/>
        <s v="LM144003"/>
        <s v="LM144279"/>
        <s v="LM144015"/>
        <s v="LM143418"/>
        <s v="LM143483"/>
        <s v="LM144301"/>
        <s v="LM144322"/>
        <s v="LM144546"/>
        <s v="LM143062"/>
        <s v="LM143851"/>
        <s v="LM143919"/>
        <s v="LM144016"/>
        <s v="LM144263"/>
        <s v="LM144638"/>
        <s v="LM143115"/>
        <s v="LM144090"/>
        <s v="LM144811"/>
        <s v="LM143017"/>
        <s v="LM143622"/>
        <s v="LM143677"/>
        <s v="LM144858"/>
        <s v="LM144872"/>
        <s v="LM143293"/>
        <s v="LM143481"/>
        <s v="LM144734"/>
        <s v="LM144847"/>
        <s v="LM143373"/>
        <s v="LM143374"/>
        <s v="LM144161"/>
        <s v="LM144336"/>
        <s v="LM144399"/>
        <s v="LM144526"/>
        <s v="LM143862"/>
        <s v="LM144372"/>
        <s v="LM143591"/>
        <s v="LM144158"/>
        <s v="LM144667"/>
        <s v="LM144738"/>
        <s v="LM144776"/>
        <s v="LM143286"/>
        <s v="LM143469"/>
        <s v="LM143682"/>
        <s v="LM143796"/>
        <s v="LM143826"/>
        <s v="LM143020"/>
        <s v="LM143270"/>
        <s v="LM144348"/>
        <s v="LM144114"/>
        <s v="LM144189"/>
        <s v="LM144535"/>
        <s v="LM144602"/>
        <s v="LM144752"/>
        <s v="LM143069"/>
        <s v="LM143410"/>
        <s v="LM144380"/>
        <s v="LM144521"/>
        <s v="LM143195"/>
        <s v="LM144160"/>
        <s v="LM144351"/>
        <s v="LM144569"/>
        <s v="LM144583"/>
        <s v="LM144175"/>
        <s v="LM144928"/>
        <s v="LM143454"/>
        <s v="LM143705"/>
        <s v="LM144142"/>
        <s v="LM144459"/>
        <s v="LM143681"/>
        <s v="LM144305"/>
        <s v="LM144591"/>
        <s v="LM144655"/>
        <s v="LM144972"/>
        <s v="LM143130"/>
        <s v="LM143597"/>
        <s v="LM143857"/>
        <s v="LM143863"/>
        <s v="LM144321"/>
        <s v="LM144345"/>
        <s v="LM143747"/>
        <s v="LM143843"/>
        <s v="LM143846"/>
        <s v="LM144039"/>
        <s v="LM144533"/>
        <s v="LM143353"/>
        <s v="LM144411"/>
        <s v="LM143210"/>
        <s v="LM143648"/>
        <s v="LM143824"/>
        <s v="LM143847"/>
        <s v="LM144362"/>
        <s v="LM144505"/>
        <s v="LM144725"/>
        <s v="LM143645"/>
        <s v="LM143920"/>
        <s v="LM144443"/>
        <s v="LM143921"/>
        <s v="LM143933"/>
        <s v="LM144140"/>
        <s v="LM144240"/>
        <s v="LM144260"/>
        <s v="LM144708"/>
        <s v="LM143212"/>
        <s v="LM143297"/>
        <s v="LM143391"/>
        <s v="LM143149"/>
        <s v="LM144174"/>
        <s v="LM144385"/>
        <s v="LM144864"/>
        <s v="LM143039"/>
        <s v="LM144029"/>
        <s v="LM144552"/>
        <s v="LM144980"/>
        <s v="LM143164"/>
        <s v="LM143198"/>
        <s v="LM143407"/>
        <s v="LM143922"/>
        <s v="LM144116"/>
        <s v="LM144965"/>
        <s v="LM143289"/>
        <s v="LM143567"/>
        <s v="LM143861"/>
        <s v="LM144242"/>
        <s v="LM144325"/>
        <s v="LM144862"/>
        <s v="LM143396"/>
        <s v="LM143426"/>
        <s v="LM143615"/>
        <s v="LM144950"/>
        <s v="LM143566"/>
        <s v="LM143839"/>
        <s v="LM143870"/>
        <s v="LM143948"/>
        <s v="LM143993"/>
        <s v="LM143998"/>
        <s v="LM144030"/>
        <s v="LM144088"/>
        <s v="LM144330"/>
        <s v="LM144790"/>
        <s v="LM144946"/>
        <s v="LM143211"/>
        <s v="LM143213"/>
        <s v="LM143398"/>
        <s v="LM144089"/>
        <s v="LM144511"/>
        <s v="LM144617"/>
        <s v="LM144800"/>
        <s v="LM143158"/>
        <s v="LM143890"/>
        <s v="LM144245"/>
        <s v="LM144907"/>
        <s v="LM143382"/>
        <s v="LM143433"/>
        <s v="LM144724"/>
        <s v="LM143087"/>
        <s v="LM143856"/>
        <s v="LM144264"/>
        <s v="LM144503"/>
        <s v="LM144818"/>
        <s v="LM143708"/>
        <s v="LM144040"/>
        <s v="LM144859"/>
        <s v="LM143101"/>
        <s v="LM143640"/>
        <s v="LM144118"/>
        <s v="LM144574"/>
        <s v="LM144742"/>
        <s v="LM143462"/>
        <s v="LM143837"/>
        <s v="LM144557"/>
        <s v="LM144693"/>
        <s v="LM143743"/>
        <s v="LM144492"/>
        <s v="LM144716"/>
        <s v="LM144084"/>
        <s v="LM144719"/>
        <s v="LM143906"/>
        <s v="LM143040"/>
        <s v="LM143578"/>
        <s v="LM143184"/>
        <s v="LM143635"/>
        <s v="LM144313"/>
        <s v="LM144540"/>
        <s v="LM144715"/>
        <s v="LM144773"/>
        <s v="LM143260"/>
        <s v="LM143560"/>
        <s v="LM143573"/>
        <s v="LM144393"/>
        <s v="LM143068"/>
        <s v="LM143111"/>
        <s v="LM144420"/>
        <s v="LM144821"/>
        <s v="LM143554"/>
        <s v="LM143605"/>
        <s v="LM144472"/>
        <s v="LM144963"/>
        <s v="LM143613"/>
        <s v="LM144854"/>
        <s v="LM144699"/>
        <s v="LM144934"/>
        <s v="LM144951"/>
        <s v="LM144971"/>
        <s v="LM143832"/>
        <s v="LM144368"/>
        <s v="LM143026"/>
        <s v="LM143183"/>
        <s v="LM143416"/>
        <s v="LM144026"/>
        <s v="LM144509"/>
        <s v="LM143172"/>
        <s v="LM143810"/>
        <s v="LM144464"/>
        <s v="LM143267"/>
        <s v="LM144579"/>
        <s v="LM144788"/>
        <s v="LM143224"/>
        <s v="LM143269"/>
        <s v="LM143563"/>
        <s v="LM143674"/>
        <s v="LM144191"/>
        <s v="LM144729"/>
        <s v="LM143950"/>
        <s v="LM144428"/>
        <s v="LM143129"/>
        <s v="LM143714"/>
        <s v="LM144839"/>
        <s v="LM143592"/>
        <s v="LM143996"/>
        <s v="LM144848"/>
        <s v="LM143090"/>
        <s v="LM143207"/>
        <s v="LM143341"/>
        <s v="LM144000"/>
        <s v="LM144038"/>
        <s v="LM144081"/>
        <s v="LM144110"/>
        <s v="LM144163"/>
        <s v="LM143155"/>
        <s v="LM143600"/>
        <s v="LM143216"/>
        <s v="LM143821"/>
        <s v="LM143103"/>
        <s v="LM143628"/>
        <s v="LM143949"/>
        <s v="LM144094"/>
        <s v="LM143841"/>
        <s v="LM143901"/>
        <s v="LM144068"/>
        <s v="LM143187"/>
        <s v="LM143412"/>
        <s v="LM143472"/>
        <s v="LM143713"/>
        <s v="LM143881"/>
        <s v="LM144421"/>
        <s v="LM144920"/>
        <s v="LM143251"/>
        <s v="LM143457"/>
        <s v="LM143675"/>
        <s v="LM144125"/>
        <s v="LM144371"/>
        <s v="LM144442"/>
        <s v="LM144483"/>
        <s v="LM144564"/>
        <s v="LM143310"/>
        <s v="LM143634"/>
        <s v="LM143781"/>
        <s v="LM143363"/>
        <s v="LM143929"/>
        <s v="LM144909"/>
        <s v="LM143405"/>
        <s v="LM144749"/>
        <s v="LM144824"/>
        <s v="LM143102"/>
        <s v="LM144187"/>
        <s v="LM144392"/>
        <s v="LM143175"/>
        <s v="LM143221"/>
        <s v="LM143539"/>
        <s v="LM143734"/>
        <s v="LM144758"/>
        <s v="LM143653"/>
        <s v="LM143916"/>
        <s v="LM143875"/>
        <s v="LM143623"/>
        <s v="LM144217"/>
        <s v="LM144720"/>
        <s v="LM144868"/>
        <s v="LM144926"/>
        <s v="LM144945"/>
        <s v="LM143167"/>
        <s v="LM143215"/>
        <s v="LM143241"/>
        <s v="LM144986"/>
        <s v="LM144999"/>
        <s v="LM144457"/>
        <s v="LM143106"/>
        <s v="LM143323"/>
        <s v="LM143474"/>
        <s v="LM144176"/>
        <s v="LM144438"/>
        <s v="LM144458"/>
        <s v="LM144948"/>
        <s v="LM144542"/>
        <s v="LM144754"/>
        <s v="LM143860"/>
        <s v="LM144762"/>
        <s v="LM144810"/>
        <s v="LM144924"/>
        <s v="LM143571"/>
        <s v="LM143694"/>
        <s v="LM143703"/>
        <s v="LM143782"/>
        <s v="LM144270"/>
        <s v="LM144294"/>
        <s v="LM144830"/>
        <s v="LM143572"/>
        <s v="LM143931"/>
        <s v="LM144381"/>
        <s v="LM144444"/>
        <s v="LM144993"/>
        <s v="LM143048"/>
        <s v="LM143119"/>
        <s v="LM143255"/>
        <s v="LM143624"/>
        <s v="LM144567"/>
        <s v="LM143530"/>
        <s v="LM144620"/>
        <s v="LM144779"/>
        <s v="LM143031"/>
        <s v="LM143049"/>
        <s v="LM143376"/>
        <s v="LM143689"/>
        <s v="LM143760"/>
        <s v="LM144258"/>
        <s v="LM144482"/>
        <s v="LM144932"/>
        <s v="LM143840"/>
        <s v="LM144875"/>
        <s v="LM143121"/>
        <s v="LM143228"/>
        <s v="LM143339"/>
        <s v="LM143569"/>
        <s v="LM143737"/>
        <s v="LM143800"/>
        <s v="LM144519"/>
        <s v="LM143585"/>
        <s v="LM143618"/>
        <s v="LM143313"/>
        <s v="LM143368"/>
        <s v="LM144672"/>
        <s v="LM144728"/>
        <s v="LM143025"/>
        <s v="LM143093"/>
        <s v="LM143704"/>
        <s v="LM144246"/>
        <s v="LM144398"/>
        <s v="LM144886"/>
        <s v="LM143477"/>
        <s v="LM143586"/>
        <s v="LM143644"/>
        <s v="LM143697"/>
        <s v="LM144510"/>
        <s v="LM143349"/>
        <s v="LM144108"/>
        <s v="LM143285"/>
        <s v="LM143540"/>
        <s v="LM143741"/>
        <s v="LM144507"/>
        <s v="LM144775"/>
        <s v="LM144388"/>
        <s v="LM144968"/>
        <s v="LM144970"/>
        <s v="LM144917"/>
        <s v="LM143603"/>
        <s v="LM143629"/>
        <s v="LM144809"/>
        <s v="LM143387"/>
        <s v="LM143604"/>
        <s v="LM144177"/>
        <s v="LM144182"/>
        <s v="LM144335"/>
        <s v="LM144700"/>
        <s v="LM143023"/>
        <s v="LM143089"/>
        <s v="LM144128"/>
        <s v="LM144695"/>
        <s v="LM143307"/>
        <s v="LM143516"/>
        <s v="LM144908"/>
        <s v="LM143783"/>
        <s v="LM144131"/>
        <s v="LM144212"/>
        <s v="LM144736"/>
        <s v="LM144903"/>
        <s v="LM143113"/>
        <s v="LM143895"/>
        <s v="LM144782"/>
        <s v="LM144940"/>
        <s v="LM143064"/>
        <s v="LM143086"/>
        <s v="LM143227"/>
        <s v="LM144671"/>
        <s v="LM143759"/>
        <s v="LM143763"/>
        <s v="LM144159"/>
        <s v="LM144281"/>
        <s v="LM144487"/>
        <s v="LM144927"/>
        <s v="LM143531"/>
        <s v="LM143971"/>
        <s v="LM144167"/>
        <s v="LM144339"/>
        <s v="LM143247"/>
        <s v="LM143813"/>
        <s v="LM143936"/>
        <s v="LM143197"/>
        <s v="LM143911"/>
        <s v="LM143912"/>
        <s v="LM144311"/>
        <s v="LM144590"/>
        <s v="LM144687"/>
        <s v="LM144929"/>
        <s v="LM143656"/>
        <s v="LM143490"/>
        <s v="LM143761"/>
        <s v="LM144020"/>
        <s v="LM144880"/>
        <s v="LM143063"/>
        <s v="LM143317"/>
        <s v="LM144024"/>
        <s v="LM144235"/>
        <s v="LM144489"/>
        <s v="LM143498"/>
        <s v="LM143673"/>
        <s v="LM144698"/>
        <s v="LM143419"/>
        <s v="LM143904"/>
        <s v="LM144259"/>
        <s v="LM144694"/>
        <s v="LM143118"/>
        <s v="LM143358"/>
        <s v="LM143409"/>
        <s v="LM143742"/>
        <s v="LM144265"/>
        <s v="LM144883"/>
        <s v="LM143014"/>
        <s v="LM143547"/>
        <s v="LM143792"/>
        <s v="LM143250"/>
        <s v="LM143620"/>
        <s v="LM143845"/>
        <s v="LM143011"/>
        <s v="LM143778"/>
        <s v="LM144045"/>
        <s v="LM144878"/>
        <s v="LM143047"/>
        <s v="LM143051"/>
        <s v="LM143375"/>
        <s v="LM144104"/>
        <s v="LM144685"/>
        <s v="LM143359"/>
        <s v="LM143776"/>
        <s v="LM143825"/>
        <s v="LM144031"/>
        <s v="LM144166"/>
        <s v="LM144387"/>
        <s v="LM143050"/>
        <s v="LM143182"/>
        <s v="LM143627"/>
        <s v="LM144661"/>
        <s v="LM144723"/>
        <s v="LM143160"/>
        <s v="LM143744"/>
        <s v="LM144911"/>
        <s v="LM143923"/>
        <s v="LM144852"/>
        <s v="LM143128"/>
        <s v="LM143199"/>
        <s v="LM143535"/>
        <s v="LM143626"/>
        <s v="LM143272"/>
        <s v="LM143327"/>
        <s v="LM143580"/>
        <s v="LM144138"/>
        <s v="LM144419"/>
        <s v="LM144578"/>
        <s v="LM143105"/>
        <s v="LM144653"/>
        <s v="LM144674"/>
        <s v="LM144813"/>
        <s v="LM144422"/>
        <s v="LM144747"/>
        <s v="LM144774"/>
        <s v="LM144853"/>
        <s v="LM143305"/>
        <s v="LM143314"/>
        <s v="LM143325"/>
        <s v="LM143524"/>
        <s v="LM143679"/>
        <s v="LM144206"/>
        <s v="LM144332"/>
        <s v="LM144408"/>
        <s v="LM144827"/>
        <s v="LM143140"/>
        <s v="LM143855"/>
        <s v="LM144288"/>
        <s v="LM144795"/>
        <s v="LM143332"/>
        <s v="LM143150"/>
        <s v="LM143033"/>
        <s v="LM143511"/>
        <s v="LM143693"/>
        <s v="LM144703"/>
        <s v="LM144049"/>
        <s v="LM143006"/>
        <s v="LM143192"/>
        <s v="LM143966"/>
        <s v="LM144539"/>
        <s v="LM144914"/>
        <s v="LM143427"/>
        <s v="LM143527"/>
        <s v="LM143720"/>
        <s v="LM144050"/>
        <s v="LM144844"/>
        <s v="LM143222"/>
        <s v="LM144377"/>
        <s v="LM144621"/>
        <s v="LM144974"/>
        <s v="LM143495"/>
        <s v="LM144028"/>
        <s v="LM144112"/>
        <s v="LM144426"/>
        <s v="LM144486"/>
        <s v="LM144727"/>
        <s v="LM144745"/>
        <s v="LM143354"/>
        <s v="LM143582"/>
        <s v="LM143809"/>
        <s v="LM144295"/>
        <s v="LM144797"/>
        <s v="LM144876"/>
        <s v="LM143482"/>
        <s v="LM144349"/>
        <s v="LM144494"/>
        <s v="LM143141"/>
        <s v="LM144366"/>
        <s v="LM143564"/>
        <s v="LM143974"/>
        <s v="LM143234"/>
        <s v="LM143365"/>
        <s v="LM143669"/>
        <s v="LM143724"/>
        <s v="LM144563"/>
        <s v="LM144430"/>
        <s v="LM144826"/>
        <s v="LM143044"/>
        <s v="LM143401"/>
        <s v="LM143639"/>
        <s v="LM144566"/>
        <s v="LM144769"/>
        <s v="LM143772"/>
        <s v="LM144299"/>
        <s v="LM144434"/>
        <s v="LM144453"/>
        <s v="LM143204"/>
        <s v="LM143665"/>
        <s v="LM143649"/>
        <s v="LM144012"/>
        <s v="LM143004"/>
        <s v="LM143337"/>
        <s v="LM143866"/>
        <s v="LM144233"/>
        <s v="LM144559"/>
        <s v="LM144855"/>
        <s v="LM144856"/>
        <s v="LM143146"/>
        <s v="LM143189"/>
        <s v="LM143528"/>
        <s v="LM143900"/>
        <s v="LM144268"/>
        <s v="LM144681"/>
        <s v="LM143447"/>
        <s v="LM143984"/>
        <s v="LM143027"/>
        <s v="LM143174"/>
        <s v="LM143100"/>
        <s v="LM143497"/>
        <s v="LM143599"/>
        <s v="LM144063"/>
        <s v="LM143690"/>
        <s v="LM143827"/>
        <s v="LM144237"/>
        <s v="LM144346"/>
        <s v="LM143153"/>
        <s v="LM143282"/>
        <s v="LM143767"/>
        <s v="LM143186"/>
        <s v="LM144048"/>
        <s v="LM143206"/>
        <s v="LM143421"/>
        <s v="LM143992"/>
        <s v="LM144481"/>
        <s v="LM143616"/>
        <s v="LM143805"/>
        <s v="LM144008"/>
        <s v="LM144778"/>
        <s v="LM144822"/>
        <s v="LM143276"/>
        <s v="LM143434"/>
        <s v="LM143590"/>
        <s v="LM144361"/>
        <s v="LM144992"/>
        <s v="LM143730"/>
        <s v="LM144528"/>
        <s v="LM144921"/>
        <s v="LM144997"/>
        <s v="LM143552"/>
        <s v="LM143595"/>
        <s v="LM144290"/>
        <s v="LM144601"/>
        <s v="LM143347"/>
        <s v="LM143686"/>
        <s v="LM144145"/>
        <s v="LM144711"/>
        <s v="LM143302"/>
        <s v="LM144004"/>
        <s v="LM143366"/>
        <s v="LM143446"/>
        <s v="LM143655"/>
        <s v="LM144603"/>
        <s v="LM143092"/>
        <s v="LM143378"/>
        <s v="LM143465"/>
        <s v="LM143939"/>
        <s v="LM144100"/>
        <s v="LM143422"/>
        <s v="LM143788"/>
        <s v="LM144718"/>
        <s v="LM143738"/>
        <s v="LM144149"/>
        <s v="LM144598"/>
        <s v="LM144796"/>
        <s v="LM144865"/>
        <s v="LM143521"/>
        <s v="LM144952"/>
        <s v="LM143157"/>
        <s v="LM143504"/>
        <s v="LM143541"/>
        <s v="LM143755"/>
        <s v="LM143869"/>
        <s v="LM144432"/>
        <s v="LM144832"/>
        <s v="LM143080"/>
        <s v="LM143188"/>
        <s v="LM143414"/>
        <s v="LM143425"/>
        <s v="LM143609"/>
        <s v="LM143695"/>
        <s v="LM144183"/>
        <s v="LM144342"/>
        <s v="LM144580"/>
        <s v="LM143143"/>
        <s v="LM143488"/>
        <s v="LM143577"/>
        <s v="LM143849"/>
        <s v="LM144126"/>
        <s v="LM144184"/>
        <s v="LM144789"/>
        <s v="LM144825"/>
        <s v="LM144013"/>
        <s v="LM144407"/>
        <s v="LM143315"/>
        <s v="LM143661"/>
        <s v="LM144232"/>
        <s v="LM144531"/>
        <s v="LM144746"/>
        <s v="LM144816"/>
        <s v="LM143342"/>
        <s v="LM143817"/>
        <s v="LM144146"/>
        <s v="LM144680"/>
        <s v="LM144740"/>
        <s v="LM144887"/>
        <s v="LM143486"/>
        <s v="LM144115"/>
        <s v="LM144449"/>
        <s v="LM144584"/>
        <s v="LM144637"/>
        <s v="LM144228"/>
        <s v="LM144692"/>
        <s v="LM143764"/>
        <s v="LM144248"/>
        <s v="LM143980"/>
        <s v="LM144216"/>
        <s v="LM144374"/>
        <s v="LM144937"/>
        <s v="LM144267"/>
        <s v="LM144561"/>
        <s v="LM144099"/>
        <s v="LM144208"/>
        <s v="LM144731"/>
        <s v="LM143588"/>
        <s v="LM143602"/>
        <s v="LM143751"/>
        <s v="LM143833"/>
        <s v="LM143852"/>
        <s v="LM143967"/>
        <s v="LM144298"/>
        <s v="LM144905"/>
        <s v="LM144425"/>
        <s v="LM144843"/>
        <s v="LM144954"/>
        <s v="LM143500"/>
        <s v="LM144328"/>
        <s v="LM144544"/>
        <s v="LM144892"/>
        <s v="LM144221"/>
        <s v="LM144697"/>
        <s v="LM144933"/>
        <s v="LM143136"/>
        <s v="LM143154"/>
        <s v="LM143218"/>
        <s v="LM143420"/>
        <s v="LM143435"/>
        <s v="LM143664"/>
        <s v="LM143722"/>
        <s v="LM144369"/>
        <s v="LM144739"/>
        <s v="LM144792"/>
        <s v="LM144819"/>
        <s v="LM144913"/>
        <s v="LM144837"/>
        <s v="LM144423"/>
        <s v="LM143126"/>
        <s v="LM143507"/>
        <s v="LM144326"/>
        <s v="LM144593"/>
        <s v="LM144600"/>
        <s v="LM144784"/>
        <s v="LM144042"/>
        <s v="LM144067"/>
        <s v="LM143872"/>
        <s v="LM144944"/>
        <s v="LM143137"/>
        <s v="LM143496"/>
        <s v="LM143508"/>
        <s v="LM143522"/>
        <s v="LM143471"/>
        <s v="LM144404"/>
        <s v="LM144705"/>
        <s v="LM143715"/>
        <s v="LM143777"/>
        <s v="LM144461"/>
        <s v="LM144861"/>
        <s v="LM144491"/>
        <s v="LM144628"/>
        <s v="LM144906"/>
        <s v="LM144982"/>
        <s v="LM143942"/>
        <s v="LM144977"/>
        <s v="LM143997"/>
        <s v="LM144476"/>
        <s v="LM144607"/>
        <s v="LM143753"/>
        <s v="LM143814"/>
        <s v="LM144530"/>
        <s v="LM143237"/>
        <s v="LM143252"/>
        <s v="LM143424"/>
        <s v="LM143834"/>
        <s v="LM143733"/>
        <s v="LM144995"/>
        <s v="LM143893"/>
        <s v="LM144202"/>
        <s v="LM143275"/>
        <s v="LM143440"/>
        <s v="LM144608"/>
        <s v="LM143960"/>
        <s v="LM144400"/>
        <s v="LM144436"/>
        <s v="LM144496"/>
        <s v="LM144506"/>
        <s v="LM144785"/>
        <s v="LM144957"/>
        <s v="LM143008"/>
        <s v="LM143692"/>
        <s v="LM144375"/>
        <s v="LM144437"/>
        <s v="LM144616"/>
        <s v="LM144835"/>
        <s v="LM144002"/>
        <s v="LM144431"/>
        <s v="LM144877"/>
        <s v="LM143975"/>
        <s v="LM144255"/>
        <s v="LM144439"/>
        <s v="LM144171"/>
        <s v="LM143156"/>
        <s v="LM143403"/>
        <s v="LM143506"/>
        <s v="LM143874"/>
        <s v="LM143022"/>
        <s v="LM143043"/>
        <s v="LM143575"/>
        <s v="LM143646"/>
        <s v="LM144005"/>
        <s v="LM144205"/>
        <s v="LM144646"/>
        <s v="LM143082"/>
        <s v="LM143442"/>
        <s v="LM144360"/>
        <s v="LM144704"/>
        <s v="LM144011"/>
        <s v="LM144850"/>
        <s v="LM144979"/>
        <s v="LM143828"/>
        <s v="LM144082"/>
        <s v="LM144198"/>
        <s v="LM144766"/>
        <s v="LM143012"/>
        <s v="LM143281"/>
        <s v="LM143707"/>
        <s v="LM144394"/>
        <s v="LM143484"/>
        <s v="LM143438"/>
        <s v="LM144283"/>
        <s v="LM144319"/>
        <s v="LM143684"/>
        <s v="LM144771"/>
        <s v="LM143610"/>
        <s v="LM143784"/>
        <s v="LM144456"/>
        <s v="LM144572"/>
        <s v="LM144597"/>
        <s v="LM144630"/>
        <s v="LM144691"/>
        <s v="LM144973"/>
        <s v="LM143019"/>
        <s v="LM143888"/>
        <s v="LM143683"/>
        <s v="LM144069"/>
        <s v="LM144077"/>
        <s v="LM144293"/>
        <s v="LM144942"/>
        <s v="LM143797"/>
        <s v="LM144395"/>
        <s v="LM144814"/>
        <s v="LM143122"/>
        <s v="LM143963"/>
        <s v="LM144801"/>
        <s v="LM143273"/>
        <s v="LM143343"/>
        <s v="LM143631"/>
        <s v="LM143249"/>
        <s v="LM143884"/>
        <s v="LM144188"/>
        <s v="LM143177"/>
        <s v="LM143453"/>
        <s v="LM144007"/>
        <s v="LM144231"/>
        <s v="LM144966"/>
        <s v="LM144595"/>
        <s v="LM143244"/>
        <s v="LM143729"/>
        <s v="LM143766"/>
        <s v="LM144365"/>
        <s v="LM144558"/>
        <s v="LM144871"/>
        <s v="LM143432"/>
        <s v="LM143647"/>
        <s v="LM143718"/>
        <s v="LM144241"/>
        <s v="LM144798"/>
        <s v="LM143009"/>
        <s v="LM143558"/>
        <s v="LM143589"/>
        <s v="LM143194"/>
        <s v="LM143294"/>
        <s v="LM143789"/>
        <s v="LM144151"/>
        <s v="LM144230"/>
        <s v="LM144545"/>
        <s v="LM144690"/>
        <s v="LM144744"/>
        <s v="LM143606"/>
        <s v="LM143804"/>
        <s v="LM144234"/>
        <s v="LM144473"/>
        <s v="LM143456"/>
        <s v="LM143823"/>
        <s v="LM143935"/>
        <s v="LM144470"/>
        <s v="LM144524"/>
        <s v="LM143651"/>
        <s v="LM143880"/>
        <s v="LM144155"/>
        <s v="LM144730"/>
        <s v="LM143116"/>
        <s v="LM143162"/>
        <s v="LM143775"/>
        <s v="LM143943"/>
        <s v="LM144087"/>
        <s v="LM143096"/>
        <s v="LM143117"/>
        <s v="LM143257"/>
        <s v="LM144445"/>
        <s v="LM144808"/>
        <s v="LM143264"/>
        <s v="LM143370"/>
        <s v="LM144207"/>
        <s v="LM144064"/>
        <s v="LM144239"/>
        <s v="LM144611"/>
        <s v="LM143503"/>
        <s v="LM143765"/>
        <s v="LM143159"/>
        <s v="LM143822"/>
        <s v="LM144057"/>
        <s v="LM144200"/>
        <s v="LM144571"/>
        <s v="LM143036"/>
        <s v="LM143565"/>
        <s v="LM144592"/>
        <s v="LM144657"/>
        <s v="LM143938"/>
        <s v="LM144256"/>
        <s v="LM144499"/>
        <s v="LM143633"/>
        <s v="LM144588"/>
        <s v="LM143056"/>
        <s v="LM143139"/>
        <s v="LM143248"/>
        <s v="LM143632"/>
        <s v="LM143711"/>
        <s v="LM144137"/>
        <s v="LM144639"/>
        <s v="LM144990"/>
        <s v="LM143278"/>
        <s v="LM143561"/>
        <s v="LM144402"/>
        <s v="LM144581"/>
        <s v="LM144751"/>
        <s v="LM144549"/>
        <s v="LM144902"/>
        <s v="LM143752"/>
        <s v="LM143927"/>
        <s v="LM143995"/>
        <s v="LM144324"/>
        <s v="LM143304"/>
        <s v="LM144307"/>
        <s v="LM144343"/>
        <s v="LM143209"/>
        <s v="LM143637"/>
        <s v="LM143793"/>
        <s v="LM143812"/>
        <s v="LM144753"/>
        <s v="LM144756"/>
        <s v="LM143125"/>
        <s v="LM143430"/>
        <s v="LM143721"/>
        <s v="LM143986"/>
        <s v="LM143151"/>
        <s v="LM143981"/>
        <s v="LM144134"/>
        <s v="LM144851"/>
        <s v="LM144884"/>
        <s v="LM143612"/>
        <s v="LM143964"/>
        <s v="LM144304"/>
        <s v="LM144879"/>
        <s v="LM143894"/>
        <s v="LM144764"/>
        <s v="LM144958"/>
        <s v="LM143698"/>
        <s v="LM144662"/>
        <s v="LM144735"/>
        <s v="LM144840"/>
        <s v="LM143380"/>
        <s v="LM144320"/>
        <s v="LM144994"/>
        <s v="LM143367"/>
        <s v="LM143865"/>
        <s v="LM143941"/>
        <s v="LM144210"/>
        <s v="LM144900"/>
        <s v="LM143112"/>
        <s v="LM143493"/>
        <s v="LM143135"/>
        <s v="LM143261"/>
        <s v="LM143523"/>
        <s v="LM143999"/>
        <s v="LM144870"/>
        <s v="LM144386"/>
        <s v="LM144416"/>
        <s v="LM144664"/>
        <s v="LM144770"/>
        <s v="LM144333"/>
        <s v="LM144119"/>
        <s v="LM144195"/>
        <s v="LM144478"/>
        <s v="LM143607"/>
        <s v="LM144537"/>
        <s v="LM144989"/>
        <s v="LM143972"/>
        <s v="LM144006"/>
        <s v="LM144213"/>
        <s v="LM144761"/>
        <s v="LM143144"/>
        <s v="LM143868"/>
        <s v="LM143934"/>
        <s v="LM144331"/>
        <s v="LM144935"/>
        <s v="LM143283"/>
        <s v="LM143762"/>
        <s v="LM144185"/>
        <s v="LM144429"/>
        <s v="LM143229"/>
        <s v="LM143680"/>
        <s v="LM143235"/>
        <s v="LM143550"/>
        <s v="LM143803"/>
        <s v="LM144093"/>
        <s v="LM144714"/>
        <s v="LM144873"/>
        <s v="LM143362"/>
        <s v="LM143924"/>
        <s v="LM144130"/>
        <s v="LM144415"/>
        <s v="LM144462"/>
        <s v="LM144969"/>
        <s v="LM143052"/>
        <s v="LM143203"/>
        <s v="LM143245"/>
        <s v="LM143801"/>
        <s v="LM144289"/>
        <s v="LM144806"/>
        <s v="LM143288"/>
        <s v="LM143962"/>
        <s v="LM144272"/>
        <s v="LM144327"/>
        <s v="LM143201"/>
        <s v="LM143700"/>
        <s v="LM144253"/>
        <s v="LM144477"/>
        <s v="LM144485"/>
        <s v="LM143277"/>
        <s v="LM144622"/>
        <s v="LM143079"/>
        <s v="LM144062"/>
        <s v="LM143892"/>
        <s v="LM144178"/>
        <s v="LM144412"/>
        <s v="LM143389"/>
        <s v="LM144869"/>
        <s v="LM143480"/>
        <s v="LM143545"/>
        <s v="LM143666"/>
        <s v="LM143842"/>
        <s v="LM144536"/>
        <s v="LM144978"/>
        <s v="LM143509"/>
        <s v="LM143808"/>
        <s v="LM144247"/>
        <s v="LM144959"/>
        <s v="LM143109"/>
        <s v="LM143406"/>
        <s v="LM143732"/>
        <s v="LM143124"/>
        <s v="LM144391"/>
        <s v="LM143369"/>
        <s v="LM144113"/>
        <s v="LM144243"/>
        <s v="LM144599"/>
        <s v="LM144863"/>
        <s v="LM143054"/>
        <s v="LM143071"/>
        <s v="LM143383"/>
        <s v="LM143104"/>
        <s v="LM143479"/>
        <s v="LM143611"/>
        <s v="LM144529"/>
        <s v="LM143232"/>
        <s v="LM143083"/>
        <s v="LM143180"/>
        <s v="LM143727"/>
        <s v="LM144841"/>
        <s v="LM143178"/>
        <s v="LM143570"/>
        <s v="LM143873"/>
        <s v="LM144618"/>
        <s v="LM143361"/>
        <s v="LM143594"/>
        <s v="LM143913"/>
        <s v="LM144019"/>
        <s v="LM144266"/>
        <s v="LM143148"/>
        <s v="LM143233"/>
        <s v="LM143750"/>
        <s v="LM144170"/>
        <s v="LM144446"/>
        <s v="LM144474"/>
        <s v="LM144910"/>
        <s v="LM143377"/>
        <s v="LM143859"/>
        <s v="LM144670"/>
        <s v="LM143085"/>
        <s v="LM143395"/>
        <s v="LM143598"/>
        <s v="LM144023"/>
        <s v="LM144181"/>
        <s v="LM144383"/>
        <s v="LM144427"/>
        <s v="LM143476"/>
        <s v="LM144269"/>
        <s v="LM143473"/>
        <s v="LM144021"/>
        <s v="LM144518"/>
        <s v="LM143099"/>
        <s v="LM143147"/>
        <s v="LM143816"/>
        <s v="LM144358"/>
        <s v="LM144899"/>
        <s v="LM143060"/>
        <s v="LM143364"/>
        <s v="LM143445"/>
        <s v="LM143818"/>
        <s v="LM143871"/>
        <s v="LM144498"/>
        <s v="LM144890"/>
        <s v="LM143001"/>
        <s v="LM143163"/>
        <s v="LM143208"/>
        <s v="LM143306"/>
        <s v="LM143413"/>
        <s v="LM144203"/>
        <s v="LM144359"/>
        <s v="LM144743"/>
        <s v="LM144310"/>
        <s v="LM144901"/>
        <s v="LM143437"/>
        <s v="LM144162"/>
        <s v="LM144656"/>
        <s v="LM143658"/>
        <s v="LM144448"/>
        <s v="LM144996"/>
        <s v="LM143127"/>
        <s v="LM143958"/>
        <s v="LM144964"/>
        <s v="LM143171"/>
        <s v="LM143319"/>
        <s v="LM143517"/>
        <s v="LM143536"/>
        <s v="LM144553"/>
        <s v="LM144658"/>
        <s v="LM144737"/>
        <s v="LM143338"/>
        <s v="LM143411"/>
        <s v="LM144055"/>
        <s v="LM144757"/>
        <s v="LM143525"/>
        <s v="LM143696"/>
        <s v="LM144251"/>
        <s v="LM143220"/>
        <s v="LM143336"/>
        <s v="LM143348"/>
        <s v="LM143002"/>
        <s v="LM143983"/>
        <s v="LM143029"/>
        <s v="LM143152"/>
        <s v="LM143386"/>
        <s v="LM143431"/>
        <s v="LM144609"/>
        <s v="LM144867"/>
        <s v="LM144956"/>
        <s v="LM143055"/>
        <s v="LM144490"/>
        <s v="LM144523"/>
        <s v="LM144570"/>
        <s v="LM143581"/>
        <s v="LM143951"/>
        <s v="LM143132"/>
        <s v="LM143246"/>
        <s v="LM144219"/>
        <s v="LM144624"/>
        <s v="LM143790"/>
        <s v="LM144296"/>
        <s v="LM143326"/>
        <s v="LM143740"/>
        <s v="LM143956"/>
        <s v="LM144152"/>
        <s v="LM144211"/>
        <s v="LM143548"/>
        <s v="LM143728"/>
        <s v="LM143914"/>
        <s v="LM144010"/>
        <s v="LM144562"/>
        <s v="LM144793"/>
        <s v="LM144912"/>
        <s v="LM144056"/>
        <s v="LM144409"/>
        <s v="LM144842"/>
        <s v="LM144043"/>
        <s v="LM143076"/>
        <s v="LM143709"/>
        <s v="LM143907"/>
        <s v="LM144953"/>
        <s v="LM143371"/>
        <s v="LM143908"/>
        <s v="LM144076"/>
        <s v="LM144560"/>
        <s v="LM144702"/>
        <s v="LM143360"/>
        <s v="LM143758"/>
        <s v="LM144413"/>
        <s v="LM144640"/>
        <s v="LM143097"/>
        <s v="LM144052"/>
        <s v="LM144748"/>
        <s v="LM143402"/>
        <s v="LM143899"/>
        <s v="LM144034"/>
        <s v="LM144717"/>
        <s v="LM144823"/>
        <s v="LM145000"/>
        <s v="LM143543"/>
        <s v="LM143745"/>
        <s v="LM143226"/>
        <s v="LM143311"/>
        <s v="LM143449"/>
        <s v="LM144122"/>
        <s v="LM144455"/>
        <s v="LM143678"/>
        <s v="LM143771"/>
        <s v="LM144949"/>
        <s v="LM143712"/>
        <s v="LM144306"/>
        <s v="LM144401"/>
        <s v="LM143138"/>
        <s v="LM143219"/>
        <s v="LM143301"/>
        <s v="LM143351"/>
        <s v="LM143463"/>
        <s v="LM144078"/>
        <s v="LM143231"/>
        <s v="LM143308"/>
        <s v="LM143408"/>
        <s v="LM143660"/>
        <s v="LM144532"/>
        <s v="LM144666"/>
        <s v="LM144722"/>
        <s v="LM143296"/>
        <s v="LM143384"/>
        <s v="LM143429"/>
        <s v="LM143650"/>
        <s v="LM144278"/>
        <s v="LM143630"/>
        <s v="LM143526"/>
        <s v="LM143298"/>
        <s v="LM143671"/>
        <s v="LM144357"/>
        <s v="LM144475"/>
        <s v="LM143994"/>
        <s v="LM143324"/>
        <s v="LM143748"/>
        <s v="LM144759"/>
        <s v="LM144976"/>
        <s v="LM144051"/>
        <s v="LM144143"/>
        <s v="LM144683"/>
        <s v="LM143404"/>
        <s v="LM143701"/>
        <s v="LM144502"/>
        <s v="LM144168"/>
        <s v="LM144218"/>
        <s v="LM144547"/>
        <s v="LM144585"/>
        <s v="LM144684"/>
        <s v="LM144768"/>
        <s v="LM144885"/>
        <s v="LM143010"/>
        <s v="LM143452"/>
        <s v="LM144925"/>
        <s v="LM143625"/>
        <s v="LM144677"/>
        <s v="LM144741"/>
        <s v="LM144787"/>
        <s v="LM144882"/>
        <s v="LM143059"/>
        <s v="LM143676"/>
        <s v="LM144467"/>
        <s v="LM144896"/>
        <s v="LM144987"/>
        <s v="LM143098"/>
        <s v="LM143223"/>
        <s v="LM143802"/>
        <s v="LM144573"/>
        <s v="LM143965"/>
        <s v="LM144271"/>
        <s v="LM143584"/>
        <s v="LM143746"/>
        <s v="LM144106"/>
        <s v="LM144229"/>
        <s v="LM144755"/>
        <s v="LM143181"/>
        <s v="LM143466"/>
        <s v="LM143510"/>
        <s v="LM143878"/>
        <s v="LM143879"/>
        <s v="LM144605"/>
        <s v="LM144070"/>
        <s v="LM144111"/>
        <s v="LM144350"/>
        <s v="LM144675"/>
        <s v="LM143691"/>
        <s v="LM144308"/>
        <s v="LM144367"/>
        <s v="LM144418"/>
        <s v="LM144659"/>
        <s v="LM144838"/>
        <s v="LM144849"/>
        <s v="LM143397"/>
        <s v="LM144092"/>
        <s v="LM144893"/>
        <s v="LM143169"/>
        <s v="LM143475"/>
        <s v="LM144109"/>
        <s v="LM144274"/>
        <s v="LM143537"/>
        <s v="LM143706"/>
        <s v="LM144786"/>
        <s v="LM143185"/>
        <s v="LM143254"/>
        <s v="LM143735"/>
        <s v="LM144071"/>
        <s v="LM144634"/>
        <s v="LM143915"/>
        <s v="LM144226"/>
        <s v="LM144513"/>
        <s v="LM144955"/>
        <s v="LM143024"/>
        <s v="LM143876"/>
        <s v="LM143897"/>
        <s v="LM143946"/>
        <s v="LM144032"/>
        <s v="LM144802"/>
        <s v="LM144817"/>
        <s v="LM143095"/>
        <s v="LM143133"/>
        <s v="LM143042"/>
        <s v="LM143461"/>
        <s v="LM143467"/>
        <s v="LM143468"/>
        <s v="LM144236"/>
        <s v="LM144249"/>
        <s v="LM144275"/>
        <s v="LM144286"/>
        <s v="LM144689"/>
        <s v="LM144991"/>
        <s v="LM143460"/>
        <s v="LM143544"/>
        <s v="LM143725"/>
        <s v="LM144405"/>
        <s v="LM143034"/>
        <s v="LM143385"/>
        <s v="LM144673"/>
        <s v="LM143617"/>
        <s v="LM143811"/>
        <s v="LM143885"/>
        <s v="LM144036"/>
        <s v="LM144686"/>
        <s v="LM144696"/>
        <s v="LM143458"/>
        <s v="LM143515"/>
        <s v="LM143719"/>
        <s v="LM143785"/>
        <s v="LM143614"/>
        <s v="LM143932"/>
        <s v="LM144096"/>
        <s v="LM144315"/>
        <s v="LM144922"/>
        <s v="LM144981"/>
        <s v="LM143166"/>
        <s v="LM143274"/>
        <s v="LM144626"/>
        <s v="LM143820"/>
        <s v="LM144292"/>
        <s v="LM144338"/>
        <s v="LM144378"/>
        <s v="LM143850"/>
        <s v="LM144225"/>
        <s v="LM144846"/>
        <s v="LM144897"/>
        <s v="LM143372"/>
        <s v="LM143976"/>
        <s v="LM144688"/>
        <s v="LM143668"/>
        <s v="LM143973"/>
        <s v="LM143990"/>
        <s v="LM144044"/>
        <s v="LM144199"/>
        <s v="LM144515"/>
        <s v="LM143094"/>
        <s v="LM143512"/>
        <s v="LM144713"/>
        <s v="LM143173"/>
        <s v="LM143303"/>
        <s v="LM143316"/>
        <s v="LM143806"/>
        <s v="LM143877"/>
        <s v="LM143505"/>
        <s v="LM143829"/>
        <s v="LM144450"/>
        <s v="LM143494"/>
        <s v="LM143917"/>
        <s v="LM143284"/>
        <s v="LM144072"/>
        <s v="LM144645"/>
        <s v="LM143519"/>
        <s v="LM143886"/>
        <s v="LM144017"/>
        <s v="LM144582"/>
        <s v="LM144623"/>
        <s v="LM144726"/>
        <s v="LM143280"/>
        <s v="LM143795"/>
        <s v="LM143831"/>
        <s v="LM144433"/>
        <s v="LM143492"/>
        <s v="LM143961"/>
        <s v="LM144141"/>
        <s v="LM144214"/>
        <s v="LM144397"/>
        <s v="LM144763"/>
        <s v="LM144836"/>
        <s v="LM144845"/>
        <s v="LM143659"/>
        <s v="LM143114"/>
        <s v="LM143165"/>
        <s v="LM143538"/>
        <s v="LM143864"/>
        <s v="LM144941"/>
        <s v="LM143081"/>
        <s v="LM143161"/>
        <s v="LM143217"/>
        <s v="LM143672"/>
        <s v="LM143848"/>
        <s v="LM144197"/>
        <s v="LM144318"/>
        <s v="LM143518"/>
        <s v="LM144027"/>
        <s v="LM144488"/>
        <s v="LM144554"/>
        <s v="LM143340"/>
        <s v="LM143654"/>
        <s v="LM144772"/>
        <s v="LM143356"/>
        <s v="LM143448"/>
        <s v="LM143652"/>
        <s v="LM144285"/>
        <s v="LM143065"/>
        <s v="LM143557"/>
        <s v="LM143641"/>
        <s v="LM143970"/>
        <s v="LM143134"/>
        <s v="LM143562"/>
        <s v="LM143726"/>
        <s v="LM143979"/>
        <s v="LM144512"/>
        <s v="LM143003"/>
        <s v="LM143533"/>
        <s v="LM143854"/>
        <s v="LM144668"/>
        <s v="LM143236"/>
        <s v="LM143844"/>
        <s v="LM144303"/>
        <s v="LM143393"/>
        <s v="LM143451"/>
        <s v="LM143779"/>
        <s v="LM143953"/>
        <s v="LM144238"/>
        <s v="LM143084"/>
        <s v="LM143786"/>
        <s v="LM143867"/>
        <s v="LM144984"/>
        <s v="LM143739"/>
        <s v="LM144022"/>
        <s v="LM144390"/>
        <s v="LM143170"/>
        <s v="LM143346"/>
        <s v="LM143485"/>
        <s v="LM143205"/>
        <s v="LM143268"/>
        <s v="LM144074"/>
        <s v="LM144676"/>
        <s v="LM144709"/>
        <s v="LM143549"/>
        <s v="LM144009"/>
        <s v="LM144220"/>
        <s v="LM144452"/>
        <s v="LM144363"/>
        <s v="LM144931"/>
        <s v="LM144059"/>
        <s v="LM144194"/>
        <s v="LM144721"/>
        <s v="LM143835"/>
        <s v="LM144173"/>
        <s v="LM144497"/>
        <s v="LM143259"/>
        <s v="LM144123"/>
        <s v="LM144898"/>
        <s v="LM144514"/>
        <s v="LM143016"/>
        <s v="LM144647"/>
        <s v="LM144760"/>
        <s v="LM144815"/>
        <s v="LM143514"/>
        <s v="LM144153"/>
        <s v="LM144186"/>
        <s v="LM144373"/>
        <s v="LM143891"/>
        <s v="LM144651"/>
        <s v="LM143428"/>
        <s v="LM143657"/>
        <s v="LM144033"/>
        <s v="LM144124"/>
        <s v="LM144396"/>
        <s v="LM144947"/>
        <s v="LM143688"/>
        <s v="LM143037"/>
        <s v="LM144193"/>
        <s v="LM144525"/>
        <s v="LM144619"/>
        <s v="LM144881"/>
        <s v="LM143292"/>
        <s v="LM143642"/>
        <s v="LM143978"/>
        <s v="LM144291"/>
        <s v="LM143214"/>
        <s v="LM144463"/>
        <s v="LM144641"/>
        <s v="LM143836"/>
        <s v="LM144164"/>
        <s v="LM144410"/>
        <s v="LM144650"/>
        <s v="LM143191"/>
        <s v="LM144316"/>
        <s v="LM144384"/>
        <s v="LM144961"/>
        <s v="LM143123"/>
        <s v="LM143392"/>
        <s v="LM143551"/>
        <s v="LM143770"/>
        <s v="LM143959"/>
        <s v="LM143982"/>
        <s v="LM144201"/>
        <s v="LM143131"/>
        <s v="LM144300"/>
        <s v="LM144353"/>
        <s v="LM144988"/>
        <s v="LM144086"/>
        <s v="LM144615"/>
        <s v="LM144665"/>
        <s v="LM143335"/>
        <s v="LM143423"/>
        <s v="LM143513"/>
        <s v="LM144101"/>
        <s v="LM143436"/>
        <s v="LM144133"/>
        <s v="LM144297"/>
        <s v="LM144712"/>
        <s v="LM144765"/>
        <s v="LM144888"/>
        <s v="LM144998"/>
        <s v="LM144337"/>
        <s v="LM144389"/>
        <s v="LM144805"/>
        <s v="LM143643"/>
        <s v="LM143902"/>
        <s v="LM144196"/>
        <s v="LM144466"/>
        <s v="LM143038"/>
        <s v="LM143489"/>
        <s v="LM143638"/>
        <s v="LM144254"/>
        <s v="LM143287"/>
        <s v="LM143587"/>
        <s v="LM143601"/>
        <s v="LM143556"/>
        <s v="LM143723"/>
        <s v="LM143780"/>
        <s v="LM143015"/>
        <s v="LM143108"/>
        <s v="LM143889"/>
        <s v="LM144075"/>
        <s v="LM144636"/>
        <s v="LM144652"/>
        <s v="LM144820"/>
        <s v="LM143013"/>
        <s v="LM143579"/>
        <s v="LM143636"/>
        <s v="LM144127"/>
        <s v="LM143058"/>
        <s v="LM143532"/>
        <s v="LM143791"/>
        <s v="LM144136"/>
        <s v="LM144794"/>
        <s v="LM143279"/>
        <s v="LM143555"/>
        <s v="LM144147"/>
        <s v="LM144284"/>
        <s v="LM144150"/>
        <s v="LM144575"/>
        <s v="LM144780"/>
        <s v="LM143238"/>
        <s v="LM143940"/>
        <s v="LM144222"/>
        <s v="LM143074"/>
        <s v="LM143773"/>
        <s v="LM144904"/>
        <s v="LM143450"/>
        <s v="LM144120"/>
        <s v="LM144460"/>
        <s v="LM143439"/>
        <s v="LM143487"/>
        <s v="LM144454"/>
        <s v="LM143798"/>
        <s v="LM143858"/>
        <s v="LM143930"/>
        <s v="LM143352"/>
        <s v="LM144417"/>
        <s v="LM144501"/>
        <s v="LM144654"/>
      </sharedItems>
    </cacheField>
    <cacheField name="Name" numFmtId="0">
      <sharedItems/>
    </cacheField>
    <cacheField name="Age" numFmtId="0">
      <sharedItems containsSemiMixedTypes="0" containsString="0" containsNumber="1" containsInteger="1" minValue="21" maxValue="64" count="44">
        <n v="32"/>
        <n v="34"/>
        <n v="37"/>
        <n v="31"/>
        <n v="28"/>
        <n v="25"/>
        <n v="53"/>
        <n v="60"/>
        <n v="49"/>
        <n v="24"/>
        <n v="23"/>
        <n v="26"/>
        <n v="33"/>
        <n v="55"/>
        <n v="61"/>
        <n v="35"/>
        <n v="64"/>
        <n v="54"/>
        <n v="56"/>
        <n v="27"/>
        <n v="43"/>
        <n v="40"/>
        <n v="62"/>
        <n v="47"/>
        <n v="38"/>
        <n v="51"/>
        <n v="29"/>
        <n v="46"/>
        <n v="41"/>
        <n v="57"/>
        <n v="36"/>
        <n v="44"/>
        <n v="22"/>
        <n v="50"/>
        <n v="59"/>
        <n v="58"/>
        <n v="48"/>
        <n v="52"/>
        <n v="39"/>
        <n v="63"/>
        <n v="45"/>
        <n v="30"/>
        <n v="21"/>
        <n v="42"/>
      </sharedItems>
    </cacheField>
    <cacheField name="Gender" numFmtId="0">
      <sharedItems count="2">
        <s v="Female"/>
        <s v="Male"/>
      </sharedItems>
    </cacheField>
    <cacheField name="Marital_Status" numFmtId="0">
      <sharedItems count="4">
        <s v="Widowed"/>
        <s v="Single"/>
        <s v="Divorced"/>
        <s v="Married"/>
      </sharedItems>
    </cacheField>
    <cacheField name="Education" numFmtId="0">
      <sharedItems/>
    </cacheField>
    <cacheField name="Employment_Status" numFmtId="0">
      <sharedItems count="4">
        <s v="Retired"/>
        <s v="Self-employed"/>
        <s v="Employed"/>
        <s v="Unemployed"/>
      </sharedItems>
    </cacheField>
    <cacheField name="Annual_Income" numFmtId="165">
      <sharedItems containsSemiMixedTypes="0" containsString="0" containsNumber="1" containsInteger="1" minValue="20028" maxValue="149999"/>
    </cacheField>
    <cacheField name="Credit_Score" numFmtId="0">
      <sharedItems containsSemiMixedTypes="0" containsString="0" containsNumber="1" containsInteger="1" minValue="300" maxValue="849"/>
    </cacheField>
    <cacheField name="Loan_Amount" numFmtId="165">
      <sharedItems containsSemiMixedTypes="0" containsString="0" containsNumber="1" containsInteger="1" minValue="1015" maxValue="49979"/>
    </cacheField>
    <cacheField name="Loan_Term_Months" numFmtId="0">
      <sharedItems containsSemiMixedTypes="0" containsString="0" containsNumber="1" containsInteger="1" minValue="12" maxValue="60" count="5">
        <n v="48"/>
        <n v="24"/>
        <n v="36"/>
        <n v="12"/>
        <n v="60"/>
      </sharedItems>
    </cacheField>
    <cacheField name="Interest_Rate" numFmtId="10">
      <sharedItems containsSemiMixedTypes="0" containsString="0" containsNumber="1" minValue="0.05" maxValue="0.19989999999999999"/>
    </cacheField>
    <cacheField name="Loan_Purpose" numFmtId="0">
      <sharedItems count="6">
        <s v="Education"/>
        <s v="Home"/>
        <s v="Medical"/>
        <s v="Business"/>
        <s v="Car"/>
        <s v="Personal"/>
      </sharedItems>
    </cacheField>
    <cacheField name="Property_Ownership" numFmtId="0">
      <sharedItems/>
    </cacheField>
    <cacheField name="Residence_Years" numFmtId="0">
      <sharedItems containsSemiMixedTypes="0" containsString="0" containsNumber="1" containsInteger="1" minValue="1" maxValue="29"/>
    </cacheField>
    <cacheField name="Dependents" numFmtId="0">
      <sharedItems containsSemiMixedTypes="0" containsString="0" containsNumber="1" containsInteger="1" minValue="0" maxValue="4"/>
    </cacheField>
    <cacheField name="Bank_Account" numFmtId="0">
      <sharedItems/>
    </cacheField>
    <cacheField name="Credit_Card" numFmtId="0">
      <sharedItems/>
    </cacheField>
    <cacheField name="Existing_Loans_Count" numFmtId="0">
      <sharedItems containsSemiMixedTypes="0" containsString="0" containsNumber="1" containsInteger="1" minValue="0" maxValue="4" count="5">
        <n v="2"/>
        <n v="1"/>
        <n v="0"/>
        <n v="4"/>
        <n v="3"/>
      </sharedItems>
    </cacheField>
    <cacheField name="Total_Loan_Amount" numFmtId="0">
      <sharedItems containsSemiMixedTypes="0" containsString="0" containsNumber="1" containsInteger="1" minValue="46" maxValue="199982"/>
    </cacheField>
    <cacheField name="Monthly_Debt" numFmtId="165">
      <sharedItems containsSemiMixedTypes="0" containsString="0" containsNumber="1" minValue="100.38" maxValue="1999.66" count="1984">
        <n v="1653.91"/>
        <n v="403.87"/>
        <n v="149.16"/>
        <n v="1337.22"/>
        <n v="531.6"/>
        <n v="616.62"/>
        <n v="1613.99"/>
        <n v="1244.56"/>
        <n v="396.63"/>
        <n v="1088.32"/>
        <n v="296.60000000000002"/>
        <n v="1547.73"/>
        <n v="1001.76"/>
        <n v="1974.2"/>
        <n v="705.72"/>
        <n v="508.1"/>
        <n v="767.8"/>
        <n v="1321.21"/>
        <n v="812.7"/>
        <n v="1347.74"/>
        <n v="1254.5999999999999"/>
        <n v="1868.44"/>
        <n v="114.68"/>
        <n v="590.24"/>
        <n v="504.66"/>
        <n v="710.07"/>
        <n v="1357.43"/>
        <n v="1258.1600000000001"/>
        <n v="1934.38"/>
        <n v="806.24"/>
        <n v="1828.88"/>
        <n v="243.52"/>
        <n v="546.77"/>
        <n v="647.53"/>
        <n v="1801.37"/>
        <n v="263.73"/>
        <n v="1693.94"/>
        <n v="651.47"/>
        <n v="1825.64"/>
        <n v="763.18"/>
        <n v="1432.06"/>
        <n v="361.37"/>
        <n v="250.97"/>
        <n v="757.04"/>
        <n v="1032.99"/>
        <n v="106.58"/>
        <n v="1289.17"/>
        <n v="630.47"/>
        <n v="1850.61"/>
        <n v="482.11"/>
        <n v="694.75"/>
        <n v="1296.7"/>
        <n v="449.4"/>
        <n v="1204.7"/>
        <n v="495.03"/>
        <n v="617.89"/>
        <n v="472.77"/>
        <n v="1456.44"/>
        <n v="1588.91"/>
        <n v="776.22"/>
        <n v="1254.75"/>
        <n v="1667.29"/>
        <n v="1387.78"/>
        <n v="333.8"/>
        <n v="876.08"/>
        <n v="1494.88"/>
        <n v="1806.62"/>
        <n v="1633.33"/>
        <n v="1501.6"/>
        <n v="744.37"/>
        <n v="164.2"/>
        <n v="878.87"/>
        <n v="932.14"/>
        <n v="1814.78"/>
        <n v="1013.74"/>
        <n v="1617.13"/>
        <n v="1512.78"/>
        <n v="395.2"/>
        <n v="718.39"/>
        <n v="956.97"/>
        <n v="1690.32"/>
        <n v="587.23"/>
        <n v="1595.13"/>
        <n v="639.34"/>
        <n v="1170.47"/>
        <n v="1602.73"/>
        <n v="609.79999999999995"/>
        <n v="1972.55"/>
        <n v="1183.3399999999999"/>
        <n v="1916.85"/>
        <n v="1696.63"/>
        <n v="659.98"/>
        <n v="1397.04"/>
        <n v="894.16"/>
        <n v="1733.14"/>
        <n v="191.15"/>
        <n v="240.38"/>
        <n v="1880.25"/>
        <n v="1252.98"/>
        <n v="341.8"/>
        <n v="1698.6"/>
        <n v="1863.17"/>
        <n v="1782.38"/>
        <n v="795.98"/>
        <n v="1014.67"/>
        <n v="937.03"/>
        <n v="1630.83"/>
        <n v="1019.42"/>
        <n v="772.74"/>
        <n v="501.8"/>
        <n v="1325.44"/>
        <n v="517.09"/>
        <n v="1501.08"/>
        <n v="564.46"/>
        <n v="772.92"/>
        <n v="1458.28"/>
        <n v="1080.92"/>
        <n v="213.47"/>
        <n v="1036.79"/>
        <n v="1180.2"/>
        <n v="639.33000000000004"/>
        <n v="444.02"/>
        <n v="960.66"/>
        <n v="980.64"/>
        <n v="1143.25"/>
        <n v="1255.02"/>
        <n v="422.1"/>
        <n v="1856.22"/>
        <n v="1830.89"/>
        <n v="424.78"/>
        <n v="1383.52"/>
        <n v="213.99"/>
        <n v="335.76"/>
        <n v="655.45"/>
        <n v="1582.43"/>
        <n v="947.32"/>
        <n v="1171.42"/>
        <n v="534.39"/>
        <n v="1044.4100000000001"/>
        <n v="1177.1600000000001"/>
        <n v="524.07000000000005"/>
        <n v="1211.08"/>
        <n v="122.76"/>
        <n v="1652.61"/>
        <n v="1669.49"/>
        <n v="1487.18"/>
        <n v="1532.31"/>
        <n v="612.89"/>
        <n v="938.88"/>
        <n v="526.02"/>
        <n v="310.77999999999997"/>
        <n v="1577.64"/>
        <n v="489.98"/>
        <n v="1182.74"/>
        <n v="1507.49"/>
        <n v="1472.72"/>
        <n v="567.27"/>
        <n v="1494.13"/>
        <n v="493.09"/>
        <n v="286.06"/>
        <n v="1810.2"/>
        <n v="1545.47"/>
        <n v="436.4"/>
        <n v="1492.93"/>
        <n v="1471.33"/>
        <n v="1773.44"/>
        <n v="1742.88"/>
        <n v="1027.3800000000001"/>
        <n v="141.13999999999999"/>
        <n v="1364.86"/>
        <n v="221.61"/>
        <n v="470.19"/>
        <n v="1535.82"/>
        <n v="1033.47"/>
        <n v="315.56"/>
        <n v="785.97"/>
        <n v="276.5"/>
        <n v="1056.1400000000001"/>
        <n v="1474.72"/>
        <n v="1947.96"/>
        <n v="1602.25"/>
        <n v="225.07"/>
        <n v="995.38"/>
        <n v="1719.34"/>
        <n v="1395.41"/>
        <n v="1433.99"/>
        <n v="611.79"/>
        <n v="528.14"/>
        <n v="1058.25"/>
        <n v="1765.25"/>
        <n v="778.11"/>
        <n v="1530.25"/>
        <n v="1591.42"/>
        <n v="733.99"/>
        <n v="1563.61"/>
        <n v="948.51"/>
        <n v="212.31"/>
        <n v="224.05"/>
        <n v="168.19"/>
        <n v="346.49"/>
        <n v="1932.72"/>
        <n v="999.57"/>
        <n v="803.79"/>
        <n v="1934.99"/>
        <n v="1280.1600000000001"/>
        <n v="1154.8399999999999"/>
        <n v="1724.17"/>
        <n v="945.68"/>
        <n v="935.47"/>
        <n v="1183.92"/>
        <n v="727.13"/>
        <n v="1320.11"/>
        <n v="708.18"/>
        <n v="453.98"/>
        <n v="1855.99"/>
        <n v="1699.53"/>
        <n v="560.65"/>
        <n v="1311.75"/>
        <n v="253.44"/>
        <n v="1422.81"/>
        <n v="1661.61"/>
        <n v="952.44"/>
        <n v="938.42"/>
        <n v="810.21"/>
        <n v="772.38"/>
        <n v="1284.92"/>
        <n v="974.78"/>
        <n v="1431.1"/>
        <n v="826.07"/>
        <n v="1873.01"/>
        <n v="964.7"/>
        <n v="815.68"/>
        <n v="895.28"/>
        <n v="750.47"/>
        <n v="972.22"/>
        <n v="1061.79"/>
        <n v="1490.97"/>
        <n v="408.72"/>
        <n v="1519.37"/>
        <n v="1569"/>
        <n v="1300.6099999999999"/>
        <n v="1450.14"/>
        <n v="853.77"/>
        <n v="264.29000000000002"/>
        <n v="1072.3"/>
        <n v="970.73"/>
        <n v="219.57"/>
        <n v="1880.67"/>
        <n v="1106.3800000000001"/>
        <n v="132.24"/>
        <n v="168.48"/>
        <n v="738.01"/>
        <n v="101.42"/>
        <n v="1092.3399999999999"/>
        <n v="895.11"/>
        <n v="1700.61"/>
        <n v="475.34"/>
        <n v="1575.51"/>
        <n v="716.12"/>
        <n v="269.52"/>
        <n v="1235.48"/>
        <n v="615.35"/>
        <n v="1666.04"/>
        <n v="1039.67"/>
        <n v="1527.78"/>
        <n v="1452.06"/>
        <n v="1704.22"/>
        <n v="678.15"/>
        <n v="695.89"/>
        <n v="1676.06"/>
        <n v="1630.52"/>
        <n v="689.75"/>
        <n v="473.42"/>
        <n v="589.28"/>
        <n v="1955.95"/>
        <n v="461.73"/>
        <n v="1413.22"/>
        <n v="1568.22"/>
        <n v="1329.69"/>
        <n v="200.36"/>
        <n v="1213.53"/>
        <n v="1605.29"/>
        <n v="313.69"/>
        <n v="119.23"/>
        <n v="1752.59"/>
        <n v="577.24"/>
        <n v="286.02999999999997"/>
        <n v="1547.87"/>
        <n v="168.66"/>
        <n v="1656.34"/>
        <n v="1479.16"/>
        <n v="822.5"/>
        <n v="1962.92"/>
        <n v="119.4"/>
        <n v="1510.14"/>
        <n v="1732.5"/>
        <n v="810.12"/>
        <n v="1984"/>
        <n v="540.28"/>
        <n v="160.79"/>
        <n v="931.7"/>
        <n v="1023.54"/>
        <n v="744.98"/>
        <n v="1413.16"/>
        <n v="1785.1"/>
        <n v="1390.84"/>
        <n v="1186.72"/>
        <n v="1721.04"/>
        <n v="371.93"/>
        <n v="292.85000000000002"/>
        <n v="1566.75"/>
        <n v="386.2"/>
        <n v="507.52"/>
        <n v="394.57"/>
        <n v="1672.9"/>
        <n v="1498.86"/>
        <n v="472.35"/>
        <n v="618.46"/>
        <n v="1747.73"/>
        <n v="880.11"/>
        <n v="1528.39"/>
        <n v="1801.7"/>
        <n v="1381.82"/>
        <n v="1836.26"/>
        <n v="1592.02"/>
        <n v="1897.7"/>
        <n v="874.58"/>
        <n v="1466.21"/>
        <n v="1210.43"/>
        <n v="245.73"/>
        <n v="684.55"/>
        <n v="407.32"/>
        <n v="1663.84"/>
        <n v="219.44"/>
        <n v="810.72"/>
        <n v="920.65"/>
        <n v="1606.3"/>
        <n v="1791.13"/>
        <n v="1849.34"/>
        <n v="1834"/>
        <n v="1896.11"/>
        <n v="652.13"/>
        <n v="984.07"/>
        <n v="1449.53"/>
        <n v="1489.61"/>
        <n v="1654.16"/>
        <n v="1940.76"/>
        <n v="175.78"/>
        <n v="1867.09"/>
        <n v="1917.31"/>
        <n v="1364.96"/>
        <n v="447.2"/>
        <n v="621.86"/>
        <n v="397.72"/>
        <n v="636.76"/>
        <n v="330.78"/>
        <n v="1494.24"/>
        <n v="788.62"/>
        <n v="1301.6300000000001"/>
        <n v="921.31"/>
        <n v="1187.3499999999999"/>
        <n v="1826.16"/>
        <n v="776.48"/>
        <n v="389.58"/>
        <n v="1283.71"/>
        <n v="852.18"/>
        <n v="879.59"/>
        <n v="1250.69"/>
        <n v="806.35"/>
        <n v="1639.36"/>
        <n v="690.68"/>
        <n v="499.2"/>
        <n v="474.87"/>
        <n v="945.78"/>
        <n v="1610.22"/>
        <n v="1033.33"/>
        <n v="1164.4000000000001"/>
        <n v="1053.97"/>
        <n v="1541.81"/>
        <n v="1287.44"/>
        <n v="1254.1199999999999"/>
        <n v="1789.73"/>
        <n v="716.66"/>
        <n v="1548.37"/>
        <n v="1175.52"/>
        <n v="1452.68"/>
        <n v="1339.65"/>
        <n v="1650.81"/>
        <n v="122.78"/>
        <n v="1383.11"/>
        <n v="541.28"/>
        <n v="843.85"/>
        <n v="1696.78"/>
        <n v="316.27999999999997"/>
        <n v="1447.25"/>
        <n v="1217.28"/>
        <n v="374.37"/>
        <n v="1164.28"/>
        <n v="197.32"/>
        <n v="1918.34"/>
        <n v="235.25"/>
        <n v="596.59"/>
        <n v="884.49"/>
        <n v="618.16999999999996"/>
        <n v="334.54"/>
        <n v="1559.49"/>
        <n v="1624.3"/>
        <n v="1681"/>
        <n v="1162.31"/>
        <n v="1877.35"/>
        <n v="951.01"/>
        <n v="1887.15"/>
        <n v="1606.54"/>
        <n v="262.45"/>
        <n v="1235.93"/>
        <n v="1522.77"/>
        <n v="166.81"/>
        <n v="1303.2"/>
        <n v="174.79"/>
        <n v="1992.78"/>
        <n v="1929.44"/>
        <n v="1258.32"/>
        <n v="1227.3399999999999"/>
        <n v="254.33"/>
        <n v="1742.39"/>
        <n v="268.69"/>
        <n v="1644.91"/>
        <n v="764"/>
        <n v="701.21"/>
        <n v="986.55"/>
        <n v="1710.89"/>
        <n v="1792.96"/>
        <n v="306.47000000000003"/>
        <n v="432.83"/>
        <n v="1044"/>
        <n v="1980.67"/>
        <n v="1616.23"/>
        <n v="1412.98"/>
        <n v="1959"/>
        <n v="263.41000000000003"/>
        <n v="681.95"/>
        <n v="1651.69"/>
        <n v="1315.53"/>
        <n v="1415.23"/>
        <n v="1538.41"/>
        <n v="1013.34"/>
        <n v="597.78"/>
        <n v="1131.21"/>
        <n v="1991.35"/>
        <n v="995.33"/>
        <n v="1794.46"/>
        <n v="461.09"/>
        <n v="387.13"/>
        <n v="469.79"/>
        <n v="1005.68"/>
        <n v="1810.97"/>
        <n v="1896.51"/>
        <n v="1244.6400000000001"/>
        <n v="1337.94"/>
        <n v="638.79999999999995"/>
        <n v="1809.43"/>
        <n v="1838.82"/>
        <n v="1906.12"/>
        <n v="1873.22"/>
        <n v="224.74"/>
        <n v="489.87"/>
        <n v="1362.29"/>
        <n v="897.33"/>
        <n v="429.57"/>
        <n v="1221.5999999999999"/>
        <n v="248.25"/>
        <n v="1374.59"/>
        <n v="1335.68"/>
        <n v="629.59"/>
        <n v="792.86"/>
        <n v="410.72"/>
        <n v="1484.7"/>
        <n v="1432.25"/>
        <n v="1061.2"/>
        <n v="1781.99"/>
        <n v="549.74"/>
        <n v="636.38"/>
        <n v="1233.03"/>
        <n v="1430.3"/>
        <n v="1904.47"/>
        <n v="1427.68"/>
        <n v="1872.64"/>
        <n v="771.33"/>
        <n v="363.91"/>
        <n v="1695.88"/>
        <n v="374.7"/>
        <n v="1519.92"/>
        <n v="1759.9"/>
        <n v="1777.38"/>
        <n v="829.15"/>
        <n v="1751.41"/>
        <n v="176.08"/>
        <n v="1240.97"/>
        <n v="993.59"/>
        <n v="1489.17"/>
        <n v="201.84"/>
        <n v="1526.25"/>
        <n v="845.19"/>
        <n v="179.16"/>
        <n v="1452.22"/>
        <n v="1539.09"/>
        <n v="1210.27"/>
        <n v="659.4"/>
        <n v="589.77"/>
        <n v="1072.79"/>
        <n v="139.11000000000001"/>
        <n v="1284.49"/>
        <n v="1840.12"/>
        <n v="1029.73"/>
        <n v="1444.91"/>
        <n v="381.92"/>
        <n v="446.48"/>
        <n v="534.07000000000005"/>
        <n v="248.82"/>
        <n v="948.96"/>
        <n v="107.76"/>
        <n v="444.45"/>
        <n v="137.59"/>
        <n v="825.61"/>
        <n v="451.52"/>
        <n v="282.01"/>
        <n v="1931.53"/>
        <n v="332.61"/>
        <n v="1863.03"/>
        <n v="1630.63"/>
        <n v="240.69"/>
        <n v="1200.1300000000001"/>
        <n v="1193.92"/>
        <n v="1834.94"/>
        <n v="1733.01"/>
        <n v="1904.31"/>
        <n v="1893.95"/>
        <n v="299.55"/>
        <n v="620.27"/>
        <n v="1081.47"/>
        <n v="228.12"/>
        <n v="433.23"/>
        <n v="1481.4"/>
        <n v="1323.54"/>
        <n v="670.49"/>
        <n v="832.33"/>
        <n v="935.16"/>
        <n v="936.16"/>
        <n v="351.15"/>
        <n v="243.07"/>
        <n v="415.81"/>
        <n v="1796.58"/>
        <n v="1331.85"/>
        <n v="1428.88"/>
        <n v="647.70000000000005"/>
        <n v="1360.47"/>
        <n v="1108.6300000000001"/>
        <n v="1596.98"/>
        <n v="1865.32"/>
        <n v="325.64"/>
        <n v="1478.84"/>
        <n v="308.60000000000002"/>
        <n v="139.69999999999999"/>
        <n v="1863.3"/>
        <n v="945.35"/>
        <n v="937.3"/>
        <n v="1319.23"/>
        <n v="1140.5999999999999"/>
        <n v="279.73"/>
        <n v="623.62"/>
        <n v="1819.67"/>
        <n v="1847.41"/>
        <n v="1559.31"/>
        <n v="1076.08"/>
        <n v="834.21"/>
        <n v="1708.37"/>
        <n v="230.93"/>
        <n v="1607.03"/>
        <n v="1325.55"/>
        <n v="480.51"/>
        <n v="660.32"/>
        <n v="1365.87"/>
        <n v="1639.41"/>
        <n v="1959.75"/>
        <n v="375.39"/>
        <n v="797.08"/>
        <n v="977.05"/>
        <n v="1538.01"/>
        <n v="1985.6"/>
        <n v="1997.14"/>
        <n v="1902.2"/>
        <n v="1755.05"/>
        <n v="1789.15"/>
        <n v="753.46"/>
        <n v="687.3"/>
        <n v="1268.96"/>
        <n v="916.45"/>
        <n v="219.08"/>
        <n v="752.33"/>
        <n v="1640.12"/>
        <n v="1700.49"/>
        <n v="1751.84"/>
        <n v="980.2"/>
        <n v="1715.22"/>
        <n v="688.49"/>
        <n v="625.82000000000005"/>
        <n v="454.89"/>
        <n v="861.39"/>
        <n v="1374.35"/>
        <n v="155.16999999999999"/>
        <n v="1164.58"/>
        <n v="851.25"/>
        <n v="1328.81"/>
        <n v="775.06"/>
        <n v="988.13"/>
        <n v="1555.69"/>
        <n v="1623.96"/>
        <n v="963.36"/>
        <n v="1839.6"/>
        <n v="1531.35"/>
        <n v="1082.95"/>
        <n v="907.84"/>
        <n v="812.8"/>
        <n v="345.04"/>
        <n v="1255.94"/>
        <n v="1280.08"/>
        <n v="1486.32"/>
        <n v="1524.52"/>
        <n v="1765.33"/>
        <n v="1524.06"/>
        <n v="997.07"/>
        <n v="465.78"/>
        <n v="318.93"/>
        <n v="1544.79"/>
        <n v="108.68"/>
        <n v="623.9"/>
        <n v="461.43"/>
        <n v="869.97"/>
        <n v="1828.1"/>
        <n v="1905.13"/>
        <n v="176.01"/>
        <n v="1585.15"/>
        <n v="1496.84"/>
        <n v="1198.81"/>
        <n v="535.54999999999995"/>
        <n v="1834.4"/>
        <n v="1187.51"/>
        <n v="878.29"/>
        <n v="1559.96"/>
        <n v="1961.02"/>
        <n v="1018.96"/>
        <n v="1791.36"/>
        <n v="1333.93"/>
        <n v="1618.85"/>
        <n v="1979.06"/>
        <n v="687.91"/>
        <n v="1114.83"/>
        <n v="858.48"/>
        <n v="475.11"/>
        <n v="1009.76"/>
        <n v="997.31"/>
        <n v="1851.82"/>
        <n v="1348.23"/>
        <n v="1334.25"/>
        <n v="1807.14"/>
        <n v="1162.06"/>
        <n v="1111.33"/>
        <n v="1491.78"/>
        <n v="534.16"/>
        <n v="821.04"/>
        <n v="1439.42"/>
        <n v="1636.36"/>
        <n v="1922.86"/>
        <n v="1969.37"/>
        <n v="1644.27"/>
        <n v="1276.75"/>
        <n v="1217.54"/>
        <n v="186.07"/>
        <n v="304.95"/>
        <n v="1395.82"/>
        <n v="122.73"/>
        <n v="981.74"/>
        <n v="1483.53"/>
        <n v="880.36"/>
        <n v="969.6"/>
        <n v="516.61"/>
        <n v="863.66"/>
        <n v="1545.76"/>
        <n v="1056.56"/>
        <n v="1698.56"/>
        <n v="163.6"/>
        <n v="142.78"/>
        <n v="272.82"/>
        <n v="1899.75"/>
        <n v="1522.45"/>
        <n v="1619.94"/>
        <n v="1473.03"/>
        <n v="122.33"/>
        <n v="191.55"/>
        <n v="1216.4000000000001"/>
        <n v="1246.8900000000001"/>
        <n v="776.42"/>
        <n v="1918.79"/>
        <n v="132.99"/>
        <n v="1558.01"/>
        <n v="997.55"/>
        <n v="1608.02"/>
        <n v="224.2"/>
        <n v="1921.45"/>
        <n v="1672.75"/>
        <n v="1812.87"/>
        <n v="513.41"/>
        <n v="1628.44"/>
        <n v="477.17"/>
        <n v="753.55"/>
        <n v="1823.07"/>
        <n v="658.64"/>
        <n v="536.99"/>
        <n v="927.75"/>
        <n v="253"/>
        <n v="1869.97"/>
        <n v="397.95"/>
        <n v="605.01"/>
        <n v="139.13999999999999"/>
        <n v="600.54"/>
        <n v="681.25"/>
        <n v="108.62"/>
        <n v="625.07000000000005"/>
        <n v="1914.23"/>
        <n v="175.91"/>
        <n v="1987.97"/>
        <n v="556.12"/>
        <n v="159.87"/>
        <n v="1849.65"/>
        <n v="706.1"/>
        <n v="740.95"/>
        <n v="1083.6500000000001"/>
        <n v="677.63"/>
        <n v="285.61"/>
        <n v="1062.47"/>
        <n v="1140.1600000000001"/>
        <n v="1493.4"/>
        <n v="797.89"/>
        <n v="1428.8"/>
        <n v="1091.81"/>
        <n v="1782.75"/>
        <n v="1135.5899999999999"/>
        <n v="1731.54"/>
        <n v="1890.11"/>
        <n v="299.63"/>
        <n v="320.69"/>
        <n v="1115.06"/>
        <n v="1121.18"/>
        <n v="1806.19"/>
        <n v="1477.87"/>
        <n v="1001.05"/>
        <n v="199.72"/>
        <n v="571.38"/>
        <n v="1148.74"/>
        <n v="1521.33"/>
        <n v="846.84"/>
        <n v="1882.58"/>
        <n v="826.81"/>
        <n v="1746.35"/>
        <n v="1647.23"/>
        <n v="1839.63"/>
        <n v="684.81"/>
        <n v="1177.81"/>
        <n v="1286.23"/>
        <n v="933.09"/>
        <n v="1883.41"/>
        <n v="1810.33"/>
        <n v="1432.37"/>
        <n v="1036.4100000000001"/>
        <n v="432.6"/>
        <n v="1575.86"/>
        <n v="318.70999999999998"/>
        <n v="1204.8900000000001"/>
        <n v="980.37"/>
        <n v="780.46"/>
        <n v="954.79"/>
        <n v="1358.36"/>
        <n v="1485.71"/>
        <n v="1939.3"/>
        <n v="888.15"/>
        <n v="495.46"/>
        <n v="458.33"/>
        <n v="222.83"/>
        <n v="1756.76"/>
        <n v="1572.57"/>
        <n v="1017.43"/>
        <n v="1042.93"/>
        <n v="614.23"/>
        <n v="947.08"/>
        <n v="362.6"/>
        <n v="794.24"/>
        <n v="1334.75"/>
        <n v="1101.83"/>
        <n v="1569.58"/>
        <n v="339.21"/>
        <n v="638.35"/>
        <n v="1809.63"/>
        <n v="661.03"/>
        <n v="1487.22"/>
        <n v="559.24"/>
        <n v="258.95"/>
        <n v="1446.44"/>
        <n v="310.49"/>
        <n v="1412.79"/>
        <n v="719.09"/>
        <n v="475.87"/>
        <n v="827.72"/>
        <n v="1652.5"/>
        <n v="438.77"/>
        <n v="289.41000000000003"/>
        <n v="684.07"/>
        <n v="1371.59"/>
        <n v="813.87"/>
        <n v="407.72"/>
        <n v="250.61"/>
        <n v="944.35"/>
        <n v="1323.59"/>
        <n v="1527.98"/>
        <n v="851.52"/>
        <n v="1591.22"/>
        <n v="410.88"/>
        <n v="372.4"/>
        <n v="1645.56"/>
        <n v="470.9"/>
        <n v="1423.06"/>
        <n v="941.7"/>
        <n v="1510.77"/>
        <n v="1868.38"/>
        <n v="1061.3399999999999"/>
        <n v="171.48"/>
        <n v="819.56"/>
        <n v="1391.92"/>
        <n v="1454.49"/>
        <n v="1922.98"/>
        <n v="917.66"/>
        <n v="371.7"/>
        <n v="1011.32"/>
        <n v="334.38"/>
        <n v="1515.36"/>
        <n v="601.74"/>
        <n v="1688.88"/>
        <n v="1814.5"/>
        <n v="428.6"/>
        <n v="910.65"/>
        <n v="1848.06"/>
        <n v="1764.83"/>
        <n v="292.64999999999998"/>
        <n v="1368.39"/>
        <n v="1008.88"/>
        <n v="532.57000000000005"/>
        <n v="1821.07"/>
        <n v="1050.83"/>
        <n v="917.75"/>
        <n v="406.05"/>
        <n v="363.51"/>
        <n v="931.46"/>
        <n v="184.32"/>
        <n v="1527.83"/>
        <n v="1905.2"/>
        <n v="1629.14"/>
        <n v="1676.15"/>
        <n v="1057.1099999999999"/>
        <n v="343.63"/>
        <n v="579.28"/>
        <n v="1293.8800000000001"/>
        <n v="1193.2"/>
        <n v="1164.6300000000001"/>
        <n v="1114.4000000000001"/>
        <n v="149.97999999999999"/>
        <n v="653.95000000000005"/>
        <n v="1462.95"/>
        <n v="1914.62"/>
        <n v="1788.14"/>
        <n v="688.32"/>
        <n v="593.26"/>
        <n v="1614.34"/>
        <n v="1219.9000000000001"/>
        <n v="706.18"/>
        <n v="805.23"/>
        <n v="436.04"/>
        <n v="624.1"/>
        <n v="879.16"/>
        <n v="1910.86"/>
        <n v="1750.22"/>
        <n v="940"/>
        <n v="935.78"/>
        <n v="567.78"/>
        <n v="1147.5899999999999"/>
        <n v="1520.52"/>
        <n v="1511.91"/>
        <n v="1111.1500000000001"/>
        <n v="401.92"/>
        <n v="548.96"/>
        <n v="1470.36"/>
        <n v="440.42"/>
        <n v="821.34"/>
        <n v="841.98"/>
        <n v="805.65"/>
        <n v="459.79"/>
        <n v="792.66"/>
        <n v="1396.82"/>
        <n v="1442.32"/>
        <n v="366.27"/>
        <n v="1660.41"/>
        <n v="1454.01"/>
        <n v="378.13"/>
        <n v="1496.97"/>
        <n v="1818.93"/>
        <n v="1704.52"/>
        <n v="657.74"/>
        <n v="1427.58"/>
        <n v="541.36"/>
        <n v="701.74"/>
        <n v="712.65"/>
        <n v="1699.89"/>
        <n v="297.95999999999998"/>
        <n v="1024.44"/>
        <n v="1159.9100000000001"/>
        <n v="1440.04"/>
        <n v="1198.3599999999999"/>
        <n v="637"/>
        <n v="784.82"/>
        <n v="1259.05"/>
        <n v="1584.9"/>
        <n v="752.3"/>
        <n v="196.23"/>
        <n v="1447.33"/>
        <n v="1162.94"/>
        <n v="189.75"/>
        <n v="1985.8"/>
        <n v="1741.25"/>
        <n v="1848.98"/>
        <n v="1409.45"/>
        <n v="1435.73"/>
        <n v="1987.52"/>
        <n v="1301.82"/>
        <n v="735.38"/>
        <n v="1549.73"/>
        <n v="1052.67"/>
        <n v="174.04"/>
        <n v="1170.67"/>
        <n v="1081.68"/>
        <n v="1879.49"/>
        <n v="1222.74"/>
        <n v="1271.67"/>
        <n v="1443.33"/>
        <n v="1234.3800000000001"/>
        <n v="1555.17"/>
        <n v="907.59"/>
        <n v="467.28"/>
        <n v="1917.27"/>
        <n v="1936.6"/>
        <n v="575.96"/>
        <n v="104.32"/>
        <n v="592.04999999999995"/>
        <n v="958.19"/>
        <n v="1047.8800000000001"/>
        <n v="900.35"/>
        <n v="450.53"/>
        <n v="1918.33"/>
        <n v="407.56"/>
        <n v="822.82"/>
        <n v="1994.12"/>
        <n v="430.22"/>
        <n v="869.37"/>
        <n v="1328.51"/>
        <n v="755.56"/>
        <n v="1109.69"/>
        <n v="1454.85"/>
        <n v="1934.39"/>
        <n v="1470.52"/>
        <n v="1785.87"/>
        <n v="464.13"/>
        <n v="1507.32"/>
        <n v="759.39"/>
        <n v="1860.1"/>
        <n v="1376.12"/>
        <n v="1899.09"/>
        <n v="1646.46"/>
        <n v="392.98"/>
        <n v="533.82000000000005"/>
        <n v="1496.22"/>
        <n v="125.39"/>
        <n v="1230.49"/>
        <n v="411.27"/>
        <n v="719.99"/>
        <n v="1795.72"/>
        <n v="1950.42"/>
        <n v="1769.74"/>
        <n v="809.43"/>
        <n v="1616.49"/>
        <n v="1662.02"/>
        <n v="706.22"/>
        <n v="756.86"/>
        <n v="1609.71"/>
        <n v="1125.8499999999999"/>
        <n v="644.66"/>
        <n v="351.4"/>
        <n v="820.35"/>
        <n v="864.02"/>
        <n v="728.23"/>
        <n v="1628.56"/>
        <n v="1221.73"/>
        <n v="213.28"/>
        <n v="1621.83"/>
        <n v="448.06"/>
        <n v="786.74"/>
        <n v="1865.77"/>
        <n v="879.79"/>
        <n v="1773.3"/>
        <n v="1033.57"/>
        <n v="225.97"/>
        <n v="1173.9000000000001"/>
        <n v="385.56"/>
        <n v="1237.9100000000001"/>
        <n v="1385.56"/>
        <n v="1228.52"/>
        <n v="642.87"/>
        <n v="1902.08"/>
        <n v="1376.42"/>
        <n v="1718.09"/>
        <n v="1874.26"/>
        <n v="1151.24"/>
        <n v="617.19000000000005"/>
        <n v="290.14999999999998"/>
        <n v="1801.91"/>
        <n v="1635.55"/>
        <n v="972.85"/>
        <n v="1251.77"/>
        <n v="1034.53"/>
        <n v="1637.83"/>
        <n v="1478.02"/>
        <n v="1924.82"/>
        <n v="1208.22"/>
        <n v="1721.85"/>
        <n v="399.77"/>
        <n v="1774.31"/>
        <n v="796.58"/>
        <n v="505.68"/>
        <n v="1496.81"/>
        <n v="1320.22"/>
        <n v="435.23"/>
        <n v="1882.23"/>
        <n v="178.02"/>
        <n v="1129.56"/>
        <n v="733.46"/>
        <n v="1209.3399999999999"/>
        <n v="1528.58"/>
        <n v="1754.43"/>
        <n v="1941.25"/>
        <n v="258.17"/>
        <n v="303.58999999999997"/>
        <n v="1727.78"/>
        <n v="1727.84"/>
        <n v="1502.84"/>
        <n v="754.77"/>
        <n v="269.58999999999997"/>
        <n v="946.42"/>
        <n v="495.41"/>
        <n v="170.39"/>
        <n v="1335.46"/>
        <n v="1620.59"/>
        <n v="1752.91"/>
        <n v="263.02999999999997"/>
        <n v="380.47"/>
        <n v="1176.81"/>
        <n v="1207.22"/>
        <n v="977.75"/>
        <n v="1675.25"/>
        <n v="602.29"/>
        <n v="479.53"/>
        <n v="475.71"/>
        <n v="1268.8599999999999"/>
        <n v="1936.46"/>
        <n v="1579.11"/>
        <n v="463.38"/>
        <n v="605.61"/>
        <n v="1381.24"/>
        <n v="1921.33"/>
        <n v="1948.11"/>
        <n v="196.77"/>
        <n v="402.33"/>
        <n v="1092.92"/>
        <n v="1711.33"/>
        <n v="859.91"/>
        <n v="280.14999999999998"/>
        <n v="1611.47"/>
        <n v="1207.6600000000001"/>
        <n v="840.63"/>
        <n v="1960.07"/>
        <n v="138.68"/>
        <n v="869.17"/>
        <n v="1382.63"/>
        <n v="632.29999999999995"/>
        <n v="1623.11"/>
        <n v="123.94"/>
        <n v="1864.1"/>
        <n v="719.85"/>
        <n v="632.80999999999995"/>
        <n v="1980.31"/>
        <n v="1967.42"/>
        <n v="1558.56"/>
        <n v="1645.11"/>
        <n v="1961.41"/>
        <n v="1417.86"/>
        <n v="226.37"/>
        <n v="666.59"/>
        <n v="772.59"/>
        <n v="415.64"/>
        <n v="1090.4100000000001"/>
        <n v="1122.56"/>
        <n v="909.87"/>
        <n v="1560.84"/>
        <n v="348.16"/>
        <n v="510.2"/>
        <n v="1737.94"/>
        <n v="1611.08"/>
        <n v="111.4"/>
        <n v="473.92"/>
        <n v="827.06"/>
        <n v="1933.96"/>
        <n v="1979.64"/>
        <n v="1994.95"/>
        <n v="138.44"/>
        <n v="1675.58"/>
        <n v="450.93"/>
        <n v="661.85"/>
        <n v="1478.13"/>
        <n v="160.65"/>
        <n v="948.83"/>
        <n v="610.20000000000005"/>
        <n v="1210.22"/>
        <n v="1234.54"/>
        <n v="535.74"/>
        <n v="406.31"/>
        <n v="140.51"/>
        <n v="1537.18"/>
        <n v="1118.48"/>
        <n v="322.95"/>
        <n v="1692.18"/>
        <n v="167.83"/>
        <n v="419.67"/>
        <n v="1371.43"/>
        <n v="1361.94"/>
        <n v="338.85"/>
        <n v="184.34"/>
        <n v="668.55"/>
        <n v="121.96"/>
        <n v="637.58000000000004"/>
        <n v="795.43"/>
        <n v="1176.6099999999999"/>
        <n v="897.09"/>
        <n v="515.69000000000005"/>
        <n v="995.98"/>
        <n v="650.99"/>
        <n v="524.73"/>
        <n v="1381.42"/>
        <n v="493.77"/>
        <n v="494.18"/>
        <n v="1935.08"/>
        <n v="1374.2"/>
        <n v="1188.1500000000001"/>
        <n v="136.77000000000001"/>
        <n v="382.28"/>
        <n v="376.24"/>
        <n v="947.86"/>
        <n v="1440.05"/>
        <n v="704.91"/>
        <n v="1286.31"/>
        <n v="263.45"/>
        <n v="1309.6199999999999"/>
        <n v="453.8"/>
        <n v="1394.8"/>
        <n v="1236.9100000000001"/>
        <n v="1420.35"/>
        <n v="147.94999999999999"/>
        <n v="1399.35"/>
        <n v="424.11"/>
        <n v="1513.68"/>
        <n v="145.81"/>
        <n v="1789.6"/>
        <n v="735.49"/>
        <n v="191.52"/>
        <n v="1204.8800000000001"/>
        <n v="179.54"/>
        <n v="1395.01"/>
        <n v="1524.86"/>
        <n v="164.13"/>
        <n v="740.05"/>
        <n v="710.16"/>
        <n v="1978.63"/>
        <n v="481.22"/>
        <n v="1687.66"/>
        <n v="459.87"/>
        <n v="157.44"/>
        <n v="1955.3"/>
        <n v="120.7"/>
        <n v="1578.54"/>
        <n v="1112.96"/>
        <n v="1215.2"/>
        <n v="565"/>
        <n v="1431.18"/>
        <n v="1230.1099999999999"/>
        <n v="1693.28"/>
        <n v="1590.48"/>
        <n v="1422.76"/>
        <n v="1017.6"/>
        <n v="224.77"/>
        <n v="871.49"/>
        <n v="114.06"/>
        <n v="1827.01"/>
        <n v="1130.69"/>
        <n v="1407.55"/>
        <n v="146.71"/>
        <n v="1513.76"/>
        <n v="1222.01"/>
        <n v="100.38"/>
        <n v="1944.75"/>
        <n v="260.60000000000002"/>
        <n v="1823.83"/>
        <n v="960.37"/>
        <n v="175.01"/>
        <n v="1220.4000000000001"/>
        <n v="780.3"/>
        <n v="1150.3800000000001"/>
        <n v="649.16"/>
        <n v="827.31"/>
        <n v="114.51"/>
        <n v="956.05"/>
        <n v="518.61"/>
        <n v="534.98"/>
        <n v="1722.79"/>
        <n v="1314.49"/>
        <n v="772.55"/>
        <n v="1162.49"/>
        <n v="697.55"/>
        <n v="226.12"/>
        <n v="963.53"/>
        <n v="984.99"/>
        <n v="1478.19"/>
        <n v="1453.62"/>
        <n v="184.98"/>
        <n v="596.73"/>
        <n v="997.94"/>
        <n v="1620.64"/>
        <n v="986.19"/>
        <n v="1340.43"/>
        <n v="194.75"/>
        <n v="358.66"/>
        <n v="1879.12"/>
        <n v="606.84"/>
        <n v="1548.85"/>
        <n v="733.58"/>
        <n v="1649.44"/>
        <n v="1615.3"/>
        <n v="516.16999999999996"/>
        <n v="1962.27"/>
        <n v="1460.57"/>
        <n v="1918.05"/>
        <n v="1260.6500000000001"/>
        <n v="971.42"/>
        <n v="252.27"/>
        <n v="1979.45"/>
        <n v="749.37"/>
        <n v="586.41999999999996"/>
        <n v="1381.51"/>
        <n v="732.94"/>
        <n v="612.05999999999995"/>
        <n v="985.31"/>
        <n v="1077.6500000000001"/>
        <n v="857.54"/>
        <n v="272.04000000000002"/>
        <n v="362.94"/>
        <n v="1922.19"/>
        <n v="1739.55"/>
        <n v="1869.18"/>
        <n v="789.8"/>
        <n v="1847.58"/>
        <n v="1524.46"/>
        <n v="1326.01"/>
        <n v="725.76"/>
        <n v="848.92"/>
        <n v="1319.72"/>
        <n v="280.89999999999998"/>
        <n v="564.54"/>
        <n v="1717.15"/>
        <n v="721.01"/>
        <n v="1288.3900000000001"/>
        <n v="893.76"/>
        <n v="592.30999999999995"/>
        <n v="865.46"/>
        <n v="1237.8699999999999"/>
        <n v="1373.94"/>
        <n v="1317.24"/>
        <n v="1151.29"/>
        <n v="464.87"/>
        <n v="1433.74"/>
        <n v="957.52"/>
        <n v="958.57"/>
        <n v="1168.47"/>
        <n v="1941.01"/>
        <n v="1214.29"/>
        <n v="747.67"/>
        <n v="1789.97"/>
        <n v="668.12"/>
        <n v="1521.39"/>
        <n v="655.91"/>
        <n v="426.55"/>
        <n v="1512.98"/>
        <n v="1496.43"/>
        <n v="411.62"/>
        <n v="920.88"/>
        <n v="150.07"/>
        <n v="586.11"/>
        <n v="1210.55"/>
        <n v="155.80000000000001"/>
        <n v="1463.21"/>
        <n v="1569.86"/>
        <n v="1845.51"/>
        <n v="1596.58"/>
        <n v="1077.5999999999999"/>
        <n v="888.08"/>
        <n v="1694.99"/>
        <n v="643.42999999999995"/>
        <n v="477.96"/>
        <n v="290.7"/>
        <n v="1332.32"/>
        <n v="1850.97"/>
        <n v="1732.42"/>
        <n v="1407.78"/>
        <n v="207.67"/>
        <n v="1884.21"/>
        <n v="725.6"/>
        <n v="478.73"/>
        <n v="1622.36"/>
        <n v="880.81"/>
        <n v="284.33999999999997"/>
        <n v="1183.67"/>
        <n v="573.28"/>
        <n v="460.69"/>
        <n v="797.77"/>
        <n v="742.58"/>
        <n v="1926.59"/>
        <n v="1865.42"/>
        <n v="217.53"/>
        <n v="1532.52"/>
        <n v="1173.1500000000001"/>
        <n v="1203.5999999999999"/>
        <n v="1520.14"/>
        <n v="1421.24"/>
        <n v="1707.57"/>
        <n v="1168.56"/>
        <n v="1089.28"/>
        <n v="426.35"/>
        <n v="602.55999999999995"/>
        <n v="751.44"/>
        <n v="853.09"/>
        <n v="1876.07"/>
        <n v="1192.6500000000001"/>
        <n v="154.86000000000001"/>
        <n v="919.25"/>
        <n v="1170.52"/>
        <n v="1911.03"/>
        <n v="1315.41"/>
        <n v="1666.39"/>
        <n v="1516.11"/>
        <n v="1109.32"/>
        <n v="394.92"/>
        <n v="783.16"/>
        <n v="1060.6600000000001"/>
        <n v="1840.15"/>
        <n v="1667.74"/>
        <n v="1261.6600000000001"/>
        <n v="215.54"/>
        <n v="1432.27"/>
        <n v="228.98"/>
        <n v="1954.32"/>
        <n v="615.30999999999995"/>
        <n v="1500.81"/>
        <n v="1881.54"/>
        <n v="200.11"/>
        <n v="325.83999999999997"/>
        <n v="369.55"/>
        <n v="664.99"/>
        <n v="631"/>
        <n v="689.38"/>
        <n v="1899.86"/>
        <n v="849.89"/>
        <n v="869.66"/>
        <n v="622.58000000000004"/>
        <n v="357.2"/>
        <n v="136.1"/>
        <n v="1777.83"/>
        <n v="925.76"/>
        <n v="1338.35"/>
        <n v="1767.41"/>
        <n v="1206.67"/>
        <n v="1407.16"/>
        <n v="1960.2"/>
        <n v="243.83"/>
        <n v="1843.37"/>
        <n v="1177.83"/>
        <n v="487.02"/>
        <n v="1137.03"/>
        <n v="914.02"/>
        <n v="719.64"/>
        <n v="451"/>
        <n v="1200.24"/>
        <n v="1886.92"/>
        <n v="930.26"/>
        <n v="219.05"/>
        <n v="1840.16"/>
        <n v="416.9"/>
        <n v="314.31"/>
        <n v="1127.05"/>
        <n v="1862.58"/>
        <n v="908.43"/>
        <n v="1992.49"/>
        <n v="274.99"/>
        <n v="183.13"/>
        <n v="153.55000000000001"/>
        <n v="1841.88"/>
        <n v="1994.41"/>
        <n v="1419.35"/>
        <n v="1837.1"/>
        <n v="728.07"/>
        <n v="1732.28"/>
        <n v="1852.33"/>
        <n v="483.07"/>
        <n v="1280.27"/>
        <n v="716.38"/>
        <n v="1046"/>
        <n v="608.80999999999995"/>
        <n v="487.1"/>
        <n v="879.66"/>
        <n v="766.21"/>
        <n v="762.57"/>
        <n v="1959.15"/>
        <n v="807.48"/>
        <n v="1066.9000000000001"/>
        <n v="673.12"/>
        <n v="1421.17"/>
        <n v="1240.27"/>
        <n v="1913.09"/>
        <n v="1248.1600000000001"/>
        <n v="412.84"/>
        <n v="1764.17"/>
        <n v="216.83"/>
        <n v="1401.84"/>
        <n v="1489.29"/>
        <n v="1008.44"/>
        <n v="1659.77"/>
        <n v="965.28"/>
        <n v="1455.42"/>
        <n v="767.78"/>
        <n v="492.22"/>
        <n v="1156.54"/>
        <n v="1761.34"/>
        <n v="1406.81"/>
        <n v="1306.76"/>
        <n v="447.14"/>
        <n v="673.26"/>
        <n v="712.41"/>
        <n v="1494.22"/>
        <n v="1093.53"/>
        <n v="1291.28"/>
        <n v="284.87"/>
        <n v="947"/>
        <n v="1235.06"/>
        <n v="1458.14"/>
        <n v="513.15"/>
        <n v="1630.29"/>
        <n v="1370.73"/>
        <n v="342.46"/>
        <n v="1706.3"/>
        <n v="882.51"/>
        <n v="921.1"/>
        <n v="1317.09"/>
        <n v="283.64"/>
        <n v="1344.7"/>
        <n v="1969.83"/>
        <n v="1147.3"/>
        <n v="370.33"/>
        <n v="1327.29"/>
        <n v="727.44"/>
        <n v="1676.51"/>
        <n v="1996.23"/>
        <n v="470.21"/>
        <n v="1480.02"/>
        <n v="914.79"/>
        <n v="215.87"/>
        <n v="632.89"/>
        <n v="1426.03"/>
        <n v="1831.36"/>
        <n v="182.77"/>
        <n v="1334.03"/>
        <n v="1308.18"/>
        <n v="1673.23"/>
        <n v="213.46"/>
        <n v="117.78"/>
        <n v="726.14"/>
        <n v="1694.72"/>
        <n v="324.12"/>
        <n v="828.32"/>
        <n v="912.77"/>
        <n v="534.78"/>
        <n v="1636.26"/>
        <n v="336.06"/>
        <n v="1897.57"/>
        <n v="1653.16"/>
        <n v="1665.97"/>
        <n v="1999.66"/>
        <n v="1873.82"/>
        <n v="285.2"/>
        <n v="553.67999999999995"/>
        <n v="1429.79"/>
        <n v="932.79"/>
        <n v="243.29"/>
        <n v="1773.28"/>
        <n v="1897.43"/>
        <n v="584.01"/>
        <n v="1200.47"/>
        <n v="1494.05"/>
        <n v="1468.89"/>
        <n v="1081.55"/>
        <n v="1496.13"/>
        <n v="412.28"/>
        <n v="200.21"/>
        <n v="743.02"/>
        <n v="254.26"/>
        <n v="1384.85"/>
        <n v="1946.2"/>
        <n v="957.53"/>
        <n v="1536.84"/>
        <n v="541.37"/>
        <n v="137.01"/>
        <n v="114.59"/>
        <n v="821.44"/>
        <n v="451.72"/>
        <n v="1704.62"/>
        <n v="1450.94"/>
        <n v="1475.02"/>
        <n v="905.61"/>
        <n v="524.45000000000005"/>
        <n v="1586.99"/>
        <n v="247.75"/>
        <n v="161"/>
        <n v="608.41999999999996"/>
        <n v="1776.66"/>
        <n v="1135.0999999999999"/>
        <n v="1730"/>
        <n v="1763.15"/>
        <n v="1234.3"/>
        <n v="313.44"/>
        <n v="1185.94"/>
        <n v="1111.55"/>
        <n v="1453.11"/>
        <n v="1616.07"/>
        <n v="1604.35"/>
        <n v="887.65"/>
        <n v="1118.32"/>
        <n v="937.91"/>
        <n v="475.89"/>
        <n v="535.73"/>
        <n v="1372.85"/>
        <n v="1513.03"/>
        <n v="513.49"/>
        <n v="100.85"/>
        <n v="695.92"/>
        <n v="1144.51"/>
        <n v="1254.1300000000001"/>
        <n v="887.36"/>
        <n v="543.14"/>
        <n v="1845.42"/>
        <n v="1878.92"/>
        <n v="255.62"/>
        <n v="1986.63"/>
        <n v="687.5"/>
        <n v="1932.58"/>
        <n v="1593.05"/>
        <n v="802.74"/>
        <n v="396.47"/>
        <n v="320.91000000000003"/>
        <n v="440.46"/>
        <n v="621.41999999999996"/>
        <n v="601.33000000000004"/>
        <n v="1625.02"/>
        <n v="133.22"/>
        <n v="818.13"/>
        <n v="1909.85"/>
        <n v="1157.77"/>
        <n v="1378.93"/>
        <n v="584.83000000000004"/>
        <n v="1255.98"/>
        <n v="1163.68"/>
        <n v="1819.39"/>
        <n v="1689.39"/>
        <n v="1303.67"/>
        <n v="260.23"/>
        <n v="703.55"/>
        <n v="165.01"/>
        <n v="137.13"/>
        <n v="569.95000000000005"/>
        <n v="1724.69"/>
        <n v="897.67"/>
        <n v="1034.25"/>
        <n v="200.83"/>
        <n v="354.44"/>
        <n v="1604.19"/>
        <n v="1777.65"/>
        <n v="1194.31"/>
        <n v="617.24"/>
        <n v="311.89"/>
        <n v="1299.94"/>
        <n v="697.59"/>
        <n v="931.68"/>
        <n v="152.44999999999999"/>
        <n v="1911.58"/>
        <n v="187.3"/>
        <n v="1129.55"/>
        <n v="1741.04"/>
        <n v="1727.95"/>
        <n v="1730.26"/>
        <n v="211.42"/>
        <n v="1794.25"/>
        <n v="1024.78"/>
        <n v="1917.9"/>
        <n v="1999.35"/>
        <n v="1316.54"/>
        <n v="373.33"/>
        <n v="872.99"/>
        <n v="766.09"/>
        <n v="1911.56"/>
        <n v="739.25"/>
        <n v="1618.06"/>
        <n v="1839.31"/>
        <n v="785.81"/>
        <n v="1354.31"/>
        <n v="1393.97"/>
        <n v="551.82000000000005"/>
        <n v="1947.06"/>
        <n v="1752.97"/>
        <n v="1404.36"/>
        <n v="1736.21"/>
        <n v="814.61"/>
        <n v="1379.27"/>
        <n v="1676.99"/>
        <n v="1478.68"/>
        <n v="729.17"/>
        <n v="808.35"/>
        <n v="473.26"/>
        <n v="955.83"/>
        <n v="1585.34"/>
        <n v="198.04"/>
        <n v="1540.19"/>
        <n v="228.64"/>
        <n v="805.74"/>
        <n v="912.89"/>
        <n v="1917.98"/>
        <n v="1315.68"/>
        <n v="1373"/>
        <n v="1692.26"/>
        <n v="416.62"/>
        <n v="1420.57"/>
        <n v="339.91"/>
        <n v="1960.93"/>
        <n v="1598.52"/>
        <n v="1910.7"/>
        <n v="1386.53"/>
        <n v="682.06"/>
        <n v="525.83000000000004"/>
        <n v="148.46"/>
        <n v="939.27"/>
        <n v="851.99"/>
        <n v="1636.4"/>
        <n v="676.86"/>
        <n v="834.28"/>
        <n v="1210.57"/>
        <n v="1923.36"/>
        <n v="195.91"/>
        <n v="643.59"/>
        <n v="354.49"/>
        <n v="1157.26"/>
        <n v="666.35"/>
        <n v="1133.71"/>
        <n v="1688.44"/>
        <n v="390.13"/>
        <n v="356.96"/>
        <n v="1369.47"/>
        <n v="1458.35"/>
        <n v="1792.84"/>
        <n v="773.71"/>
        <n v="831.18"/>
        <n v="1607.88"/>
        <n v="1803.35"/>
        <n v="428.05"/>
        <n v="1203"/>
        <n v="521.98"/>
        <n v="1296.3499999999999"/>
        <n v="1246.48"/>
        <n v="1402.65"/>
        <n v="708.83"/>
        <n v="779.67"/>
        <n v="517.54"/>
        <n v="1904.4"/>
        <n v="1759.6"/>
        <n v="372.09"/>
        <n v="1392.9"/>
        <n v="1272.17"/>
        <n v="1678.49"/>
        <n v="1538.98"/>
        <n v="1396.46"/>
        <n v="610.29"/>
        <n v="712.44"/>
        <n v="400.39"/>
        <n v="611.63"/>
        <n v="1436"/>
        <n v="1294.31"/>
        <n v="348.56"/>
        <n v="680.2"/>
        <n v="1320.89"/>
        <n v="818.59"/>
        <n v="1251.06"/>
        <n v="1128.3800000000001"/>
        <n v="1989.27"/>
        <n v="432.26"/>
        <n v="1799.3"/>
        <n v="1064.05"/>
        <n v="1787.58"/>
        <n v="1248.4100000000001"/>
        <n v="1540.88"/>
        <n v="909.48"/>
        <n v="1052.7"/>
        <n v="771.59"/>
        <n v="1215.54"/>
        <n v="292.68"/>
        <n v="878.58"/>
        <n v="362.7"/>
        <n v="1393.04"/>
        <n v="1633.26"/>
        <n v="705.2"/>
        <n v="155.21"/>
        <n v="919.6"/>
        <n v="547.57000000000005"/>
        <n v="273.02999999999997"/>
        <n v="1966.13"/>
        <n v="503.04"/>
        <n v="1446.23"/>
        <n v="245.52"/>
        <n v="1891.74"/>
        <n v="1744.75"/>
        <n v="723.2"/>
        <n v="1366.31"/>
        <n v="1096.73"/>
        <n v="236.14"/>
        <n v="919.06"/>
        <n v="1816.73"/>
        <n v="1978.24"/>
        <n v="991.99"/>
        <n v="1637.98"/>
        <n v="1754.45"/>
        <n v="621.99"/>
        <n v="928.74"/>
        <n v="201.16"/>
        <n v="1502.56"/>
        <n v="1939.11"/>
        <n v="537.58000000000004"/>
        <n v="1908.06"/>
        <n v="1781.34"/>
        <n v="572.21"/>
        <n v="578.22"/>
        <n v="1094.46"/>
        <n v="726.66"/>
        <n v="1828.64"/>
        <n v="499.63"/>
        <n v="642.75"/>
        <n v="328.04"/>
        <n v="323.98"/>
        <n v="1681.44"/>
        <n v="782.67"/>
        <n v="1708.94"/>
        <n v="1616.18"/>
        <n v="469.78"/>
        <n v="1307.27"/>
        <n v="1421.92"/>
        <n v="251.06"/>
        <n v="576.97"/>
        <n v="744.72"/>
        <n v="1885.21"/>
        <n v="472.12"/>
        <n v="1562.22"/>
        <n v="450.5"/>
        <n v="1744.47"/>
        <n v="124.63"/>
        <n v="523.25"/>
        <n v="108.54"/>
        <n v="396.19"/>
        <n v="1561.58"/>
        <n v="1759.89"/>
        <n v="1035.6600000000001"/>
        <n v="942.67"/>
        <n v="1171.81"/>
        <n v="693.81"/>
        <n v="1001.16"/>
        <n v="1798.56"/>
        <n v="670.86"/>
        <n v="634.69000000000005"/>
        <n v="995.79"/>
        <n v="1634.69"/>
        <n v="1024.3499999999999"/>
        <n v="399.09"/>
        <n v="1509.51"/>
        <n v="1056.8499999999999"/>
        <n v="1607.27"/>
        <n v="1141.3699999999999"/>
        <n v="769.86"/>
        <n v="1171.17"/>
        <n v="1478.82"/>
        <n v="1906.97"/>
        <n v="566.72"/>
        <n v="832.71"/>
        <n v="1601.02"/>
        <n v="1735.64"/>
        <n v="352.37"/>
        <n v="914.48"/>
        <n v="1347.41"/>
        <n v="1454.15"/>
        <n v="628.05999999999995"/>
        <n v="332.6"/>
        <n v="761.63"/>
        <n v="1942.21"/>
        <n v="538.15"/>
        <n v="1674.45"/>
        <n v="1398.54"/>
        <n v="154.81"/>
        <n v="382.5"/>
        <n v="355.67"/>
        <n v="1585.19"/>
        <n v="1946.42"/>
        <n v="715.75"/>
        <n v="1074.8800000000001"/>
        <n v="567.51"/>
        <n v="672.4"/>
        <n v="1690.46"/>
        <n v="1509.38"/>
        <n v="267.77"/>
        <n v="1220.99"/>
        <n v="473.7"/>
        <n v="1062.1300000000001"/>
        <n v="918.93"/>
        <n v="1659.71"/>
        <n v="1539.88"/>
        <n v="1496.72"/>
        <n v="1211.3800000000001"/>
        <n v="1241.22"/>
        <n v="644.45000000000005"/>
        <n v="685.34"/>
        <n v="449.14"/>
        <n v="1102.69"/>
        <n v="1859.73"/>
        <n v="589.57000000000005"/>
        <n v="749.91"/>
        <n v="1913.63"/>
        <n v="1723.02"/>
        <n v="1685.64"/>
        <n v="1848.34"/>
        <n v="248.3"/>
        <n v="1429.95"/>
        <n v="1085.03"/>
        <n v="611.70000000000005"/>
        <n v="1780.48"/>
        <n v="1158.5"/>
        <n v="1133.3399999999999"/>
        <n v="320.76"/>
        <n v="1160.5899999999999"/>
        <n v="104.27"/>
        <n v="542.52"/>
        <n v="769.57"/>
        <n v="240.31"/>
        <n v="772.53"/>
        <n v="1022.7"/>
        <n v="1677.92"/>
        <n v="1686.17"/>
        <n v="1682.97"/>
        <n v="1314.12"/>
        <n v="230.58"/>
        <n v="151.1"/>
        <n v="525.71"/>
        <n v="819.49"/>
        <n v="281.36"/>
        <n v="1144.45"/>
        <n v="1403.85"/>
        <n v="361.25"/>
        <n v="1664.12"/>
        <n v="1600.23"/>
        <n v="1341.92"/>
        <n v="1185.42"/>
        <n v="852.82"/>
        <n v="267.43"/>
        <n v="357.96"/>
        <n v="1577.47"/>
        <n v="1827.6"/>
        <n v="607.09"/>
        <n v="270.14999999999998"/>
        <n v="1375.7"/>
        <n v="1056.19"/>
        <n v="831.24"/>
        <n v="1947.41"/>
        <n v="1769.86"/>
        <n v="1713.81"/>
        <n v="1149.82"/>
        <n v="1631.19"/>
        <n v="1098.1300000000001"/>
        <n v="954.88"/>
        <n v="1591.07"/>
        <n v="1565.16"/>
        <n v="991.51"/>
        <n v="754.06"/>
        <n v="1945.18"/>
        <n v="1393.3"/>
        <n v="1055.1500000000001"/>
        <n v="827.99"/>
        <n v="143.01"/>
        <n v="316.37"/>
        <n v="1124.01"/>
        <n v="750.78"/>
        <n v="1897.94"/>
        <n v="1079.21"/>
        <n v="237.4"/>
        <n v="1887.58"/>
        <n v="1208.8"/>
        <n v="978.84"/>
        <n v="698.31"/>
        <n v="1894.1"/>
        <n v="1493.96"/>
        <n v="951.75"/>
        <n v="205.59"/>
        <n v="1424.7"/>
        <n v="811.68"/>
        <n v="657.5"/>
        <n v="1118.8699999999999"/>
        <n v="642.85"/>
        <n v="492.3"/>
        <n v="1155.28"/>
        <n v="709.49"/>
        <n v="230.27"/>
        <n v="146.52000000000001"/>
        <n v="873.91"/>
        <n v="216.87"/>
        <n v="459.74"/>
        <n v="464.98"/>
        <n v="1579.95"/>
        <n v="1516.91"/>
        <n v="161.12"/>
        <n v="638.17999999999995"/>
        <n v="297.75"/>
        <n v="680.39"/>
        <n v="1660.67"/>
        <n v="194.7"/>
        <n v="557.85"/>
        <n v="132.29"/>
        <n v="1254.24"/>
        <n v="841.38"/>
        <n v="1272.83"/>
        <n v="1963.68"/>
        <n v="791.78"/>
        <n v="963.92"/>
        <n v="481.1"/>
        <n v="1556.52"/>
        <n v="1812.61"/>
        <n v="1057.08"/>
        <n v="1647.71"/>
        <n v="1960.98"/>
        <n v="244.82"/>
        <n v="874.73"/>
        <n v="1807.98"/>
        <n v="214.29"/>
        <n v="187.35"/>
        <n v="117.15"/>
      </sharedItems>
    </cacheField>
    <cacheField name="Debt_to_Income_Ratio" numFmtId="0">
      <sharedItems containsSemiMixedTypes="0" containsString="0" containsNumber="1" minValue="0.1" maxValue="1" count="91">
        <n v="0.26"/>
        <n v="0.23"/>
        <n v="0.57999999999999996"/>
        <n v="0.97"/>
        <n v="0.5"/>
        <n v="0.31"/>
        <n v="0.11"/>
        <n v="0.95"/>
        <n v="0.37"/>
        <n v="0.62"/>
        <n v="0.39"/>
        <n v="0.48"/>
        <n v="0.59"/>
        <n v="0.71"/>
        <n v="0.78"/>
        <n v="0.65"/>
        <n v="0.36"/>
        <n v="0.16"/>
        <n v="0.22"/>
        <n v="0.13"/>
        <n v="0.35"/>
        <n v="0.98"/>
        <n v="0.96"/>
        <n v="0.76"/>
        <n v="0.84"/>
        <n v="0.61"/>
        <n v="0.34"/>
        <n v="0.12"/>
        <n v="0.54"/>
        <n v="0.7"/>
        <n v="0.93"/>
        <n v="0.4"/>
        <n v="0.47"/>
        <n v="0.44"/>
        <n v="0.94"/>
        <n v="0.19"/>
        <n v="0.86"/>
        <n v="0.63"/>
        <n v="0.45"/>
        <n v="0.72"/>
        <n v="0.91"/>
        <n v="0.67"/>
        <n v="0.3"/>
        <n v="0.89"/>
        <n v="0.24"/>
        <n v="0.87"/>
        <n v="0.77"/>
        <n v="0.6"/>
        <n v="0.73"/>
        <n v="0.43"/>
        <n v="0.68"/>
        <n v="0.92"/>
        <n v="0.15"/>
        <n v="0.32"/>
        <n v="0.28999999999999998"/>
        <n v="0.9"/>
        <n v="0.74"/>
        <n v="0.1"/>
        <n v="0.28000000000000003"/>
        <n v="0.38"/>
        <n v="0.52"/>
        <n v="0.25"/>
        <n v="0.75"/>
        <n v="0.18"/>
        <n v="0.2"/>
        <n v="0.85"/>
        <n v="0.79"/>
        <n v="0.49"/>
        <n v="0.56999999999999995"/>
        <n v="0.55000000000000004"/>
        <n v="0.99"/>
        <n v="0.8"/>
        <n v="0.56000000000000005"/>
        <n v="0.53"/>
        <n v="0.33"/>
        <n v="0.42"/>
        <n v="0.64"/>
        <n v="0.81"/>
        <n v="0.69"/>
        <n v="0.88"/>
        <n v="1"/>
        <n v="0.21"/>
        <n v="0.66"/>
        <n v="0.46"/>
        <n v="0.82"/>
        <n v="0.17"/>
        <n v="0.14000000000000001"/>
        <n v="0.83"/>
        <n v="0.41"/>
        <n v="0.27"/>
        <n v="0.51"/>
      </sharedItems>
    </cacheField>
    <cacheField name="Loan_Application_Date" numFmtId="164">
      <sharedItems containsSemiMixedTypes="0" containsNonDate="0" containsDate="1" containsString="0" minDate="2020-07-10T00:00:00" maxDate="2025-07-11T00:00:00" count="1236">
        <d v="2022-07-06T00:00:00"/>
        <d v="2023-09-04T00:00:00"/>
        <d v="2022-09-07T00:00:00"/>
        <d v="2021-01-10T00:00:00"/>
        <d v="2021-01-26T00:00:00"/>
        <d v="2024-01-06T00:00:00"/>
        <d v="2024-09-30T00:00:00"/>
        <d v="2024-08-04T00:00:00"/>
        <d v="2021-06-15T00:00:00"/>
        <d v="2022-03-01T00:00:00"/>
        <d v="2023-02-12T00:00:00"/>
        <d v="2022-04-03T00:00:00"/>
        <d v="2024-12-04T00:00:00"/>
        <d v="2023-03-12T00:00:00"/>
        <d v="2022-09-11T00:00:00"/>
        <d v="2023-06-18T00:00:00"/>
        <d v="2022-12-23T00:00:00"/>
        <d v="2023-11-19T00:00:00"/>
        <d v="2025-06-06T00:00:00"/>
        <d v="2023-07-09T00:00:00"/>
        <d v="2022-01-25T00:00:00"/>
        <d v="2020-08-01T00:00:00"/>
        <d v="2024-01-16T00:00:00"/>
        <d v="2024-02-21T00:00:00"/>
        <d v="2023-05-10T00:00:00"/>
        <d v="2024-02-17T00:00:00"/>
        <d v="2023-08-02T00:00:00"/>
        <d v="2021-11-02T00:00:00"/>
        <d v="2023-09-16T00:00:00"/>
        <d v="2023-11-16T00:00:00"/>
        <d v="2025-03-16T00:00:00"/>
        <d v="2021-10-09T00:00:00"/>
        <d v="2022-03-10T00:00:00"/>
        <d v="2024-09-12T00:00:00"/>
        <d v="2022-03-09T00:00:00"/>
        <d v="2023-07-28T00:00:00"/>
        <d v="2023-04-11T00:00:00"/>
        <d v="2023-11-24T00:00:00"/>
        <d v="2022-10-11T00:00:00"/>
        <d v="2021-05-23T00:00:00"/>
        <d v="2021-11-03T00:00:00"/>
        <d v="2022-10-31T00:00:00"/>
        <d v="2024-06-09T00:00:00"/>
        <d v="2024-07-17T00:00:00"/>
        <d v="2022-06-11T00:00:00"/>
        <d v="2021-12-22T00:00:00"/>
        <d v="2025-05-10T00:00:00"/>
        <d v="2024-08-23T00:00:00"/>
        <d v="2020-12-11T00:00:00"/>
        <d v="2023-11-23T00:00:00"/>
        <d v="2020-11-30T00:00:00"/>
        <d v="2022-10-29T00:00:00"/>
        <d v="2020-09-24T00:00:00"/>
        <d v="2021-05-13T00:00:00"/>
        <d v="2021-04-20T00:00:00"/>
        <d v="2025-02-24T00:00:00"/>
        <d v="2024-05-05T00:00:00"/>
        <d v="2022-11-17T00:00:00"/>
        <d v="2022-05-17T00:00:00"/>
        <d v="2024-01-08T00:00:00"/>
        <d v="2025-01-26T00:00:00"/>
        <d v="2022-11-05T00:00:00"/>
        <d v="2021-03-07T00:00:00"/>
        <d v="2022-11-06T00:00:00"/>
        <d v="2020-10-04T00:00:00"/>
        <d v="2024-12-02T00:00:00"/>
        <d v="2024-06-20T00:00:00"/>
        <d v="2021-05-05T00:00:00"/>
        <d v="2022-02-24T00:00:00"/>
        <d v="2020-11-02T00:00:00"/>
        <d v="2023-08-28T00:00:00"/>
        <d v="2025-05-09T00:00:00"/>
        <d v="2024-10-15T00:00:00"/>
        <d v="2021-09-04T00:00:00"/>
        <d v="2020-10-15T00:00:00"/>
        <d v="2025-05-02T00:00:00"/>
        <d v="2023-02-22T00:00:00"/>
        <d v="2020-10-03T00:00:00"/>
        <d v="2023-01-28T00:00:00"/>
        <d v="2022-01-15T00:00:00"/>
        <d v="2023-02-01T00:00:00"/>
        <d v="2023-07-17T00:00:00"/>
        <d v="2021-03-19T00:00:00"/>
        <d v="2024-05-14T00:00:00"/>
        <d v="2021-08-04T00:00:00"/>
        <d v="2024-10-19T00:00:00"/>
        <d v="2021-03-31T00:00:00"/>
        <d v="2022-12-06T00:00:00"/>
        <d v="2022-06-14T00:00:00"/>
        <d v="2021-03-25T00:00:00"/>
        <d v="2022-02-03T00:00:00"/>
        <d v="2023-09-11T00:00:00"/>
        <d v="2025-03-22T00:00:00"/>
        <d v="2024-08-19T00:00:00"/>
        <d v="2022-05-04T00:00:00"/>
        <d v="2021-05-24T00:00:00"/>
        <d v="2025-03-09T00:00:00"/>
        <d v="2022-07-17T00:00:00"/>
        <d v="2024-05-02T00:00:00"/>
        <d v="2024-07-04T00:00:00"/>
        <d v="2021-08-06T00:00:00"/>
        <d v="2023-12-13T00:00:00"/>
        <d v="2022-06-09T00:00:00"/>
        <d v="2021-09-05T00:00:00"/>
        <d v="2023-01-05T00:00:00"/>
        <d v="2025-06-29T00:00:00"/>
        <d v="2021-01-05T00:00:00"/>
        <d v="2023-10-18T00:00:00"/>
        <d v="2021-12-31T00:00:00"/>
        <d v="2025-01-20T00:00:00"/>
        <d v="2022-05-26T00:00:00"/>
        <d v="2021-08-08T00:00:00"/>
        <d v="2023-06-24T00:00:00"/>
        <d v="2022-08-05T00:00:00"/>
        <d v="2023-05-04T00:00:00"/>
        <d v="2022-04-30T00:00:00"/>
        <d v="2020-07-12T00:00:00"/>
        <d v="2020-11-19T00:00:00"/>
        <d v="2021-01-12T00:00:00"/>
        <d v="2023-11-04T00:00:00"/>
        <d v="2023-11-14T00:00:00"/>
        <d v="2021-03-24T00:00:00"/>
        <d v="2023-05-27T00:00:00"/>
        <d v="2020-12-03T00:00:00"/>
        <d v="2024-09-08T00:00:00"/>
        <d v="2024-08-15T00:00:00"/>
        <d v="2023-03-23T00:00:00"/>
        <d v="2022-07-21T00:00:00"/>
        <d v="2024-02-14T00:00:00"/>
        <d v="2025-03-01T00:00:00"/>
        <d v="2023-01-06T00:00:00"/>
        <d v="2022-06-28T00:00:00"/>
        <d v="2021-02-03T00:00:00"/>
        <d v="2022-04-06T00:00:00"/>
        <d v="2024-01-30T00:00:00"/>
        <d v="2024-10-22T00:00:00"/>
        <d v="2021-03-10T00:00:00"/>
        <d v="2021-12-23T00:00:00"/>
        <d v="2023-10-16T00:00:00"/>
        <d v="2022-08-26T00:00:00"/>
        <d v="2023-07-13T00:00:00"/>
        <d v="2021-11-23T00:00:00"/>
        <d v="2024-08-03T00:00:00"/>
        <d v="2022-11-10T00:00:00"/>
        <d v="2022-11-19T00:00:00"/>
        <d v="2021-11-22T00:00:00"/>
        <d v="2022-08-13T00:00:00"/>
        <d v="2024-01-29T00:00:00"/>
        <d v="2020-08-23T00:00:00"/>
        <d v="2020-10-17T00:00:00"/>
        <d v="2022-02-16T00:00:00"/>
        <d v="2025-05-24T00:00:00"/>
        <d v="2022-01-10T00:00:00"/>
        <d v="2025-05-12T00:00:00"/>
        <d v="2022-09-09T00:00:00"/>
        <d v="2022-05-14T00:00:00"/>
        <d v="2023-06-13T00:00:00"/>
        <d v="2020-09-08T00:00:00"/>
        <d v="2021-01-17T00:00:00"/>
        <d v="2023-09-20T00:00:00"/>
        <d v="2022-03-08T00:00:00"/>
        <d v="2022-07-18T00:00:00"/>
        <d v="2023-01-16T00:00:00"/>
        <d v="2020-09-18T00:00:00"/>
        <d v="2021-09-02T00:00:00"/>
        <d v="2023-10-13T00:00:00"/>
        <d v="2021-04-09T00:00:00"/>
        <d v="2024-05-28T00:00:00"/>
        <d v="2022-09-30T00:00:00"/>
        <d v="2021-09-18T00:00:00"/>
        <d v="2022-05-16T00:00:00"/>
        <d v="2024-01-23T00:00:00"/>
        <d v="2022-08-20T00:00:00"/>
        <d v="2021-11-12T00:00:00"/>
        <d v="2024-12-20T00:00:00"/>
        <d v="2020-10-07T00:00:00"/>
        <d v="2023-04-03T00:00:00"/>
        <d v="2021-07-13T00:00:00"/>
        <d v="2021-12-10T00:00:00"/>
        <d v="2021-11-16T00:00:00"/>
        <d v="2020-10-22T00:00:00"/>
        <d v="2023-04-06T00:00:00"/>
        <d v="2023-08-27T00:00:00"/>
        <d v="2023-10-08T00:00:00"/>
        <d v="2024-02-09T00:00:00"/>
        <d v="2024-10-25T00:00:00"/>
        <d v="2021-04-30T00:00:00"/>
        <d v="2023-06-29T00:00:00"/>
        <d v="2022-04-08T00:00:00"/>
        <d v="2023-03-21T00:00:00"/>
        <d v="2024-10-06T00:00:00"/>
        <d v="2022-01-06T00:00:00"/>
        <d v="2023-10-21T00:00:00"/>
        <d v="2023-01-23T00:00:00"/>
        <d v="2023-10-27T00:00:00"/>
        <d v="2020-09-12T00:00:00"/>
        <d v="2022-01-18T00:00:00"/>
        <d v="2025-06-14T00:00:00"/>
        <d v="2020-10-06T00:00:00"/>
        <d v="2024-12-01T00:00:00"/>
        <d v="2024-08-11T00:00:00"/>
        <d v="2020-11-20T00:00:00"/>
        <d v="2021-03-21T00:00:00"/>
        <d v="2022-10-07T00:00:00"/>
        <d v="2022-04-27T00:00:00"/>
        <d v="2021-03-16T00:00:00"/>
        <d v="2022-09-06T00:00:00"/>
        <d v="2022-02-26T00:00:00"/>
        <d v="2023-12-11T00:00:00"/>
        <d v="2021-10-13T00:00:00"/>
        <d v="2021-10-11T00:00:00"/>
        <d v="2020-11-21T00:00:00"/>
        <d v="2024-01-25T00:00:00"/>
        <d v="2024-02-29T00:00:00"/>
        <d v="2021-10-12T00:00:00"/>
        <d v="2024-10-23T00:00:00"/>
        <d v="2021-01-25T00:00:00"/>
        <d v="2020-07-30T00:00:00"/>
        <d v="2024-12-03T00:00:00"/>
        <d v="2022-10-06T00:00:00"/>
        <d v="2023-04-07T00:00:00"/>
        <d v="2024-06-02T00:00:00"/>
        <d v="2020-11-22T00:00:00"/>
        <d v="2021-07-29T00:00:00"/>
        <d v="2025-07-07T00:00:00"/>
        <d v="2022-04-14T00:00:00"/>
        <d v="2025-03-26T00:00:00"/>
        <d v="2024-11-10T00:00:00"/>
        <d v="2022-03-02T00:00:00"/>
        <d v="2022-10-17T00:00:00"/>
        <d v="2021-11-29T00:00:00"/>
        <d v="2020-11-16T00:00:00"/>
        <d v="2023-10-17T00:00:00"/>
        <d v="2021-09-26T00:00:00"/>
        <d v="2023-11-29T00:00:00"/>
        <d v="2023-05-18T00:00:00"/>
        <d v="2022-10-10T00:00:00"/>
        <d v="2024-11-14T00:00:00"/>
        <d v="2024-07-05T00:00:00"/>
        <d v="2022-06-24T00:00:00"/>
        <d v="2024-10-28T00:00:00"/>
        <d v="2025-06-23T00:00:00"/>
        <d v="2021-10-01T00:00:00"/>
        <d v="2022-02-11T00:00:00"/>
        <d v="2021-07-14T00:00:00"/>
        <d v="2021-06-01T00:00:00"/>
        <d v="2024-04-23T00:00:00"/>
        <d v="2021-02-05T00:00:00"/>
        <d v="2021-04-15T00:00:00"/>
        <d v="2021-11-17T00:00:00"/>
        <d v="2023-01-27T00:00:00"/>
        <d v="2025-06-24T00:00:00"/>
        <d v="2020-12-02T00:00:00"/>
        <d v="2023-05-20T00:00:00"/>
        <d v="2023-11-22T00:00:00"/>
        <d v="2022-01-05T00:00:00"/>
        <d v="2024-08-01T00:00:00"/>
        <d v="2023-10-15T00:00:00"/>
        <d v="2023-01-31T00:00:00"/>
        <d v="2023-07-01T00:00:00"/>
        <d v="2021-07-26T00:00:00"/>
        <d v="2025-01-29T00:00:00"/>
        <d v="2022-04-18T00:00:00"/>
        <d v="2021-08-13T00:00:00"/>
        <d v="2021-12-21T00:00:00"/>
        <d v="2023-07-22T00:00:00"/>
        <d v="2022-03-11T00:00:00"/>
        <d v="2020-07-27T00:00:00"/>
        <d v="2021-04-04T00:00:00"/>
        <d v="2021-03-11T00:00:00"/>
        <d v="2023-02-25T00:00:00"/>
        <d v="2023-09-21T00:00:00"/>
        <d v="2022-08-19T00:00:00"/>
        <d v="2020-12-07T00:00:00"/>
        <d v="2023-04-05T00:00:00"/>
        <d v="2023-08-22T00:00:00"/>
        <d v="2024-04-11T00:00:00"/>
        <d v="2024-11-09T00:00:00"/>
        <d v="2021-09-10T00:00:00"/>
        <d v="2021-01-22T00:00:00"/>
        <d v="2025-05-04T00:00:00"/>
        <d v="2021-09-01T00:00:00"/>
        <d v="2024-06-11T00:00:00"/>
        <d v="2024-02-20T00:00:00"/>
        <d v="2022-09-05T00:00:00"/>
        <d v="2022-05-31T00:00:00"/>
        <d v="2022-02-08T00:00:00"/>
        <d v="2023-08-20T00:00:00"/>
        <d v="2021-02-22T00:00:00"/>
        <d v="2023-07-16T00:00:00"/>
        <d v="2022-06-29T00:00:00"/>
        <d v="2023-07-31T00:00:00"/>
        <d v="2021-01-03T00:00:00"/>
        <d v="2023-08-04T00:00:00"/>
        <d v="2024-11-06T00:00:00"/>
        <d v="2021-06-09T00:00:00"/>
        <d v="2023-02-28T00:00:00"/>
        <d v="2024-12-21T00:00:00"/>
        <d v="2024-09-05T00:00:00"/>
        <d v="2021-05-14T00:00:00"/>
        <d v="2020-10-11T00:00:00"/>
        <d v="2020-07-24T00:00:00"/>
        <d v="2021-07-06T00:00:00"/>
        <d v="2022-11-07T00:00:00"/>
        <d v="2024-03-09T00:00:00"/>
        <d v="2024-02-25T00:00:00"/>
        <d v="2024-02-27T00:00:00"/>
        <d v="2024-05-07T00:00:00"/>
        <d v="2022-08-17T00:00:00"/>
        <d v="2023-02-02T00:00:00"/>
        <d v="2021-07-12T00:00:00"/>
        <d v="2021-12-28T00:00:00"/>
        <d v="2021-04-29T00:00:00"/>
        <d v="2024-05-30T00:00:00"/>
        <d v="2024-11-28T00:00:00"/>
        <d v="2025-04-27T00:00:00"/>
        <d v="2024-07-08T00:00:00"/>
        <d v="2021-06-19T00:00:00"/>
        <d v="2021-08-12T00:00:00"/>
        <d v="2022-06-03T00:00:00"/>
        <d v="2023-12-06T00:00:00"/>
        <d v="2021-02-12T00:00:00"/>
        <d v="2023-11-01T00:00:00"/>
        <d v="2020-12-13T00:00:00"/>
        <d v="2024-11-11T00:00:00"/>
        <d v="2025-04-07T00:00:00"/>
        <d v="2025-04-29T00:00:00"/>
        <d v="2022-08-03T00:00:00"/>
        <d v="2021-11-18T00:00:00"/>
        <d v="2024-08-05T00:00:00"/>
        <d v="2023-09-17T00:00:00"/>
        <d v="2022-09-19T00:00:00"/>
        <d v="2023-05-26T00:00:00"/>
        <d v="2021-01-28T00:00:00"/>
        <d v="2021-06-13T00:00:00"/>
        <d v="2023-03-02T00:00:00"/>
        <d v="2021-03-26T00:00:00"/>
        <d v="2023-11-18T00:00:00"/>
        <d v="2022-04-25T00:00:00"/>
        <d v="2022-02-01T00:00:00"/>
        <d v="2022-06-04T00:00:00"/>
        <d v="2021-07-30T00:00:00"/>
        <d v="2023-01-17T00:00:00"/>
        <d v="2024-04-24T00:00:00"/>
        <d v="2023-04-24T00:00:00"/>
        <d v="2022-11-04T00:00:00"/>
        <d v="2024-10-05T00:00:00"/>
        <d v="2024-10-09T00:00:00"/>
        <d v="2021-11-09T00:00:00"/>
        <d v="2021-12-25T00:00:00"/>
        <d v="2021-03-30T00:00:00"/>
        <d v="2020-11-24T00:00:00"/>
        <d v="2023-01-26T00:00:00"/>
        <d v="2025-06-19T00:00:00"/>
        <d v="2022-11-30T00:00:00"/>
        <d v="2021-07-28T00:00:00"/>
        <d v="2025-03-13T00:00:00"/>
        <d v="2020-09-02T00:00:00"/>
        <d v="2021-05-20T00:00:00"/>
        <d v="2021-02-08T00:00:00"/>
        <d v="2020-09-16T00:00:00"/>
        <d v="2024-10-12T00:00:00"/>
        <d v="2020-07-28T00:00:00"/>
        <d v="2024-04-04T00:00:00"/>
        <d v="2023-12-04T00:00:00"/>
        <d v="2022-04-05T00:00:00"/>
        <d v="2020-10-28T00:00:00"/>
        <d v="2023-10-28T00:00:00"/>
        <d v="2022-09-26T00:00:00"/>
        <d v="2021-01-01T00:00:00"/>
        <d v="2021-09-08T00:00:00"/>
        <d v="2024-07-22T00:00:00"/>
        <d v="2022-05-12T00:00:00"/>
        <d v="2025-01-31T00:00:00"/>
        <d v="2022-12-03T00:00:00"/>
        <d v="2025-01-08T00:00:00"/>
        <d v="2025-02-12T00:00:00"/>
        <d v="2021-08-02T00:00:00"/>
        <d v="2024-04-21T00:00:00"/>
        <d v="2024-03-27T00:00:00"/>
        <d v="2024-08-30T00:00:00"/>
        <d v="2021-09-03T00:00:00"/>
        <d v="2025-05-28T00:00:00"/>
        <d v="2021-08-22T00:00:00"/>
        <d v="2024-07-29T00:00:00"/>
        <d v="2024-08-20T00:00:00"/>
        <d v="2022-02-02T00:00:00"/>
        <d v="2025-04-14T00:00:00"/>
        <d v="2020-12-20T00:00:00"/>
        <d v="2024-01-12T00:00:00"/>
        <d v="2021-07-05T00:00:00"/>
        <d v="2021-09-12T00:00:00"/>
        <d v="2024-06-04T00:00:00"/>
        <d v="2024-08-28T00:00:00"/>
        <d v="2021-07-10T00:00:00"/>
        <d v="2023-08-05T00:00:00"/>
        <d v="2024-04-17T00:00:00"/>
        <d v="2024-04-05T00:00:00"/>
        <d v="2022-01-13T00:00:00"/>
        <d v="2023-06-08T00:00:00"/>
        <d v="2023-05-01T00:00:00"/>
        <d v="2024-05-20T00:00:00"/>
        <d v="2020-08-07T00:00:00"/>
        <d v="2023-08-10T00:00:00"/>
        <d v="2023-05-12T00:00:00"/>
        <d v="2023-05-19T00:00:00"/>
        <d v="2023-12-29T00:00:00"/>
        <d v="2022-03-26T00:00:00"/>
        <d v="2023-10-30T00:00:00"/>
        <d v="2022-02-28T00:00:00"/>
        <d v="2021-07-03T00:00:00"/>
        <d v="2023-05-25T00:00:00"/>
        <d v="2023-11-11T00:00:00"/>
        <d v="2024-07-31T00:00:00"/>
        <d v="2021-01-23T00:00:00"/>
        <d v="2020-10-25T00:00:00"/>
        <d v="2025-06-30T00:00:00"/>
        <d v="2020-07-23T00:00:00"/>
        <d v="2024-03-08T00:00:00"/>
        <d v="2025-02-06T00:00:00"/>
        <d v="2024-07-12T00:00:00"/>
        <d v="2021-06-22T00:00:00"/>
        <d v="2021-07-18T00:00:00"/>
        <d v="2023-01-18T00:00:00"/>
        <d v="2024-01-13T00:00:00"/>
        <d v="2021-07-19T00:00:00"/>
        <d v="2024-04-08T00:00:00"/>
        <d v="2025-03-11T00:00:00"/>
        <d v="2024-04-25T00:00:00"/>
        <d v="2021-01-16T00:00:00"/>
        <d v="2023-02-14T00:00:00"/>
        <d v="2023-09-22T00:00:00"/>
        <d v="2023-01-21T00:00:00"/>
        <d v="2021-06-05T00:00:00"/>
        <d v="2023-05-02T00:00:00"/>
        <d v="2022-03-30T00:00:00"/>
        <d v="2021-12-27T00:00:00"/>
        <d v="2024-06-12T00:00:00"/>
        <d v="2021-06-30T00:00:00"/>
        <d v="2022-06-07T00:00:00"/>
        <d v="2020-09-23T00:00:00"/>
        <d v="2022-07-22T00:00:00"/>
        <d v="2021-10-24T00:00:00"/>
        <d v="2021-08-21T00:00:00"/>
        <d v="2023-06-27T00:00:00"/>
        <d v="2020-08-21T00:00:00"/>
        <d v="2024-11-27T00:00:00"/>
        <d v="2025-03-20T00:00:00"/>
        <d v="2023-11-28T00:00:00"/>
        <d v="2021-01-13T00:00:00"/>
        <d v="2021-02-06T00:00:00"/>
        <d v="2020-10-29T00:00:00"/>
        <d v="2023-05-07T00:00:00"/>
        <d v="2023-04-09T00:00:00"/>
        <d v="2021-08-03T00:00:00"/>
        <d v="2020-07-16T00:00:00"/>
        <d v="2024-12-24T00:00:00"/>
        <d v="2023-09-08T00:00:00"/>
        <d v="2025-05-13T00:00:00"/>
        <d v="2021-12-09T00:00:00"/>
        <d v="2021-02-10T00:00:00"/>
        <d v="2023-09-30T00:00:00"/>
        <d v="2025-02-25T00:00:00"/>
        <d v="2024-02-01T00:00:00"/>
        <d v="2022-06-16T00:00:00"/>
        <d v="2023-08-12T00:00:00"/>
        <d v="2024-04-13T00:00:00"/>
        <d v="2025-01-30T00:00:00"/>
        <d v="2023-04-16T00:00:00"/>
        <d v="2024-12-15T00:00:00"/>
        <d v="2023-07-12T00:00:00"/>
        <d v="2023-11-08T00:00:00"/>
        <d v="2020-11-15T00:00:00"/>
        <d v="2023-04-12T00:00:00"/>
        <d v="2020-08-04T00:00:00"/>
        <d v="2025-04-30T00:00:00"/>
        <d v="2024-11-12T00:00:00"/>
        <d v="2023-04-02T00:00:00"/>
        <d v="2021-01-29T00:00:00"/>
        <d v="2020-11-09T00:00:00"/>
        <d v="2024-10-31T00:00:00"/>
        <d v="2022-09-01T00:00:00"/>
        <d v="2025-03-27T00:00:00"/>
        <d v="2020-09-21T00:00:00"/>
        <d v="2024-06-06T00:00:00"/>
        <d v="2020-12-19T00:00:00"/>
        <d v="2022-03-19T00:00:00"/>
        <d v="2021-02-01T00:00:00"/>
        <d v="2023-08-08T00:00:00"/>
        <d v="2021-09-07T00:00:00"/>
        <d v="2022-07-31T00:00:00"/>
        <d v="2021-10-29T00:00:00"/>
        <d v="2022-12-08T00:00:00"/>
        <d v="2024-08-29T00:00:00"/>
        <d v="2024-10-08T00:00:00"/>
        <d v="2023-12-15T00:00:00"/>
        <d v="2024-03-05T00:00:00"/>
        <d v="2023-06-07T00:00:00"/>
        <d v="2021-09-14T00:00:00"/>
        <d v="2024-02-23T00:00:00"/>
        <d v="2023-06-11T00:00:00"/>
        <d v="2025-02-26T00:00:00"/>
        <d v="2024-03-30T00:00:00"/>
        <d v="2021-09-25T00:00:00"/>
        <d v="2023-08-19T00:00:00"/>
        <d v="2021-08-05T00:00:00"/>
        <d v="2023-09-29T00:00:00"/>
        <d v="2023-01-20T00:00:00"/>
        <d v="2020-12-12T00:00:00"/>
        <d v="2023-01-15T00:00:00"/>
        <d v="2023-08-09T00:00:00"/>
        <d v="2020-12-30T00:00:00"/>
        <d v="2025-02-09T00:00:00"/>
        <d v="2023-09-07T00:00:00"/>
        <d v="2025-04-13T00:00:00"/>
        <d v="2021-07-21T00:00:00"/>
        <d v="2024-06-22T00:00:00"/>
        <d v="2022-05-27T00:00:00"/>
        <d v="2025-03-17T00:00:00"/>
        <d v="2023-11-06T00:00:00"/>
        <d v="2024-08-24T00:00:00"/>
        <d v="2024-08-17T00:00:00"/>
        <d v="2024-11-18T00:00:00"/>
        <d v="2024-10-11T00:00:00"/>
        <d v="2022-03-28T00:00:00"/>
        <d v="2023-02-17T00:00:00"/>
        <d v="2023-03-11T00:00:00"/>
        <d v="2022-11-28T00:00:00"/>
        <d v="2020-12-10T00:00:00"/>
        <d v="2021-07-22T00:00:00"/>
        <d v="2022-01-19T00:00:00"/>
        <d v="2024-03-11T00:00:00"/>
        <d v="2023-11-20T00:00:00"/>
        <d v="2022-02-21T00:00:00"/>
        <d v="2021-03-18T00:00:00"/>
        <d v="2022-10-26T00:00:00"/>
        <d v="2020-08-16T00:00:00"/>
        <d v="2025-04-25T00:00:00"/>
        <d v="2022-09-04T00:00:00"/>
        <d v="2025-07-10T00:00:00"/>
        <d v="2023-08-11T00:00:00"/>
        <d v="2021-06-26T00:00:00"/>
        <d v="2023-09-19T00:00:00"/>
        <d v="2023-04-19T00:00:00"/>
        <d v="2023-05-29T00:00:00"/>
        <d v="2021-05-03T00:00:00"/>
        <d v="2022-03-18T00:00:00"/>
        <d v="2022-09-10T00:00:00"/>
        <d v="2022-07-15T00:00:00"/>
        <d v="2022-04-26T00:00:00"/>
        <d v="2023-09-15T00:00:00"/>
        <d v="2022-06-26T00:00:00"/>
        <d v="2024-03-29T00:00:00"/>
        <d v="2025-03-21T00:00:00"/>
        <d v="2021-09-22T00:00:00"/>
        <d v="2022-05-08T00:00:00"/>
        <d v="2020-10-12T00:00:00"/>
        <d v="2022-08-04T00:00:00"/>
        <d v="2025-06-27T00:00:00"/>
        <d v="2020-11-26T00:00:00"/>
        <d v="2024-05-09T00:00:00"/>
        <d v="2023-06-16T00:00:00"/>
        <d v="2022-08-06T00:00:00"/>
        <d v="2023-06-22T00:00:00"/>
        <d v="2022-03-07T00:00:00"/>
        <d v="2024-12-19T00:00:00"/>
        <d v="2025-04-04T00:00:00"/>
        <d v="2021-06-12T00:00:00"/>
        <d v="2022-10-16T00:00:00"/>
        <d v="2024-01-17T00:00:00"/>
        <d v="2021-01-06T00:00:00"/>
        <d v="2021-07-15T00:00:00"/>
        <d v="2023-04-22T00:00:00"/>
        <d v="2023-04-14T00:00:00"/>
        <d v="2021-03-27T00:00:00"/>
        <d v="2023-11-13T00:00:00"/>
        <d v="2022-11-27T00:00:00"/>
        <d v="2024-08-09T00:00:00"/>
        <d v="2023-03-04T00:00:00"/>
        <d v="2025-02-03T00:00:00"/>
        <d v="2020-11-01T00:00:00"/>
        <d v="2023-02-19T00:00:00"/>
        <d v="2023-12-09T00:00:00"/>
        <d v="2022-04-16T00:00:00"/>
        <d v="2021-04-19T00:00:00"/>
        <d v="2020-10-20T00:00:00"/>
        <d v="2024-11-20T00:00:00"/>
        <d v="2020-07-18T00:00:00"/>
        <d v="2022-06-21T00:00:00"/>
        <d v="2023-04-23T00:00:00"/>
        <d v="2024-02-03T00:00:00"/>
        <d v="2025-03-15T00:00:00"/>
        <d v="2024-01-26T00:00:00"/>
        <d v="2024-11-23T00:00:00"/>
        <d v="2021-11-19T00:00:00"/>
        <d v="2024-06-03T00:00:00"/>
        <d v="2022-10-13T00:00:00"/>
        <d v="2022-12-02T00:00:00"/>
        <d v="2022-10-09T00:00:00"/>
        <d v="2022-04-17T00:00:00"/>
        <d v="2022-03-13T00:00:00"/>
        <d v="2023-07-20T00:00:00"/>
        <d v="2023-09-12T00:00:00"/>
        <d v="2024-12-07T00:00:00"/>
        <d v="2024-09-10T00:00:00"/>
        <d v="2024-02-06T00:00:00"/>
        <d v="2024-07-13T00:00:00"/>
        <d v="2025-04-20T00:00:00"/>
        <d v="2025-06-09T00:00:00"/>
        <d v="2024-09-16T00:00:00"/>
        <d v="2022-08-24T00:00:00"/>
        <d v="2023-02-03T00:00:00"/>
        <d v="2025-03-18T00:00:00"/>
        <d v="2023-03-03T00:00:00"/>
        <d v="2022-04-29T00:00:00"/>
        <d v="2024-12-25T00:00:00"/>
        <d v="2024-02-28T00:00:00"/>
        <d v="2021-07-17T00:00:00"/>
        <d v="2022-03-21T00:00:00"/>
        <d v="2023-04-15T00:00:00"/>
        <d v="2020-12-31T00:00:00"/>
        <d v="2022-06-23T00:00:00"/>
        <d v="2024-02-08T00:00:00"/>
        <d v="2025-05-03T00:00:00"/>
        <d v="2024-01-05T00:00:00"/>
        <d v="2025-04-10T00:00:00"/>
        <d v="2020-07-29T00:00:00"/>
        <d v="2022-10-27T00:00:00"/>
        <d v="2021-07-11T00:00:00"/>
        <d v="2024-01-03T00:00:00"/>
        <d v="2022-05-06T00:00:00"/>
        <d v="2025-02-14T00:00:00"/>
        <d v="2025-03-02T00:00:00"/>
        <d v="2020-10-19T00:00:00"/>
        <d v="2023-08-01T00:00:00"/>
        <d v="2024-11-22T00:00:00"/>
        <d v="2021-10-18T00:00:00"/>
        <d v="2021-01-04T00:00:00"/>
        <d v="2022-11-16T00:00:00"/>
        <d v="2025-04-09T00:00:00"/>
        <d v="2024-08-06T00:00:00"/>
        <d v="2022-02-04T00:00:00"/>
        <d v="2022-10-30T00:00:00"/>
        <d v="2021-11-25T00:00:00"/>
        <d v="2024-03-18T00:00:00"/>
        <d v="2021-05-11T00:00:00"/>
        <d v="2024-09-06T00:00:00"/>
        <d v="2021-07-25T00:00:00"/>
        <d v="2022-09-15T00:00:00"/>
        <d v="2021-04-25T00:00:00"/>
        <d v="2024-05-11T00:00:00"/>
        <d v="2021-08-31T00:00:00"/>
        <d v="2022-12-17T00:00:00"/>
        <d v="2024-05-22T00:00:00"/>
        <d v="2024-01-28T00:00:00"/>
        <d v="2020-10-09T00:00:00"/>
        <d v="2024-07-11T00:00:00"/>
        <d v="2025-01-10T00:00:00"/>
        <d v="2021-12-06T00:00:00"/>
        <d v="2022-02-12T00:00:00"/>
        <d v="2022-10-08T00:00:00"/>
        <d v="2024-07-19T00:00:00"/>
        <d v="2023-05-21T00:00:00"/>
        <d v="2023-07-11T00:00:00"/>
        <d v="2020-12-15T00:00:00"/>
        <d v="2023-04-25T00:00:00"/>
        <d v="2024-08-21T00:00:00"/>
        <d v="2024-04-22T00:00:00"/>
        <d v="2021-05-01T00:00:00"/>
        <d v="2020-10-16T00:00:00"/>
        <d v="2021-11-07T00:00:00"/>
        <d v="2023-10-22T00:00:00"/>
        <d v="2022-11-15T00:00:00"/>
        <d v="2022-03-29T00:00:00"/>
        <d v="2023-09-09T00:00:00"/>
        <d v="2023-12-07T00:00:00"/>
        <d v="2021-08-10T00:00:00"/>
        <d v="2021-06-14T00:00:00"/>
        <d v="2024-03-24T00:00:00"/>
        <d v="2021-10-20T00:00:00"/>
        <d v="2023-06-25T00:00:00"/>
        <d v="2021-11-05T00:00:00"/>
        <d v="2022-08-29T00:00:00"/>
        <d v="2023-03-14T00:00:00"/>
        <d v="2021-10-14T00:00:00"/>
        <d v="2021-01-30T00:00:00"/>
        <d v="2024-12-13T00:00:00"/>
        <d v="2024-07-26T00:00:00"/>
        <d v="2024-03-04T00:00:00"/>
        <d v="2023-06-19T00:00:00"/>
        <d v="2021-08-26T00:00:00"/>
        <d v="2025-02-28T00:00:00"/>
        <d v="2020-09-17T00:00:00"/>
        <d v="2024-06-15T00:00:00"/>
        <d v="2024-09-17T00:00:00"/>
        <d v="2021-10-17T00:00:00"/>
        <d v="2023-07-07T00:00:00"/>
        <d v="2024-04-29T00:00:00"/>
        <d v="2020-09-04T00:00:00"/>
        <d v="2023-07-18T00:00:00"/>
        <d v="2025-07-06T00:00:00"/>
        <d v="2024-02-19T00:00:00"/>
        <d v="2024-08-12T00:00:00"/>
        <d v="2022-03-03T00:00:00"/>
        <d v="2023-07-15T00:00:00"/>
        <d v="2022-08-09T00:00:00"/>
        <d v="2021-05-16T00:00:00"/>
        <d v="2024-11-26T00:00:00"/>
        <d v="2025-02-11T00:00:00"/>
        <d v="2023-04-28T00:00:00"/>
        <d v="2021-06-03T00:00:00"/>
        <d v="2024-07-01T00:00:00"/>
        <d v="2020-12-08T00:00:00"/>
        <d v="2022-10-14T00:00:00"/>
        <d v="2025-02-08T00:00:00"/>
        <d v="2021-06-11T00:00:00"/>
        <d v="2023-06-01T00:00:00"/>
        <d v="2020-08-29T00:00:00"/>
        <d v="2023-03-06T00:00:00"/>
        <d v="2022-04-01T00:00:00"/>
        <d v="2025-03-07T00:00:00"/>
        <d v="2024-03-13T00:00:00"/>
        <d v="2023-11-26T00:00:00"/>
        <d v="2025-04-28T00:00:00"/>
        <d v="2024-11-16T00:00:00"/>
        <d v="2024-02-15T00:00:00"/>
        <d v="2022-04-19T00:00:00"/>
        <d v="2023-09-13T00:00:00"/>
        <d v="2025-04-12T00:00:00"/>
        <d v="2023-01-14T00:00:00"/>
        <d v="2024-09-22T00:00:00"/>
        <d v="2022-04-04T00:00:00"/>
        <d v="2024-03-22T00:00:00"/>
        <d v="2022-04-20T00:00:00"/>
        <d v="2025-02-04T00:00:00"/>
        <d v="2021-10-31T00:00:00"/>
        <d v="2023-08-26T00:00:00"/>
        <d v="2021-05-28T00:00:00"/>
        <d v="2023-06-26T00:00:00"/>
        <d v="2022-04-23T00:00:00"/>
        <d v="2021-07-16T00:00:00"/>
        <d v="2023-07-30T00:00:00"/>
        <d v="2021-01-09T00:00:00"/>
        <d v="2021-03-20T00:00:00"/>
        <d v="2023-08-15T00:00:00"/>
        <d v="2023-01-12T00:00:00"/>
        <d v="2021-04-16T00:00:00"/>
        <d v="2023-12-12T00:00:00"/>
        <d v="2022-02-13T00:00:00"/>
        <d v="2021-02-24T00:00:00"/>
        <d v="2020-07-10T00:00:00"/>
        <d v="2024-07-18T00:00:00"/>
        <d v="2024-04-14T00:00:00"/>
        <d v="2021-08-17T00:00:00"/>
        <d v="2022-07-14T00:00:00"/>
        <d v="2021-04-05T00:00:00"/>
        <d v="2022-08-08T00:00:00"/>
        <d v="2024-03-19T00:00:00"/>
        <d v="2025-06-17T00:00:00"/>
        <d v="2022-04-28T00:00:00"/>
        <d v="2021-03-04T00:00:00"/>
        <d v="2020-09-01T00:00:00"/>
        <d v="2022-08-11T00:00:00"/>
        <d v="2025-04-15T00:00:00"/>
        <d v="2024-09-26T00:00:00"/>
        <d v="2022-02-23T00:00:00"/>
        <d v="2022-03-06T00:00:00"/>
        <d v="2024-03-16T00:00:00"/>
        <d v="2025-05-17T00:00:00"/>
        <d v="2025-02-20T00:00:00"/>
        <d v="2024-05-04T00:00:00"/>
        <d v="2023-07-02T00:00:00"/>
        <d v="2025-03-25T00:00:00"/>
        <d v="2023-01-03T00:00:00"/>
        <d v="2023-10-11T00:00:00"/>
        <d v="2024-10-26T00:00:00"/>
        <d v="2021-01-07T00:00:00"/>
        <d v="2025-04-21T00:00:00"/>
        <d v="2024-04-15T00:00:00"/>
        <d v="2020-07-15T00:00:00"/>
        <d v="2025-03-23T00:00:00"/>
        <d v="2025-04-03T00:00:00"/>
        <d v="2020-08-31T00:00:00"/>
        <d v="2020-08-15T00:00:00"/>
        <d v="2022-01-21T00:00:00"/>
        <d v="2025-04-08T00:00:00"/>
        <d v="2024-03-31T00:00:00"/>
        <d v="2020-11-25T00:00:00"/>
        <d v="2023-03-17T00:00:00"/>
        <d v="2020-09-26T00:00:00"/>
        <d v="2021-10-27T00:00:00"/>
        <d v="2022-11-25T00:00:00"/>
        <d v="2022-09-29T00:00:00"/>
        <d v="2022-06-30T00:00:00"/>
        <d v="2021-11-14T00:00:00"/>
        <d v="2023-05-11T00:00:00"/>
        <d v="2022-09-25T00:00:00"/>
        <d v="2021-08-09T00:00:00"/>
        <d v="2021-12-30T00:00:00"/>
        <d v="2023-12-17T00:00:00"/>
        <d v="2024-08-08T00:00:00"/>
        <d v="2024-11-02T00:00:00"/>
        <d v="2021-03-29T00:00:00"/>
        <d v="2022-05-05T00:00:00"/>
        <d v="2024-05-17T00:00:00"/>
        <d v="2024-05-26T00:00:00"/>
        <d v="2024-06-24T00:00:00"/>
        <d v="2025-03-24T00:00:00"/>
        <d v="2022-01-26T00:00:00"/>
        <d v="2021-06-23T00:00:00"/>
        <d v="2024-05-27T00:00:00"/>
        <d v="2023-04-27T00:00:00"/>
        <d v="2024-05-12T00:00:00"/>
        <d v="2024-11-03T00:00:00"/>
        <d v="2020-11-29T00:00:00"/>
        <d v="2023-06-09T00:00:00"/>
        <d v="2020-07-17T00:00:00"/>
        <d v="2021-08-18T00:00:00"/>
        <d v="2020-12-18T00:00:00"/>
        <d v="2025-07-01T00:00:00"/>
        <d v="2024-04-06T00:00:00"/>
        <d v="2022-07-09T00:00:00"/>
        <d v="2024-04-18T00:00:00"/>
        <d v="2024-12-30T00:00:00"/>
        <d v="2021-09-11T00:00:00"/>
        <d v="2023-11-05T00:00:00"/>
        <d v="2022-01-07T00:00:00"/>
        <d v="2020-10-30T00:00:00"/>
        <d v="2025-04-16T00:00:00"/>
        <d v="2022-07-19T00:00:00"/>
        <d v="2024-09-28T00:00:00"/>
        <d v="2024-12-09T00:00:00"/>
        <d v="2023-01-22T00:00:00"/>
        <d v="2021-08-19T00:00:00"/>
        <d v="2023-12-26T00:00:00"/>
        <d v="2021-08-25T00:00:00"/>
        <d v="2025-05-06T00:00:00"/>
        <d v="2024-02-05T00:00:00"/>
        <d v="2025-01-12T00:00:00"/>
        <d v="2024-10-14T00:00:00"/>
        <d v="2023-07-23T00:00:00"/>
        <d v="2021-06-07T00:00:00"/>
        <d v="2024-01-18T00:00:00"/>
        <d v="2022-12-11T00:00:00"/>
        <d v="2021-02-09T00:00:00"/>
        <d v="2020-09-28T00:00:00"/>
        <d v="2021-06-10T00:00:00"/>
        <d v="2022-12-22T00:00:00"/>
        <d v="2024-01-20T00:00:00"/>
        <d v="2025-02-27T00:00:00"/>
        <d v="2021-05-26T00:00:00"/>
        <d v="2025-06-25T00:00:00"/>
        <d v="2020-10-05T00:00:00"/>
        <d v="2024-09-18T00:00:00"/>
        <d v="2023-12-14T00:00:00"/>
        <d v="2024-11-15T00:00:00"/>
        <d v="2025-01-01T00:00:00"/>
        <d v="2022-12-01T00:00:00"/>
        <d v="2023-04-29T00:00:00"/>
        <d v="2021-12-12T00:00:00"/>
        <d v="2020-11-27T00:00:00"/>
        <d v="2024-04-02T00:00:00"/>
        <d v="2021-12-19T00:00:00"/>
        <d v="2022-12-18T00:00:00"/>
        <d v="2020-09-20T00:00:00"/>
        <d v="2024-06-19T00:00:00"/>
        <d v="2022-05-11T00:00:00"/>
        <d v="2022-07-12T00:00:00"/>
        <d v="2020-10-21T00:00:00"/>
        <d v="2025-05-14T00:00:00"/>
        <d v="2023-06-06T00:00:00"/>
        <d v="2024-11-07T00:00:00"/>
        <d v="2025-05-29T00:00:00"/>
        <d v="2021-11-28T00:00:00"/>
        <d v="2020-07-21T00:00:00"/>
        <d v="2022-11-23T00:00:00"/>
        <d v="2021-11-26T00:00:00"/>
        <d v="2021-05-02T00:00:00"/>
        <d v="2022-03-23T00:00:00"/>
        <d v="2022-08-10T00:00:00"/>
        <d v="2023-12-01T00:00:00"/>
        <d v="2020-10-01T00:00:00"/>
        <d v="2024-09-07T00:00:00"/>
        <d v="2021-11-06T00:00:00"/>
        <d v="2020-10-10T00:00:00"/>
        <d v="2024-01-02T00:00:00"/>
        <d v="2024-09-20T00:00:00"/>
        <d v="2023-02-05T00:00:00"/>
        <d v="2024-12-22T00:00:00"/>
        <d v="2020-10-18T00:00:00"/>
        <d v="2024-12-05T00:00:00"/>
        <d v="2025-04-23T00:00:00"/>
        <d v="2021-02-16T00:00:00"/>
        <d v="2025-04-01T00:00:00"/>
        <d v="2023-01-07T00:00:00"/>
        <d v="2022-11-14T00:00:00"/>
        <d v="2023-10-09T00:00:00"/>
        <d v="2022-04-22T00:00:00"/>
        <d v="2021-04-21T00:00:00"/>
        <d v="2021-10-30T00:00:00"/>
        <d v="2023-10-07T00:00:00"/>
        <d v="2025-01-22T00:00:00"/>
        <d v="2023-12-25T00:00:00"/>
        <d v="2022-08-15T00:00:00"/>
        <d v="2024-04-07T00:00:00"/>
        <d v="2025-07-02T00:00:00"/>
        <d v="2020-08-19T00:00:00"/>
        <d v="2025-03-08T00:00:00"/>
        <d v="2023-12-18T00:00:00"/>
        <d v="2021-01-20T00:00:00"/>
        <d v="2022-03-14T00:00:00"/>
        <d v="2024-05-15T00:00:00"/>
        <d v="2021-07-27T00:00:00"/>
        <d v="2023-05-28T00:00:00"/>
        <d v="2024-06-30T00:00:00"/>
        <d v="2024-09-09T00:00:00"/>
        <d v="2024-04-19T00:00:00"/>
        <d v="2021-05-21T00:00:00"/>
        <d v="2022-05-18T00:00:00"/>
        <d v="2024-06-10T00:00:00"/>
        <d v="2024-09-11T00:00:00"/>
        <d v="2023-05-05T00:00:00"/>
        <d v="2022-12-07T00:00:00"/>
        <d v="2024-02-13T00:00:00"/>
        <d v="2020-08-26T00:00:00"/>
        <d v="2023-06-10T00:00:00"/>
        <d v="2021-12-29T00:00:00"/>
        <d v="2022-03-17T00:00:00"/>
        <d v="2022-01-23T00:00:00"/>
        <d v="2021-09-06T00:00:00"/>
        <d v="2021-02-28T00:00:00"/>
        <d v="2024-06-27T00:00:00"/>
        <d v="2022-09-22T00:00:00"/>
        <d v="2022-08-21T00:00:00"/>
        <d v="2022-11-03T00:00:00"/>
        <d v="2021-08-01T00:00:00"/>
        <d v="2020-08-06T00:00:00"/>
        <d v="2024-01-14T00:00:00"/>
        <d v="2021-01-18T00:00:00"/>
        <d v="2020-12-28T00:00:00"/>
        <d v="2021-03-22T00:00:00"/>
        <d v="2024-11-04T00:00:00"/>
        <d v="2023-03-29T00:00:00"/>
        <d v="2022-07-07T00:00:00"/>
        <d v="2024-11-29T00:00:00"/>
        <d v="2021-12-01T00:00:00"/>
        <d v="2021-02-25T00:00:00"/>
        <d v="2022-10-20T00:00:00"/>
        <d v="2024-05-19T00:00:00"/>
        <d v="2023-01-10T00:00:00"/>
        <d v="2024-02-11T00:00:00"/>
        <d v="2021-10-28T00:00:00"/>
        <d v="2022-08-07T00:00:00"/>
        <d v="2022-06-25T00:00:00"/>
        <d v="2022-01-29T00:00:00"/>
        <d v="2022-05-15T00:00:00"/>
        <d v="2020-08-08T00:00:00"/>
        <d v="2025-06-22T00:00:00"/>
        <d v="2022-11-21T00:00:00"/>
        <d v="2023-05-16T00:00:00"/>
        <d v="2023-10-14T00:00:00"/>
        <d v="2023-03-05T00:00:00"/>
        <d v="2022-04-09T00:00:00"/>
        <d v="2023-12-27T00:00:00"/>
        <d v="2022-02-07T00:00:00"/>
        <d v="2025-03-30T00:00:00"/>
        <d v="2024-05-08T00:00:00"/>
        <d v="2021-10-07T00:00:00"/>
        <d v="2023-01-01T00:00:00"/>
        <d v="2021-08-07T00:00:00"/>
        <d v="2022-05-10T00:00:00"/>
        <d v="2021-12-15T00:00:00"/>
        <d v="2025-03-29T00:00:00"/>
        <d v="2024-01-31T00:00:00"/>
        <d v="2025-05-21T00:00:00"/>
        <d v="2020-08-10T00:00:00"/>
        <d v="2022-11-29T00:00:00"/>
        <d v="2022-01-12T00:00:00"/>
        <d v="2025-06-20T00:00:00"/>
        <d v="2023-08-21T00:00:00"/>
        <d v="2021-07-09T00:00:00"/>
        <d v="2024-12-23T00:00:00"/>
        <d v="2025-02-07T00:00:00"/>
        <d v="2021-10-05T00:00:00"/>
        <d v="2022-10-01T00:00:00"/>
        <d v="2020-08-14T00:00:00"/>
        <d v="2022-05-25T00:00:00"/>
        <d v="2022-04-24T00:00:00"/>
        <d v="2022-01-11T00:00:00"/>
        <d v="2023-02-16T00:00:00"/>
        <d v="2021-03-01T00:00:00"/>
        <d v="2023-12-10T00:00:00"/>
        <d v="2021-03-02T00:00:00"/>
        <d v="2021-02-15T00:00:00"/>
        <d v="2023-06-14T00:00:00"/>
        <d v="2022-11-22T00:00:00"/>
        <d v="2020-12-17T00:00:00"/>
        <d v="2021-09-15T00:00:00"/>
        <d v="2025-07-09T00:00:00"/>
        <d v="2023-07-04T00:00:00"/>
        <d v="2025-05-20T00:00:00"/>
        <d v="2021-04-07T00:00:00"/>
        <d v="2023-08-03T00:00:00"/>
        <d v="2021-08-28T00:00:00"/>
        <d v="2023-09-26T00:00:00"/>
        <d v="2025-05-22T00:00:00"/>
        <d v="2023-07-24T00:00:00"/>
        <d v="2022-07-25T00:00:00"/>
        <d v="2021-01-15T00:00:00"/>
        <d v="2022-01-31T00:00:00"/>
        <d v="2021-09-23T00:00:00"/>
        <d v="2021-01-21T00:00:00"/>
        <d v="2023-12-22T00:00:00"/>
        <d v="2022-07-28T00:00:00"/>
        <d v="2021-05-06T00:00:00"/>
        <d v="2021-05-10T00:00:00"/>
        <d v="2020-11-13T00:00:00"/>
        <d v="2025-02-21T00:00:00"/>
        <d v="2022-01-28T00:00:00"/>
        <d v="2025-06-13T00:00:00"/>
        <d v="2020-11-03T00:00:00"/>
        <d v="2021-04-10T00:00:00"/>
        <d v="2023-06-23T00:00:00"/>
        <d v="2023-08-16T00:00:00"/>
        <d v="2021-02-14T00:00:00"/>
        <d v="2021-06-04T00:00:00"/>
        <d v="2022-01-04T00:00:00"/>
        <d v="2025-01-06T00:00:00"/>
        <d v="2024-03-14T00:00:00"/>
        <d v="2022-12-19T00:00:00"/>
        <d v="2021-02-17T00:00:00"/>
        <d v="2021-02-18T00:00:00"/>
        <d v="2025-04-06T00:00:00"/>
        <d v="2021-08-29T00:00:00"/>
        <d v="2022-09-16T00:00:00"/>
        <d v="2020-11-23T00:00:00"/>
        <d v="2022-03-31T00:00:00"/>
        <d v="2024-06-21T00:00:00"/>
        <d v="2024-11-08T00:00:00"/>
        <d v="2025-05-16T00:00:00"/>
        <d v="2024-12-10T00:00:00"/>
        <d v="2023-03-27T00:00:00"/>
        <d v="2022-02-10T00:00:00"/>
        <d v="2024-06-14T00:00:00"/>
        <d v="2024-07-25T00:00:00"/>
        <d v="2020-12-22T00:00:00"/>
        <d v="2024-09-13T00:00:00"/>
        <d v="2023-09-14T00:00:00"/>
        <d v="2021-02-13T00:00:00"/>
        <d v="2021-06-17T00:00:00"/>
        <d v="2021-11-04T00:00:00"/>
        <d v="2022-01-02T00:00:00"/>
        <d v="2022-08-27T00:00:00"/>
        <d v="2020-08-17T00:00:00"/>
        <d v="2024-04-09T00:00:00"/>
        <d v="2022-12-29T00:00:00"/>
        <d v="2024-01-10T00:00:00"/>
        <d v="2023-06-17T00:00:00"/>
        <d v="2022-11-12T00:00:00"/>
        <d v="2022-04-02T00:00:00"/>
        <d v="2024-12-18T00:00:00"/>
        <d v="2022-05-29T00:00:00"/>
        <d v="2021-11-10T00:00:00"/>
        <d v="2022-12-04T00:00:00"/>
        <d v="2021-06-24T00:00:00"/>
        <d v="2022-11-24T00:00:00"/>
        <d v="2025-02-18T00:00:00"/>
        <d v="2020-12-01T00:00:00"/>
        <d v="2020-08-30T00:00:00"/>
        <d v="2024-06-29T00:00:00"/>
        <d v="2020-12-25T00:00:00"/>
        <d v="2021-03-13T00:00:00"/>
        <d v="2020-09-09T00:00:00"/>
        <d v="2024-06-25T00:00:00"/>
        <d v="2025-01-15T00:00:00"/>
        <d v="2021-09-09T00:00:00"/>
        <d v="2020-11-14T00:00:00"/>
        <d v="2021-12-04T00:00:00"/>
        <d v="2025-06-03T00:00:00"/>
        <d v="2022-01-09T00:00:00"/>
        <d v="2021-09-27T00:00:00"/>
        <d v="2024-09-14T00:00:00"/>
        <d v="2021-09-28T00:00:00"/>
        <d v="2021-09-24T00:00:00"/>
        <d v="2023-10-02T00:00:00"/>
        <d v="2025-05-25T00:00:00"/>
        <d v="2021-03-08T00:00:00"/>
        <d v="2021-03-05T00:00:00"/>
        <d v="2024-08-25T00:00:00"/>
        <d v="2024-06-18T00:00:00"/>
        <d v="2021-11-20T00:00:00"/>
        <d v="2024-02-02T00:00:00"/>
        <d v="2023-01-19T00:00:00"/>
        <d v="2025-05-01T00:00:00"/>
        <d v="2025-05-26T00:00:00"/>
        <d v="2022-11-08T00:00:00"/>
        <d v="2022-03-12T00:00:00"/>
        <d v="2021-01-08T00:00:00"/>
        <d v="2023-03-26T00:00:00"/>
        <d v="2021-03-23T00:00:00"/>
        <d v="2024-03-17T00:00:00"/>
        <d v="2021-03-09T00:00:00"/>
        <d v="2021-10-25T00:00:00"/>
        <d v="2025-02-16T00:00:00"/>
        <d v="2020-08-11T00:00:00"/>
        <d v="2024-12-08T00:00:00"/>
        <d v="2025-02-15T00:00:00"/>
        <d v="2023-08-25T00:00:00"/>
        <d v="2021-07-24T00:00:00"/>
        <d v="2023-08-06T00:00:00"/>
        <d v="2023-10-01T00:00:00"/>
        <d v="2022-08-14T00:00:00"/>
        <d v="2025-07-08T00:00:00"/>
        <d v="2024-11-21T00:00:00"/>
        <d v="2021-09-16T00:00:00"/>
        <d v="2023-11-10T00:00:00"/>
        <d v="2022-03-24T00:00:00"/>
        <d v="2024-02-10T00:00:00"/>
        <d v="2024-05-23T00:00:00"/>
        <d v="2023-02-04T00:00:00"/>
        <d v="2025-05-05T00:00:00"/>
        <d v="2022-09-17T00:00:00"/>
        <d v="2022-12-28T00:00:00"/>
        <d v="2024-03-02T00:00:00"/>
        <d v="2024-08-22T00:00:00"/>
        <d v="2023-02-24T00:00:00"/>
        <d v="2020-11-04T00:00:00"/>
        <d v="2024-09-23T00:00:00"/>
        <d v="2025-02-10T00:00:00"/>
        <d v="2023-04-26T00:00:00"/>
        <d v="2024-05-10T00:00:00"/>
        <d v="2025-03-04T00:00:00"/>
        <d v="2023-10-12T00:00:00"/>
        <d v="2023-02-10T00:00:00"/>
        <d v="2024-04-12T00:00:00"/>
        <d v="2022-06-02T00:00:00"/>
        <d v="2020-11-05T00:00:00"/>
        <d v="2022-07-05T00:00:00"/>
        <d v="2021-12-18T00:00:00"/>
        <d v="2020-12-04T00:00:00"/>
        <d v="2020-09-29T00:00:00"/>
        <d v="2022-09-23T00:00:00"/>
        <d v="2023-11-21T00:00:00"/>
        <d v="2024-06-07T00:00:00"/>
        <d v="2021-04-17T00:00:00"/>
        <d v="2023-10-19T00:00:00"/>
        <d v="2022-03-25T00:00:00"/>
        <d v="2025-04-17T00:00:00"/>
        <d v="2021-08-14T00:00:00"/>
        <d v="2021-01-14T00:00:00"/>
        <d v="2022-06-15T00:00:00"/>
        <d v="2021-03-06T00:00:00"/>
        <d v="2022-06-01T00:00:00"/>
        <d v="2022-05-03T00:00:00"/>
        <d v="2024-10-30T00:00:00"/>
        <d v="2021-05-17T00:00:00"/>
        <d v="2020-08-20T00:00:00"/>
        <d v="2024-11-13T00:00:00"/>
        <d v="2025-06-12T00:00:00"/>
        <d v="2024-04-28T00:00:00"/>
        <d v="2021-06-29T00:00:00"/>
        <d v="2021-02-02T00:00:00"/>
        <d v="2021-04-14T00:00:00"/>
        <d v="2024-10-04T00:00:00"/>
        <d v="2023-03-20T00:00:00"/>
        <d v="2024-03-25T00:00:00"/>
        <d v="2023-05-22T00:00:00"/>
        <d v="2025-01-27T00:00:00"/>
        <d v="2024-01-15T00:00:00"/>
        <d v="2024-09-24T00:00:00"/>
        <d v="2020-07-11T00:00:00"/>
        <d v="2022-04-21T00:00:00"/>
        <d v="2024-09-15T00:00:00"/>
        <d v="2021-06-25T00:00:00"/>
        <d v="2021-04-22T00:00:00"/>
        <d v="2021-10-16T00:00:00"/>
        <d v="2023-10-05T00:00:00"/>
        <d v="2022-12-15T00:00:00"/>
        <d v="2020-12-09T00:00:00"/>
        <d v="2024-09-27T00:00:00"/>
        <d v="2024-08-10T00:00:00"/>
        <d v="2023-02-15T00:00:00"/>
        <d v="2024-01-21T00:00:00"/>
        <d v="2023-03-24T00:00:00"/>
        <d v="2023-09-01T00:00:00"/>
        <d v="2022-09-27T00:00:00"/>
        <d v="2024-10-16T00:00:00"/>
        <d v="2023-12-21T00:00:00"/>
        <d v="2024-10-20T00:00:00"/>
        <d v="2023-02-06T00:00:00"/>
        <d v="2022-12-10T00:00:00"/>
        <d v="2021-07-08T00:00:00"/>
        <d v="2022-01-17T00:00:00"/>
        <d v="2022-01-30T00:00:00"/>
        <d v="2025-02-22T00:00:00"/>
        <d v="2021-04-28T00:00:00"/>
        <d v="2021-02-23T00:00:00"/>
        <d v="2023-02-11T00:00:00"/>
        <d v="2023-03-19T00:00:00"/>
        <d v="2023-09-03T00:00:00"/>
        <d v="2024-02-12T00:00:00"/>
        <d v="2020-11-28T00:00:00"/>
        <d v="2023-08-24T00:00:00"/>
        <d v="2024-09-29T00:00:00"/>
        <d v="2021-10-22T00:00:00"/>
        <d v="2022-05-24T00:00:00"/>
        <d v="2025-03-10T00:00:00"/>
        <d v="2023-05-15T00:00:00"/>
        <d v="2022-02-27T00:00:00"/>
        <d v="2021-02-20T00:00:00"/>
        <d v="2022-10-04T00:00:00"/>
        <d v="2021-01-02T00:00:00"/>
        <d v="2023-12-31T00:00:00"/>
        <d v="2020-07-13T00:00:00"/>
        <d v="2023-10-04T00:00:00"/>
        <d v="2021-08-30T00:00:00"/>
        <d v="2024-12-29T00:00:00"/>
        <d v="2021-12-16T00:00:00"/>
        <d v="2023-10-10T00:00:00"/>
        <d v="2020-08-25T00:00:00"/>
        <d v="2024-07-16T00:00:00"/>
        <d v="2022-06-12T00:00:00"/>
        <d v="2022-12-09T00:00:00"/>
        <d v="2020-07-26T00:00:00"/>
        <d v="2025-06-10T00:00:00"/>
        <d v="2023-11-09T00:00:00"/>
        <d v="2022-09-08T00:00:00"/>
        <d v="2025-02-17T00:00:00"/>
        <d v="2024-11-05T00:00:00"/>
        <d v="2024-03-03T00:00:00"/>
        <d v="2021-04-24T00:00:00"/>
        <d v="2024-06-26T00:00:00"/>
        <d v="2024-12-31T00:00:00"/>
        <d v="2024-08-27T00:00:00"/>
        <d v="2024-01-07T00:00:00"/>
        <d v="2022-05-22T00:00:00"/>
      </sharedItems>
      <fieldGroup par="27" base="22">
        <rangePr groupBy="months" startDate="2020-07-10T00:00:00" endDate="2025-07-11T00:00:00"/>
        <groupItems count="14">
          <s v="&lt;10-07-2020"/>
          <s v="Jan"/>
          <s v="Feb"/>
          <s v="Mar"/>
          <s v="Apr"/>
          <s v="May"/>
          <s v="Jun"/>
          <s v="Jul"/>
          <s v="Aug"/>
          <s v="Sep"/>
          <s v="Oct"/>
          <s v="Nov"/>
          <s v="Dec"/>
          <s v="&gt;11-07-2025"/>
        </groupItems>
      </fieldGroup>
    </cacheField>
    <cacheField name="Loan_Approval_Status" numFmtId="0">
      <sharedItems count="2">
        <s v="Approved"/>
        <s v="Rejected"/>
      </sharedItems>
    </cacheField>
    <cacheField name="Default_Status" numFmtId="0">
      <sharedItems count="2">
        <s v="No"/>
        <s v="Yes"/>
      </sharedItems>
    </cacheField>
    <cacheField name="Risk_category" numFmtId="0">
      <sharedItems count="3">
        <s v="LOW"/>
        <s v="MEDIUM"/>
        <s v="HIGH"/>
      </sharedItems>
    </cacheField>
    <cacheField name="Quarters" numFmtId="0" databaseField="0">
      <fieldGroup base="22">
        <rangePr groupBy="quarters" startDate="2020-07-10T00:00:00" endDate="2025-07-11T00:00:00"/>
        <groupItems count="6">
          <s v="&lt;10-07-2020"/>
          <s v="Qtr1"/>
          <s v="Qtr2"/>
          <s v="Qtr3"/>
          <s v="Qtr4"/>
          <s v="&gt;11-07-2025"/>
        </groupItems>
      </fieldGroup>
    </cacheField>
    <cacheField name="Years" numFmtId="0" databaseField="0">
      <fieldGroup base="22">
        <rangePr groupBy="years" startDate="2020-07-10T00:00:00" endDate="2025-07-11T00:00:00"/>
        <groupItems count="8">
          <s v="&lt;10-07-2020"/>
          <s v="2020"/>
          <s v="2021"/>
          <s v="2022"/>
          <s v="2023"/>
          <s v="2024"/>
          <s v="2025"/>
          <s v="&gt;11-07-2025"/>
        </groupItems>
      </fieldGroup>
    </cacheField>
  </cacheFields>
  <extLst>
    <ext xmlns:x14="http://schemas.microsoft.com/office/spreadsheetml/2009/9/main" uri="{725AE2AE-9491-48be-B2B4-4EB974FC3084}">
      <x14:pivotCacheDefinition pivotCacheId="607819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s v="Scott Hunt"/>
    <x v="0"/>
    <x v="0"/>
    <x v="0"/>
    <s v="Postgraduate"/>
    <x v="0"/>
    <n v="48647"/>
    <n v="849"/>
    <n v="12419"/>
    <x v="0"/>
    <n v="0.151"/>
    <x v="0"/>
    <s v="Rented"/>
    <n v="29"/>
    <n v="3"/>
    <s v="Yes"/>
    <s v="Yes"/>
    <x v="0"/>
    <n v="1676"/>
    <x v="0"/>
    <x v="0"/>
    <x v="0"/>
    <x v="0"/>
    <x v="0"/>
    <x v="0"/>
  </r>
  <r>
    <x v="1"/>
    <s v="Earl Hernandez"/>
    <x v="1"/>
    <x v="1"/>
    <x v="1"/>
    <s v="High School"/>
    <x v="1"/>
    <n v="80752"/>
    <n v="849"/>
    <n v="7630"/>
    <x v="1"/>
    <n v="7.8200000000000006E-2"/>
    <x v="1"/>
    <s v="Rented"/>
    <n v="11"/>
    <n v="3"/>
    <s v="No"/>
    <s v="Yes"/>
    <x v="1"/>
    <n v="149162"/>
    <x v="1"/>
    <x v="1"/>
    <x v="1"/>
    <x v="1"/>
    <x v="1"/>
    <x v="0"/>
  </r>
  <r>
    <x v="2"/>
    <s v="Bethany Spencer"/>
    <x v="2"/>
    <x v="1"/>
    <x v="1"/>
    <s v="PhD"/>
    <x v="2"/>
    <n v="69853"/>
    <n v="849"/>
    <n v="10649"/>
    <x v="0"/>
    <n v="6.5099999999999991E-2"/>
    <x v="1"/>
    <s v="Owned"/>
    <n v="21"/>
    <n v="1"/>
    <s v="Yes"/>
    <s v="No"/>
    <x v="1"/>
    <n v="143736"/>
    <x v="2"/>
    <x v="2"/>
    <x v="2"/>
    <x v="1"/>
    <x v="0"/>
    <x v="0"/>
  </r>
  <r>
    <x v="3"/>
    <s v="Scott Haley"/>
    <x v="3"/>
    <x v="0"/>
    <x v="1"/>
    <s v="PhD"/>
    <x v="1"/>
    <n v="146598"/>
    <n v="849"/>
    <n v="35364"/>
    <x v="2"/>
    <n v="0.12789999999999999"/>
    <x v="2"/>
    <s v="Owned"/>
    <n v="20"/>
    <n v="2"/>
    <s v="Yes"/>
    <s v="No"/>
    <x v="2"/>
    <n v="102613"/>
    <x v="3"/>
    <x v="3"/>
    <x v="3"/>
    <x v="1"/>
    <x v="0"/>
    <x v="0"/>
  </r>
  <r>
    <x v="4"/>
    <s v="Brian Fields"/>
    <x v="4"/>
    <x v="0"/>
    <x v="2"/>
    <s v="Postgraduate"/>
    <x v="3"/>
    <n v="105374"/>
    <n v="849"/>
    <n v="12043"/>
    <x v="3"/>
    <n v="0.11169999999999999"/>
    <x v="2"/>
    <s v="Mortgaged"/>
    <n v="28"/>
    <n v="1"/>
    <s v="No"/>
    <s v="Yes"/>
    <x v="2"/>
    <n v="73111"/>
    <x v="4"/>
    <x v="4"/>
    <x v="4"/>
    <x v="1"/>
    <x v="0"/>
    <x v="0"/>
  </r>
  <r>
    <x v="5"/>
    <s v="Raymond Woods"/>
    <x v="5"/>
    <x v="1"/>
    <x v="3"/>
    <s v="High School"/>
    <x v="0"/>
    <n v="49059"/>
    <n v="849"/>
    <n v="24806"/>
    <x v="4"/>
    <n v="0.1061"/>
    <x v="3"/>
    <s v="Owned"/>
    <n v="16"/>
    <n v="0"/>
    <s v="No"/>
    <s v="No"/>
    <x v="0"/>
    <n v="114751"/>
    <x v="5"/>
    <x v="5"/>
    <x v="5"/>
    <x v="1"/>
    <x v="0"/>
    <x v="0"/>
  </r>
  <r>
    <x v="6"/>
    <s v="Jack Mcbride"/>
    <x v="6"/>
    <x v="1"/>
    <x v="0"/>
    <s v="Graduate"/>
    <x v="0"/>
    <n v="132333"/>
    <n v="849"/>
    <n v="10395"/>
    <x v="0"/>
    <n v="0.1101"/>
    <x v="4"/>
    <s v="Rented"/>
    <n v="8"/>
    <n v="3"/>
    <s v="No"/>
    <s v="No"/>
    <x v="0"/>
    <n v="65032"/>
    <x v="6"/>
    <x v="6"/>
    <x v="6"/>
    <x v="1"/>
    <x v="0"/>
    <x v="0"/>
  </r>
  <r>
    <x v="7"/>
    <s v="John Nelson"/>
    <x v="7"/>
    <x v="0"/>
    <x v="0"/>
    <s v="Postgraduate"/>
    <x v="1"/>
    <n v="133689"/>
    <n v="848"/>
    <n v="17702"/>
    <x v="4"/>
    <n v="0.13589999999999999"/>
    <x v="4"/>
    <s v="Mortgaged"/>
    <n v="9"/>
    <n v="0"/>
    <s v="No"/>
    <s v="Yes"/>
    <x v="2"/>
    <n v="82164"/>
    <x v="7"/>
    <x v="7"/>
    <x v="7"/>
    <x v="1"/>
    <x v="0"/>
    <x v="0"/>
  </r>
  <r>
    <x v="8"/>
    <s v="Jeffrey Liu"/>
    <x v="8"/>
    <x v="0"/>
    <x v="2"/>
    <s v="PhD"/>
    <x v="0"/>
    <n v="44309"/>
    <n v="848"/>
    <n v="43595"/>
    <x v="3"/>
    <n v="6.6199999999999995E-2"/>
    <x v="3"/>
    <s v="Owned"/>
    <n v="12"/>
    <n v="3"/>
    <s v="Yes"/>
    <s v="No"/>
    <x v="3"/>
    <n v="45002"/>
    <x v="8"/>
    <x v="8"/>
    <x v="8"/>
    <x v="1"/>
    <x v="0"/>
    <x v="0"/>
  </r>
  <r>
    <x v="9"/>
    <s v="Erica Hines"/>
    <x v="5"/>
    <x v="0"/>
    <x v="2"/>
    <s v="Postgraduate"/>
    <x v="1"/>
    <n v="146777"/>
    <n v="848"/>
    <n v="47597"/>
    <x v="3"/>
    <n v="0.14369999999999999"/>
    <x v="3"/>
    <s v="Mortgaged"/>
    <n v="16"/>
    <n v="1"/>
    <s v="Yes"/>
    <s v="Yes"/>
    <x v="4"/>
    <n v="105385"/>
    <x v="9"/>
    <x v="5"/>
    <x v="9"/>
    <x v="0"/>
    <x v="0"/>
    <x v="0"/>
  </r>
  <r>
    <x v="10"/>
    <s v="Alicia Jackson"/>
    <x v="9"/>
    <x v="1"/>
    <x v="2"/>
    <s v="Graduate"/>
    <x v="1"/>
    <n v="105178"/>
    <n v="847"/>
    <n v="15713"/>
    <x v="4"/>
    <n v="0.1052"/>
    <x v="1"/>
    <s v="Mortgaged"/>
    <n v="5"/>
    <n v="1"/>
    <s v="No"/>
    <s v="No"/>
    <x v="2"/>
    <n v="89484"/>
    <x v="10"/>
    <x v="9"/>
    <x v="10"/>
    <x v="0"/>
    <x v="0"/>
    <x v="0"/>
  </r>
  <r>
    <x v="11"/>
    <s v="Chad Roach"/>
    <x v="6"/>
    <x v="1"/>
    <x v="0"/>
    <s v="Postgraduate"/>
    <x v="3"/>
    <n v="59993"/>
    <n v="847"/>
    <n v="17997"/>
    <x v="2"/>
    <n v="0.10949999999999999"/>
    <x v="3"/>
    <s v="Owned"/>
    <n v="28"/>
    <n v="2"/>
    <s v="Yes"/>
    <s v="Yes"/>
    <x v="4"/>
    <n v="175666"/>
    <x v="11"/>
    <x v="10"/>
    <x v="11"/>
    <x v="0"/>
    <x v="0"/>
    <x v="0"/>
  </r>
  <r>
    <x v="12"/>
    <s v="Melissa Anderson"/>
    <x v="10"/>
    <x v="1"/>
    <x v="3"/>
    <s v="Graduate"/>
    <x v="0"/>
    <n v="31353"/>
    <n v="846"/>
    <n v="31868"/>
    <x v="3"/>
    <n v="9.2899999999999996E-2"/>
    <x v="2"/>
    <s v="Rented"/>
    <n v="25"/>
    <n v="2"/>
    <s v="No"/>
    <s v="Yes"/>
    <x v="3"/>
    <n v="73834"/>
    <x v="12"/>
    <x v="11"/>
    <x v="12"/>
    <x v="0"/>
    <x v="0"/>
    <x v="0"/>
  </r>
  <r>
    <x v="13"/>
    <s v="Austin Price"/>
    <x v="11"/>
    <x v="0"/>
    <x v="3"/>
    <s v="High School"/>
    <x v="0"/>
    <n v="82637"/>
    <n v="846"/>
    <n v="5960"/>
    <x v="0"/>
    <n v="0.18340000000000001"/>
    <x v="2"/>
    <s v="Rented"/>
    <n v="22"/>
    <n v="4"/>
    <s v="Yes"/>
    <s v="Yes"/>
    <x v="1"/>
    <n v="67907"/>
    <x v="13"/>
    <x v="12"/>
    <x v="13"/>
    <x v="1"/>
    <x v="0"/>
    <x v="0"/>
  </r>
  <r>
    <x v="14"/>
    <s v="Andrea Valencia"/>
    <x v="12"/>
    <x v="1"/>
    <x v="1"/>
    <s v="PhD"/>
    <x v="3"/>
    <n v="96631"/>
    <n v="846"/>
    <n v="7984"/>
    <x v="3"/>
    <n v="0.1537"/>
    <x v="2"/>
    <s v="Rented"/>
    <n v="17"/>
    <n v="0"/>
    <s v="No"/>
    <s v="No"/>
    <x v="3"/>
    <n v="135210"/>
    <x v="14"/>
    <x v="13"/>
    <x v="14"/>
    <x v="0"/>
    <x v="0"/>
    <x v="0"/>
  </r>
  <r>
    <x v="15"/>
    <s v="Kari Smith"/>
    <x v="13"/>
    <x v="0"/>
    <x v="1"/>
    <s v="Graduate"/>
    <x v="0"/>
    <n v="31907"/>
    <n v="846"/>
    <n v="32145"/>
    <x v="3"/>
    <n v="0.16719999999999999"/>
    <x v="2"/>
    <s v="Rented"/>
    <n v="5"/>
    <n v="2"/>
    <s v="No"/>
    <s v="Yes"/>
    <x v="2"/>
    <n v="5814"/>
    <x v="15"/>
    <x v="14"/>
    <x v="15"/>
    <x v="0"/>
    <x v="0"/>
    <x v="0"/>
  </r>
  <r>
    <x v="16"/>
    <s v="David Gonzalez"/>
    <x v="14"/>
    <x v="1"/>
    <x v="1"/>
    <s v="Postgraduate"/>
    <x v="2"/>
    <n v="118695"/>
    <n v="846"/>
    <n v="4192"/>
    <x v="1"/>
    <n v="0.11320000000000001"/>
    <x v="0"/>
    <s v="Rented"/>
    <n v="22"/>
    <n v="1"/>
    <s v="No"/>
    <s v="Yes"/>
    <x v="0"/>
    <n v="43224"/>
    <x v="16"/>
    <x v="14"/>
    <x v="16"/>
    <x v="0"/>
    <x v="0"/>
    <x v="0"/>
  </r>
  <r>
    <x v="17"/>
    <s v="Anthony Whitehead"/>
    <x v="15"/>
    <x v="0"/>
    <x v="1"/>
    <s v="Postgraduate"/>
    <x v="1"/>
    <n v="135919"/>
    <n v="846"/>
    <n v="31921"/>
    <x v="2"/>
    <n v="6.1799999999999994E-2"/>
    <x v="3"/>
    <s v="Owned"/>
    <n v="13"/>
    <n v="4"/>
    <s v="No"/>
    <s v="No"/>
    <x v="2"/>
    <n v="178282"/>
    <x v="17"/>
    <x v="15"/>
    <x v="17"/>
    <x v="0"/>
    <x v="1"/>
    <x v="0"/>
  </r>
  <r>
    <x v="18"/>
    <s v="Jay Benson"/>
    <x v="16"/>
    <x v="0"/>
    <x v="3"/>
    <s v="High School"/>
    <x v="2"/>
    <n v="95645"/>
    <n v="845"/>
    <n v="37575"/>
    <x v="0"/>
    <n v="0.13919999999999999"/>
    <x v="5"/>
    <s v="Owned"/>
    <n v="27"/>
    <n v="0"/>
    <s v="Yes"/>
    <s v="No"/>
    <x v="3"/>
    <n v="196684"/>
    <x v="18"/>
    <x v="16"/>
    <x v="18"/>
    <x v="1"/>
    <x v="1"/>
    <x v="0"/>
  </r>
  <r>
    <x v="19"/>
    <s v="Steven Woods"/>
    <x v="17"/>
    <x v="0"/>
    <x v="2"/>
    <s v="Postgraduate"/>
    <x v="1"/>
    <n v="127044"/>
    <n v="845"/>
    <n v="10432"/>
    <x v="4"/>
    <n v="9.2799999999999994E-2"/>
    <x v="3"/>
    <s v="Mortgaged"/>
    <n v="22"/>
    <n v="3"/>
    <s v="No"/>
    <s v="Yes"/>
    <x v="1"/>
    <n v="196301"/>
    <x v="19"/>
    <x v="17"/>
    <x v="19"/>
    <x v="1"/>
    <x v="0"/>
    <x v="0"/>
  </r>
  <r>
    <x v="20"/>
    <s v="Ryan Moore"/>
    <x v="18"/>
    <x v="0"/>
    <x v="0"/>
    <s v="High School"/>
    <x v="1"/>
    <n v="75823"/>
    <n v="845"/>
    <n v="43000"/>
    <x v="2"/>
    <n v="0.17670000000000002"/>
    <x v="2"/>
    <s v="Owned"/>
    <n v="29"/>
    <n v="1"/>
    <s v="No"/>
    <s v="Yes"/>
    <x v="1"/>
    <n v="101647"/>
    <x v="20"/>
    <x v="0"/>
    <x v="20"/>
    <x v="0"/>
    <x v="0"/>
    <x v="0"/>
  </r>
  <r>
    <x v="21"/>
    <s v="Susan Brown"/>
    <x v="14"/>
    <x v="0"/>
    <x v="0"/>
    <s v="Postgraduate"/>
    <x v="1"/>
    <n v="142689"/>
    <n v="844"/>
    <n v="42473"/>
    <x v="0"/>
    <n v="5.3600000000000002E-2"/>
    <x v="1"/>
    <s v="Owned"/>
    <n v="24"/>
    <n v="1"/>
    <s v="No"/>
    <s v="No"/>
    <x v="1"/>
    <n v="101892"/>
    <x v="21"/>
    <x v="16"/>
    <x v="21"/>
    <x v="0"/>
    <x v="0"/>
    <x v="0"/>
  </r>
  <r>
    <x v="22"/>
    <s v="Teresa Walker"/>
    <x v="6"/>
    <x v="0"/>
    <x v="2"/>
    <s v="PhD"/>
    <x v="3"/>
    <n v="148406"/>
    <n v="844"/>
    <n v="46454"/>
    <x v="1"/>
    <n v="5.67E-2"/>
    <x v="1"/>
    <s v="Rented"/>
    <n v="17"/>
    <n v="2"/>
    <s v="No"/>
    <s v="Yes"/>
    <x v="2"/>
    <n v="40725"/>
    <x v="22"/>
    <x v="18"/>
    <x v="22"/>
    <x v="1"/>
    <x v="0"/>
    <x v="0"/>
  </r>
  <r>
    <x v="23"/>
    <s v="Susan Taylor"/>
    <x v="10"/>
    <x v="1"/>
    <x v="0"/>
    <s v="PhD"/>
    <x v="2"/>
    <n v="139222"/>
    <n v="844"/>
    <n v="34276"/>
    <x v="0"/>
    <n v="0.17420000000000002"/>
    <x v="0"/>
    <s v="Rented"/>
    <n v="22"/>
    <n v="3"/>
    <s v="Yes"/>
    <s v="Yes"/>
    <x v="0"/>
    <n v="182870"/>
    <x v="23"/>
    <x v="19"/>
    <x v="23"/>
    <x v="1"/>
    <x v="0"/>
    <x v="0"/>
  </r>
  <r>
    <x v="24"/>
    <s v="Jonathan Adams"/>
    <x v="19"/>
    <x v="1"/>
    <x v="1"/>
    <s v="PhD"/>
    <x v="2"/>
    <n v="79789"/>
    <n v="844"/>
    <n v="19922"/>
    <x v="2"/>
    <n v="0.18090000000000001"/>
    <x v="5"/>
    <s v="Mortgaged"/>
    <n v="3"/>
    <n v="0"/>
    <s v="Yes"/>
    <s v="Yes"/>
    <x v="4"/>
    <n v="9695"/>
    <x v="24"/>
    <x v="20"/>
    <x v="24"/>
    <x v="0"/>
    <x v="0"/>
    <x v="0"/>
  </r>
  <r>
    <x v="25"/>
    <s v="Andrew Morales"/>
    <x v="20"/>
    <x v="0"/>
    <x v="0"/>
    <s v="Graduate"/>
    <x v="2"/>
    <n v="82665"/>
    <n v="844"/>
    <n v="35168"/>
    <x v="3"/>
    <n v="0.1288"/>
    <x v="1"/>
    <s v="Owned"/>
    <n v="18"/>
    <n v="3"/>
    <s v="No"/>
    <s v="No"/>
    <x v="2"/>
    <n v="109391"/>
    <x v="25"/>
    <x v="21"/>
    <x v="25"/>
    <x v="1"/>
    <x v="0"/>
    <x v="0"/>
  </r>
  <r>
    <x v="26"/>
    <s v="Maureen Camacho"/>
    <x v="21"/>
    <x v="1"/>
    <x v="0"/>
    <s v="Postgraduate"/>
    <x v="1"/>
    <n v="38302"/>
    <n v="844"/>
    <n v="29618"/>
    <x v="0"/>
    <n v="8.8300000000000003E-2"/>
    <x v="5"/>
    <s v="Mortgaged"/>
    <n v="20"/>
    <n v="4"/>
    <s v="No"/>
    <s v="No"/>
    <x v="0"/>
    <n v="82307"/>
    <x v="26"/>
    <x v="22"/>
    <x v="26"/>
    <x v="0"/>
    <x v="0"/>
    <x v="0"/>
  </r>
  <r>
    <x v="27"/>
    <s v="Joseph Jacobs"/>
    <x v="22"/>
    <x v="1"/>
    <x v="2"/>
    <s v="Postgraduate"/>
    <x v="3"/>
    <n v="40269"/>
    <n v="843"/>
    <n v="11858"/>
    <x v="0"/>
    <n v="0.15479999999999999"/>
    <x v="0"/>
    <s v="Owned"/>
    <n v="26"/>
    <n v="4"/>
    <s v="No"/>
    <s v="Yes"/>
    <x v="1"/>
    <n v="145125"/>
    <x v="27"/>
    <x v="23"/>
    <x v="27"/>
    <x v="0"/>
    <x v="0"/>
    <x v="0"/>
  </r>
  <r>
    <x v="28"/>
    <s v="Miss Deanna Bailey"/>
    <x v="21"/>
    <x v="1"/>
    <x v="3"/>
    <s v="Graduate"/>
    <x v="3"/>
    <n v="44976"/>
    <n v="843"/>
    <n v="47563"/>
    <x v="0"/>
    <n v="9.06E-2"/>
    <x v="5"/>
    <s v="Mortgaged"/>
    <n v="29"/>
    <n v="4"/>
    <s v="No"/>
    <s v="No"/>
    <x v="3"/>
    <n v="193020"/>
    <x v="28"/>
    <x v="24"/>
    <x v="28"/>
    <x v="1"/>
    <x v="0"/>
    <x v="0"/>
  </r>
  <r>
    <x v="29"/>
    <s v="Linda Larson"/>
    <x v="14"/>
    <x v="1"/>
    <x v="2"/>
    <s v="Graduate"/>
    <x v="2"/>
    <n v="98006"/>
    <n v="843"/>
    <n v="47052"/>
    <x v="3"/>
    <n v="0.13009999999999999"/>
    <x v="2"/>
    <s v="Owned"/>
    <n v="23"/>
    <n v="2"/>
    <s v="No"/>
    <s v="No"/>
    <x v="1"/>
    <n v="161989"/>
    <x v="29"/>
    <x v="25"/>
    <x v="29"/>
    <x v="0"/>
    <x v="0"/>
    <x v="0"/>
  </r>
  <r>
    <x v="30"/>
    <s v="Rhonda Brown"/>
    <x v="23"/>
    <x v="1"/>
    <x v="2"/>
    <s v="Graduate"/>
    <x v="2"/>
    <n v="57122"/>
    <n v="842"/>
    <n v="49135"/>
    <x v="2"/>
    <n v="0.1734"/>
    <x v="4"/>
    <s v="Owned"/>
    <n v="24"/>
    <n v="0"/>
    <s v="No"/>
    <s v="No"/>
    <x v="1"/>
    <n v="86549"/>
    <x v="30"/>
    <x v="26"/>
    <x v="30"/>
    <x v="1"/>
    <x v="0"/>
    <x v="0"/>
  </r>
  <r>
    <x v="31"/>
    <s v="Megan Nicholson"/>
    <x v="24"/>
    <x v="1"/>
    <x v="0"/>
    <s v="Graduate"/>
    <x v="0"/>
    <n v="107904"/>
    <n v="842"/>
    <n v="41076"/>
    <x v="2"/>
    <n v="0.10880000000000001"/>
    <x v="5"/>
    <s v="Rented"/>
    <n v="8"/>
    <n v="4"/>
    <s v="No"/>
    <s v="No"/>
    <x v="1"/>
    <n v="52328"/>
    <x v="31"/>
    <x v="1"/>
    <x v="31"/>
    <x v="0"/>
    <x v="0"/>
    <x v="0"/>
  </r>
  <r>
    <x v="32"/>
    <s v="Kristi Sawyer"/>
    <x v="25"/>
    <x v="0"/>
    <x v="2"/>
    <s v="PhD"/>
    <x v="0"/>
    <n v="66531"/>
    <n v="842"/>
    <n v="7764"/>
    <x v="2"/>
    <n v="0.13550000000000001"/>
    <x v="1"/>
    <s v="Rented"/>
    <n v="3"/>
    <n v="3"/>
    <s v="Yes"/>
    <s v="No"/>
    <x v="2"/>
    <n v="94292"/>
    <x v="32"/>
    <x v="27"/>
    <x v="32"/>
    <x v="1"/>
    <x v="0"/>
    <x v="0"/>
  </r>
  <r>
    <x v="33"/>
    <s v="Christine Perez"/>
    <x v="26"/>
    <x v="1"/>
    <x v="3"/>
    <s v="High School"/>
    <x v="2"/>
    <n v="149856"/>
    <n v="842"/>
    <n v="1908"/>
    <x v="2"/>
    <n v="0.13669999999999999"/>
    <x v="4"/>
    <s v="Mortgaged"/>
    <n v="25"/>
    <n v="0"/>
    <s v="No"/>
    <s v="No"/>
    <x v="2"/>
    <n v="73400"/>
    <x v="33"/>
    <x v="28"/>
    <x v="33"/>
    <x v="1"/>
    <x v="0"/>
    <x v="0"/>
  </r>
  <r>
    <x v="34"/>
    <s v="Angela Willis"/>
    <x v="27"/>
    <x v="1"/>
    <x v="3"/>
    <s v="Graduate"/>
    <x v="2"/>
    <n v="88519"/>
    <n v="842"/>
    <n v="43197"/>
    <x v="1"/>
    <n v="0.15060000000000001"/>
    <x v="0"/>
    <s v="Rented"/>
    <n v="3"/>
    <n v="2"/>
    <s v="No"/>
    <s v="Yes"/>
    <x v="3"/>
    <n v="15735"/>
    <x v="34"/>
    <x v="5"/>
    <x v="34"/>
    <x v="0"/>
    <x v="0"/>
    <x v="0"/>
  </r>
  <r>
    <x v="35"/>
    <s v="Savannah Gonzalez"/>
    <x v="1"/>
    <x v="1"/>
    <x v="2"/>
    <s v="Postgraduate"/>
    <x v="1"/>
    <n v="66389"/>
    <n v="842"/>
    <n v="9998"/>
    <x v="1"/>
    <n v="0.19020000000000001"/>
    <x v="0"/>
    <s v="Mortgaged"/>
    <n v="7"/>
    <n v="3"/>
    <s v="No"/>
    <s v="Yes"/>
    <x v="2"/>
    <n v="81689"/>
    <x v="35"/>
    <x v="29"/>
    <x v="35"/>
    <x v="1"/>
    <x v="0"/>
    <x v="0"/>
  </r>
  <r>
    <x v="36"/>
    <s v="Christopher Martin"/>
    <x v="28"/>
    <x v="1"/>
    <x v="1"/>
    <s v="PhD"/>
    <x v="3"/>
    <n v="37948"/>
    <n v="841"/>
    <n v="25795"/>
    <x v="1"/>
    <n v="0.14779999999999999"/>
    <x v="2"/>
    <s v="Rented"/>
    <n v="11"/>
    <n v="1"/>
    <s v="Yes"/>
    <s v="Yes"/>
    <x v="1"/>
    <n v="52934"/>
    <x v="36"/>
    <x v="30"/>
    <x v="36"/>
    <x v="0"/>
    <x v="0"/>
    <x v="0"/>
  </r>
  <r>
    <x v="37"/>
    <s v="Bradley Porter"/>
    <x v="16"/>
    <x v="0"/>
    <x v="0"/>
    <s v="Graduate"/>
    <x v="1"/>
    <n v="85421"/>
    <n v="841"/>
    <n v="25709"/>
    <x v="1"/>
    <n v="7.2800000000000004E-2"/>
    <x v="5"/>
    <s v="Rented"/>
    <n v="19"/>
    <n v="4"/>
    <s v="No"/>
    <s v="Yes"/>
    <x v="4"/>
    <n v="33667"/>
    <x v="37"/>
    <x v="31"/>
    <x v="37"/>
    <x v="0"/>
    <x v="0"/>
    <x v="0"/>
  </r>
  <r>
    <x v="38"/>
    <s v="Sarah Fletcher"/>
    <x v="28"/>
    <x v="1"/>
    <x v="3"/>
    <s v="High School"/>
    <x v="1"/>
    <n v="138637"/>
    <n v="841"/>
    <n v="8257"/>
    <x v="1"/>
    <n v="0.13519999999999999"/>
    <x v="1"/>
    <s v="Owned"/>
    <n v="10"/>
    <n v="4"/>
    <s v="Yes"/>
    <s v="No"/>
    <x v="3"/>
    <n v="57529"/>
    <x v="38"/>
    <x v="32"/>
    <x v="38"/>
    <x v="1"/>
    <x v="0"/>
    <x v="0"/>
  </r>
  <r>
    <x v="39"/>
    <s v="Caroline Cruz"/>
    <x v="6"/>
    <x v="1"/>
    <x v="1"/>
    <s v="PhD"/>
    <x v="2"/>
    <n v="96478"/>
    <n v="840"/>
    <n v="46480"/>
    <x v="0"/>
    <n v="0.1265"/>
    <x v="4"/>
    <s v="Rented"/>
    <n v="10"/>
    <n v="0"/>
    <s v="Yes"/>
    <s v="No"/>
    <x v="3"/>
    <n v="187573"/>
    <x v="39"/>
    <x v="33"/>
    <x v="39"/>
    <x v="1"/>
    <x v="0"/>
    <x v="0"/>
  </r>
  <r>
    <x v="40"/>
    <s v="Brenda Brady"/>
    <x v="6"/>
    <x v="0"/>
    <x v="3"/>
    <s v="Graduate"/>
    <x v="0"/>
    <n v="80686"/>
    <n v="840"/>
    <n v="8232"/>
    <x v="2"/>
    <n v="7.980000000000001E-2"/>
    <x v="3"/>
    <s v="Rented"/>
    <n v="18"/>
    <n v="3"/>
    <s v="No"/>
    <s v="Yes"/>
    <x v="3"/>
    <n v="155867"/>
    <x v="40"/>
    <x v="34"/>
    <x v="40"/>
    <x v="0"/>
    <x v="1"/>
    <x v="0"/>
  </r>
  <r>
    <x v="41"/>
    <s v="Sara Watson"/>
    <x v="18"/>
    <x v="0"/>
    <x v="0"/>
    <s v="Graduate"/>
    <x v="0"/>
    <n v="45988"/>
    <n v="840"/>
    <n v="34522"/>
    <x v="3"/>
    <n v="0.16059999999999999"/>
    <x v="4"/>
    <s v="Mortgaged"/>
    <n v="1"/>
    <n v="4"/>
    <s v="Yes"/>
    <s v="No"/>
    <x v="4"/>
    <n v="57009"/>
    <x v="41"/>
    <x v="35"/>
    <x v="41"/>
    <x v="1"/>
    <x v="0"/>
    <x v="0"/>
  </r>
  <r>
    <x v="42"/>
    <s v="Christopher Valdez"/>
    <x v="29"/>
    <x v="0"/>
    <x v="2"/>
    <s v="Postgraduate"/>
    <x v="1"/>
    <n v="64912"/>
    <n v="840"/>
    <n v="20853"/>
    <x v="1"/>
    <n v="0.15090000000000001"/>
    <x v="3"/>
    <s v="Mortgaged"/>
    <n v="2"/>
    <n v="3"/>
    <s v="Yes"/>
    <s v="No"/>
    <x v="4"/>
    <n v="107729"/>
    <x v="42"/>
    <x v="36"/>
    <x v="42"/>
    <x v="1"/>
    <x v="0"/>
    <x v="0"/>
  </r>
  <r>
    <x v="43"/>
    <s v="Mark Avila"/>
    <x v="4"/>
    <x v="1"/>
    <x v="3"/>
    <s v="Graduate"/>
    <x v="3"/>
    <n v="76799"/>
    <n v="840"/>
    <n v="9463"/>
    <x v="4"/>
    <n v="0.18960000000000002"/>
    <x v="4"/>
    <s v="Owned"/>
    <n v="3"/>
    <n v="2"/>
    <s v="Yes"/>
    <s v="Yes"/>
    <x v="1"/>
    <n v="58935"/>
    <x v="43"/>
    <x v="6"/>
    <x v="43"/>
    <x v="1"/>
    <x v="0"/>
    <x v="0"/>
  </r>
  <r>
    <x v="44"/>
    <s v="Joshua Williams"/>
    <x v="20"/>
    <x v="1"/>
    <x v="1"/>
    <s v="Postgraduate"/>
    <x v="0"/>
    <n v="114977"/>
    <n v="840"/>
    <n v="11528"/>
    <x v="1"/>
    <n v="0.1295"/>
    <x v="0"/>
    <s v="Rented"/>
    <n v="4"/>
    <n v="3"/>
    <s v="No"/>
    <s v="Yes"/>
    <x v="3"/>
    <n v="133111"/>
    <x v="44"/>
    <x v="37"/>
    <x v="44"/>
    <x v="1"/>
    <x v="0"/>
    <x v="0"/>
  </r>
  <r>
    <x v="45"/>
    <s v="Katherine Garrett"/>
    <x v="30"/>
    <x v="0"/>
    <x v="1"/>
    <s v="High School"/>
    <x v="2"/>
    <n v="23749"/>
    <n v="839"/>
    <n v="13529"/>
    <x v="1"/>
    <n v="0.15179999999999999"/>
    <x v="3"/>
    <s v="Rented"/>
    <n v="17"/>
    <n v="3"/>
    <s v="No"/>
    <s v="Yes"/>
    <x v="0"/>
    <n v="22172"/>
    <x v="45"/>
    <x v="16"/>
    <x v="45"/>
    <x v="1"/>
    <x v="0"/>
    <x v="0"/>
  </r>
  <r>
    <x v="46"/>
    <s v="Jaime Hill"/>
    <x v="16"/>
    <x v="0"/>
    <x v="0"/>
    <s v="PhD"/>
    <x v="3"/>
    <n v="90309"/>
    <n v="839"/>
    <n v="24126"/>
    <x v="0"/>
    <n v="0.13350000000000001"/>
    <x v="5"/>
    <s v="Mortgaged"/>
    <n v="21"/>
    <n v="2"/>
    <s v="Yes"/>
    <s v="No"/>
    <x v="4"/>
    <n v="154970"/>
    <x v="46"/>
    <x v="38"/>
    <x v="46"/>
    <x v="1"/>
    <x v="0"/>
    <x v="0"/>
  </r>
  <r>
    <x v="47"/>
    <s v="Brooke Lin"/>
    <x v="31"/>
    <x v="1"/>
    <x v="0"/>
    <s v="PhD"/>
    <x v="0"/>
    <n v="72224"/>
    <n v="839"/>
    <n v="1559"/>
    <x v="0"/>
    <n v="0.19309999999999999"/>
    <x v="4"/>
    <s v="Mortgaged"/>
    <n v="4"/>
    <n v="2"/>
    <s v="Yes"/>
    <s v="Yes"/>
    <x v="4"/>
    <n v="99364"/>
    <x v="47"/>
    <x v="39"/>
    <x v="47"/>
    <x v="1"/>
    <x v="0"/>
    <x v="0"/>
  </r>
  <r>
    <x v="48"/>
    <s v="Christopher Davis"/>
    <x v="32"/>
    <x v="0"/>
    <x v="3"/>
    <s v="Graduate"/>
    <x v="2"/>
    <n v="28314"/>
    <n v="839"/>
    <n v="6067"/>
    <x v="0"/>
    <n v="7.0999999999999994E-2"/>
    <x v="4"/>
    <s v="Owned"/>
    <n v="9"/>
    <n v="2"/>
    <s v="No"/>
    <s v="Yes"/>
    <x v="2"/>
    <n v="72750"/>
    <x v="48"/>
    <x v="40"/>
    <x v="48"/>
    <x v="1"/>
    <x v="0"/>
    <x v="0"/>
  </r>
  <r>
    <x v="49"/>
    <s v="Johnny Garcia"/>
    <x v="11"/>
    <x v="1"/>
    <x v="1"/>
    <s v="High School"/>
    <x v="2"/>
    <n v="37438"/>
    <n v="839"/>
    <n v="45420"/>
    <x v="1"/>
    <n v="0.1555"/>
    <x v="4"/>
    <s v="Mortgaged"/>
    <n v="28"/>
    <n v="4"/>
    <s v="No"/>
    <s v="Yes"/>
    <x v="4"/>
    <n v="115212"/>
    <x v="49"/>
    <x v="13"/>
    <x v="49"/>
    <x v="1"/>
    <x v="0"/>
    <x v="0"/>
  </r>
  <r>
    <x v="50"/>
    <s v="Mr. Donald Morgan"/>
    <x v="23"/>
    <x v="1"/>
    <x v="1"/>
    <s v="Postgraduate"/>
    <x v="1"/>
    <n v="89959"/>
    <n v="838"/>
    <n v="23102"/>
    <x v="2"/>
    <n v="9.7699999999999995E-2"/>
    <x v="5"/>
    <s v="Rented"/>
    <n v="9"/>
    <n v="4"/>
    <s v="Yes"/>
    <s v="No"/>
    <x v="3"/>
    <n v="31146"/>
    <x v="50"/>
    <x v="23"/>
    <x v="50"/>
    <x v="0"/>
    <x v="0"/>
    <x v="0"/>
  </r>
  <r>
    <x v="51"/>
    <s v="Robert Lee"/>
    <x v="25"/>
    <x v="0"/>
    <x v="3"/>
    <s v="Graduate"/>
    <x v="1"/>
    <n v="65890"/>
    <n v="838"/>
    <n v="15235"/>
    <x v="2"/>
    <n v="6.0299999999999999E-2"/>
    <x v="0"/>
    <s v="Owned"/>
    <n v="24"/>
    <n v="1"/>
    <s v="No"/>
    <s v="Yes"/>
    <x v="2"/>
    <n v="24238"/>
    <x v="51"/>
    <x v="41"/>
    <x v="51"/>
    <x v="1"/>
    <x v="0"/>
    <x v="0"/>
  </r>
  <r>
    <x v="52"/>
    <s v="Charles Hogan"/>
    <x v="26"/>
    <x v="0"/>
    <x v="2"/>
    <s v="High School"/>
    <x v="1"/>
    <n v="60522"/>
    <n v="837"/>
    <n v="19298"/>
    <x v="0"/>
    <n v="0.10550000000000001"/>
    <x v="1"/>
    <s v="Owned"/>
    <n v="29"/>
    <n v="2"/>
    <s v="Yes"/>
    <s v="Yes"/>
    <x v="0"/>
    <n v="121522"/>
    <x v="52"/>
    <x v="23"/>
    <x v="52"/>
    <x v="0"/>
    <x v="0"/>
    <x v="0"/>
  </r>
  <r>
    <x v="53"/>
    <s v="Lori Dawson"/>
    <x v="32"/>
    <x v="1"/>
    <x v="1"/>
    <s v="High School"/>
    <x v="0"/>
    <n v="121248"/>
    <n v="837"/>
    <n v="47104"/>
    <x v="1"/>
    <n v="9.5799999999999996E-2"/>
    <x v="2"/>
    <s v="Mortgaged"/>
    <n v="20"/>
    <n v="4"/>
    <s v="No"/>
    <s v="Yes"/>
    <x v="0"/>
    <n v="69282"/>
    <x v="53"/>
    <x v="12"/>
    <x v="37"/>
    <x v="0"/>
    <x v="1"/>
    <x v="0"/>
  </r>
  <r>
    <x v="54"/>
    <s v="Alexander Miller"/>
    <x v="6"/>
    <x v="1"/>
    <x v="1"/>
    <s v="High School"/>
    <x v="1"/>
    <n v="49299"/>
    <n v="837"/>
    <n v="34826"/>
    <x v="2"/>
    <n v="7.2700000000000001E-2"/>
    <x v="2"/>
    <s v="Mortgaged"/>
    <n v="2"/>
    <n v="1"/>
    <s v="Yes"/>
    <s v="Yes"/>
    <x v="0"/>
    <n v="22466"/>
    <x v="54"/>
    <x v="42"/>
    <x v="53"/>
    <x v="1"/>
    <x v="0"/>
    <x v="0"/>
  </r>
  <r>
    <x v="55"/>
    <s v="Shannon Griffith"/>
    <x v="7"/>
    <x v="1"/>
    <x v="0"/>
    <s v="Graduate"/>
    <x v="2"/>
    <n v="125433"/>
    <n v="837"/>
    <n v="9906"/>
    <x v="4"/>
    <n v="0.10249999999999999"/>
    <x v="2"/>
    <s v="Rented"/>
    <n v="3"/>
    <n v="4"/>
    <s v="Yes"/>
    <s v="Yes"/>
    <x v="3"/>
    <n v="104816"/>
    <x v="55"/>
    <x v="39"/>
    <x v="54"/>
    <x v="0"/>
    <x v="0"/>
    <x v="0"/>
  </r>
  <r>
    <x v="56"/>
    <s v="Albert Hebert"/>
    <x v="33"/>
    <x v="0"/>
    <x v="2"/>
    <s v="Graduate"/>
    <x v="2"/>
    <n v="73502"/>
    <n v="837"/>
    <n v="19361"/>
    <x v="3"/>
    <n v="0.18429999999999999"/>
    <x v="2"/>
    <s v="Owned"/>
    <n v="29"/>
    <n v="1"/>
    <s v="Yes"/>
    <s v="No"/>
    <x v="1"/>
    <n v="114312"/>
    <x v="56"/>
    <x v="43"/>
    <x v="55"/>
    <x v="1"/>
    <x v="0"/>
    <x v="0"/>
  </r>
  <r>
    <x v="57"/>
    <s v="Jennifer Mcgee"/>
    <x v="0"/>
    <x v="1"/>
    <x v="3"/>
    <s v="Graduate"/>
    <x v="3"/>
    <n v="112934"/>
    <n v="837"/>
    <n v="22292"/>
    <x v="0"/>
    <n v="6.2E-2"/>
    <x v="3"/>
    <s v="Mortgaged"/>
    <n v="18"/>
    <n v="0"/>
    <s v="No"/>
    <s v="No"/>
    <x v="4"/>
    <n v="74514"/>
    <x v="57"/>
    <x v="37"/>
    <x v="56"/>
    <x v="0"/>
    <x v="1"/>
    <x v="0"/>
  </r>
  <r>
    <x v="58"/>
    <s v="Meghan Jackson"/>
    <x v="34"/>
    <x v="0"/>
    <x v="0"/>
    <s v="Graduate"/>
    <x v="3"/>
    <n v="49113"/>
    <n v="836"/>
    <n v="24447"/>
    <x v="1"/>
    <n v="0.10339999999999999"/>
    <x v="3"/>
    <s v="Mortgaged"/>
    <n v="21"/>
    <n v="2"/>
    <s v="No"/>
    <s v="Yes"/>
    <x v="4"/>
    <n v="157349"/>
    <x v="58"/>
    <x v="44"/>
    <x v="57"/>
    <x v="1"/>
    <x v="1"/>
    <x v="0"/>
  </r>
  <r>
    <x v="59"/>
    <s v="Amy Mcclure"/>
    <x v="7"/>
    <x v="0"/>
    <x v="3"/>
    <s v="Postgraduate"/>
    <x v="1"/>
    <n v="52317"/>
    <n v="836"/>
    <n v="34305"/>
    <x v="3"/>
    <n v="0.10400000000000001"/>
    <x v="2"/>
    <s v="Rented"/>
    <n v="21"/>
    <n v="4"/>
    <s v="Yes"/>
    <s v="Yes"/>
    <x v="0"/>
    <n v="164750"/>
    <x v="59"/>
    <x v="10"/>
    <x v="58"/>
    <x v="1"/>
    <x v="1"/>
    <x v="0"/>
  </r>
  <r>
    <x v="60"/>
    <s v="Holly Anderson"/>
    <x v="11"/>
    <x v="1"/>
    <x v="1"/>
    <s v="PhD"/>
    <x v="0"/>
    <n v="31767"/>
    <n v="836"/>
    <n v="31614"/>
    <x v="2"/>
    <n v="7.9899999999999999E-2"/>
    <x v="3"/>
    <s v="Rented"/>
    <n v="29"/>
    <n v="0"/>
    <s v="No"/>
    <s v="No"/>
    <x v="0"/>
    <n v="123362"/>
    <x v="60"/>
    <x v="45"/>
    <x v="59"/>
    <x v="1"/>
    <x v="0"/>
    <x v="0"/>
  </r>
  <r>
    <x v="61"/>
    <s v="Felicia Anderson"/>
    <x v="4"/>
    <x v="0"/>
    <x v="3"/>
    <s v="High School"/>
    <x v="2"/>
    <n v="28418"/>
    <n v="835"/>
    <n v="32738"/>
    <x v="0"/>
    <n v="0.11539999999999999"/>
    <x v="2"/>
    <s v="Rented"/>
    <n v="25"/>
    <n v="3"/>
    <s v="No"/>
    <s v="No"/>
    <x v="4"/>
    <n v="139722"/>
    <x v="61"/>
    <x v="4"/>
    <x v="54"/>
    <x v="1"/>
    <x v="0"/>
    <x v="0"/>
  </r>
  <r>
    <x v="62"/>
    <s v="Patrick Anderson"/>
    <x v="11"/>
    <x v="1"/>
    <x v="1"/>
    <s v="Postgraduate"/>
    <x v="3"/>
    <n v="28989"/>
    <n v="835"/>
    <n v="40807"/>
    <x v="3"/>
    <n v="0.1278"/>
    <x v="2"/>
    <s v="Owned"/>
    <n v="23"/>
    <n v="0"/>
    <s v="Yes"/>
    <s v="Yes"/>
    <x v="0"/>
    <n v="55443"/>
    <x v="62"/>
    <x v="46"/>
    <x v="60"/>
    <x v="1"/>
    <x v="0"/>
    <x v="0"/>
  </r>
  <r>
    <x v="63"/>
    <s v="Kelly Romero"/>
    <x v="35"/>
    <x v="0"/>
    <x v="1"/>
    <s v="Graduate"/>
    <x v="2"/>
    <n v="124292"/>
    <n v="835"/>
    <n v="8433"/>
    <x v="2"/>
    <n v="6.1100000000000002E-2"/>
    <x v="3"/>
    <s v="Rented"/>
    <n v="6"/>
    <n v="2"/>
    <s v="Yes"/>
    <s v="No"/>
    <x v="4"/>
    <n v="132963"/>
    <x v="63"/>
    <x v="47"/>
    <x v="61"/>
    <x v="1"/>
    <x v="0"/>
    <x v="0"/>
  </r>
  <r>
    <x v="64"/>
    <s v="Antonio Parker"/>
    <x v="33"/>
    <x v="1"/>
    <x v="3"/>
    <s v="PhD"/>
    <x v="0"/>
    <n v="144023"/>
    <n v="834"/>
    <n v="4621"/>
    <x v="4"/>
    <n v="5.7999999999999996E-2"/>
    <x v="1"/>
    <s v="Rented"/>
    <n v="29"/>
    <n v="1"/>
    <s v="Yes"/>
    <s v="Yes"/>
    <x v="1"/>
    <n v="199281"/>
    <x v="64"/>
    <x v="39"/>
    <x v="62"/>
    <x v="0"/>
    <x v="0"/>
    <x v="0"/>
  </r>
  <r>
    <x v="65"/>
    <s v="Robert Harvey"/>
    <x v="36"/>
    <x v="0"/>
    <x v="2"/>
    <s v="PhD"/>
    <x v="0"/>
    <n v="32446"/>
    <n v="834"/>
    <n v="22300"/>
    <x v="0"/>
    <n v="0.1492"/>
    <x v="1"/>
    <s v="Mortgaged"/>
    <n v="10"/>
    <n v="2"/>
    <s v="No"/>
    <s v="Yes"/>
    <x v="2"/>
    <n v="23449"/>
    <x v="65"/>
    <x v="41"/>
    <x v="63"/>
    <x v="0"/>
    <x v="0"/>
    <x v="0"/>
  </r>
  <r>
    <x v="66"/>
    <s v="Jonathan Black"/>
    <x v="37"/>
    <x v="0"/>
    <x v="0"/>
    <s v="High School"/>
    <x v="2"/>
    <n v="122240"/>
    <n v="834"/>
    <n v="17672"/>
    <x v="1"/>
    <n v="6.2699999999999992E-2"/>
    <x v="5"/>
    <s v="Mortgaged"/>
    <n v="22"/>
    <n v="3"/>
    <s v="No"/>
    <s v="Yes"/>
    <x v="1"/>
    <n v="58133"/>
    <x v="66"/>
    <x v="48"/>
    <x v="64"/>
    <x v="0"/>
    <x v="0"/>
    <x v="0"/>
  </r>
  <r>
    <x v="67"/>
    <s v="David Little"/>
    <x v="30"/>
    <x v="1"/>
    <x v="0"/>
    <s v="High School"/>
    <x v="1"/>
    <n v="85584"/>
    <n v="833"/>
    <n v="4932"/>
    <x v="3"/>
    <n v="6.93E-2"/>
    <x v="3"/>
    <s v="Owned"/>
    <n v="29"/>
    <n v="4"/>
    <s v="No"/>
    <s v="Yes"/>
    <x v="0"/>
    <n v="168782"/>
    <x v="67"/>
    <x v="21"/>
    <x v="65"/>
    <x v="1"/>
    <x v="0"/>
    <x v="0"/>
  </r>
  <r>
    <x v="68"/>
    <s v="Audrey Perez"/>
    <x v="27"/>
    <x v="0"/>
    <x v="1"/>
    <s v="Postgraduate"/>
    <x v="3"/>
    <n v="102597"/>
    <n v="832"/>
    <n v="29172"/>
    <x v="0"/>
    <n v="0.12189999999999999"/>
    <x v="4"/>
    <s v="Owned"/>
    <n v="19"/>
    <n v="4"/>
    <s v="Yes"/>
    <s v="No"/>
    <x v="3"/>
    <n v="82570"/>
    <x v="68"/>
    <x v="49"/>
    <x v="66"/>
    <x v="0"/>
    <x v="0"/>
    <x v="0"/>
  </r>
  <r>
    <x v="69"/>
    <s v="Michael Johnson"/>
    <x v="29"/>
    <x v="0"/>
    <x v="0"/>
    <s v="Postgraduate"/>
    <x v="2"/>
    <n v="88222"/>
    <n v="832"/>
    <n v="28278"/>
    <x v="2"/>
    <n v="0.18629999999999999"/>
    <x v="4"/>
    <s v="Owned"/>
    <n v="1"/>
    <n v="3"/>
    <s v="No"/>
    <s v="No"/>
    <x v="2"/>
    <n v="174002"/>
    <x v="69"/>
    <x v="50"/>
    <x v="67"/>
    <x v="1"/>
    <x v="0"/>
    <x v="0"/>
  </r>
  <r>
    <x v="70"/>
    <s v="Roberto Smith"/>
    <x v="1"/>
    <x v="1"/>
    <x v="0"/>
    <s v="Graduate"/>
    <x v="1"/>
    <n v="32666"/>
    <n v="832"/>
    <n v="9272"/>
    <x v="0"/>
    <n v="8.3900000000000002E-2"/>
    <x v="5"/>
    <s v="Rented"/>
    <n v="17"/>
    <n v="3"/>
    <s v="No"/>
    <s v="No"/>
    <x v="3"/>
    <n v="132732"/>
    <x v="70"/>
    <x v="13"/>
    <x v="68"/>
    <x v="1"/>
    <x v="0"/>
    <x v="0"/>
  </r>
  <r>
    <x v="71"/>
    <s v="Savannah Esparza"/>
    <x v="19"/>
    <x v="0"/>
    <x v="2"/>
    <s v="Graduate"/>
    <x v="2"/>
    <n v="71952"/>
    <n v="832"/>
    <n v="31436"/>
    <x v="1"/>
    <n v="0.17030000000000001"/>
    <x v="4"/>
    <s v="Rented"/>
    <n v="20"/>
    <n v="1"/>
    <s v="No"/>
    <s v="No"/>
    <x v="0"/>
    <n v="134482"/>
    <x v="71"/>
    <x v="17"/>
    <x v="69"/>
    <x v="0"/>
    <x v="1"/>
    <x v="0"/>
  </r>
  <r>
    <x v="72"/>
    <s v="Jennifer Forbes"/>
    <x v="10"/>
    <x v="1"/>
    <x v="3"/>
    <s v="High School"/>
    <x v="1"/>
    <n v="64143"/>
    <n v="832"/>
    <n v="42886"/>
    <x v="2"/>
    <n v="0.1595"/>
    <x v="0"/>
    <s v="Mortgaged"/>
    <n v="22"/>
    <n v="4"/>
    <s v="Yes"/>
    <s v="No"/>
    <x v="3"/>
    <n v="85918"/>
    <x v="72"/>
    <x v="13"/>
    <x v="70"/>
    <x v="1"/>
    <x v="0"/>
    <x v="0"/>
  </r>
  <r>
    <x v="73"/>
    <s v="Zachary Morris"/>
    <x v="2"/>
    <x v="1"/>
    <x v="2"/>
    <s v="PhD"/>
    <x v="1"/>
    <n v="70477"/>
    <n v="832"/>
    <n v="15274"/>
    <x v="0"/>
    <n v="9.820000000000001E-2"/>
    <x v="2"/>
    <s v="Mortgaged"/>
    <n v="27"/>
    <n v="2"/>
    <s v="No"/>
    <s v="Yes"/>
    <x v="4"/>
    <n v="193468"/>
    <x v="73"/>
    <x v="13"/>
    <x v="71"/>
    <x v="0"/>
    <x v="0"/>
    <x v="0"/>
  </r>
  <r>
    <x v="74"/>
    <s v="Bruce Fisher"/>
    <x v="30"/>
    <x v="1"/>
    <x v="3"/>
    <s v="High School"/>
    <x v="3"/>
    <n v="45523"/>
    <n v="831"/>
    <n v="31916"/>
    <x v="1"/>
    <n v="0.17850000000000002"/>
    <x v="5"/>
    <s v="Owned"/>
    <n v="23"/>
    <n v="2"/>
    <s v="No"/>
    <s v="No"/>
    <x v="2"/>
    <n v="159989"/>
    <x v="74"/>
    <x v="10"/>
    <x v="72"/>
    <x v="1"/>
    <x v="0"/>
    <x v="0"/>
  </r>
  <r>
    <x v="75"/>
    <s v="Mr. Phillip Rosario"/>
    <x v="38"/>
    <x v="1"/>
    <x v="2"/>
    <s v="PhD"/>
    <x v="3"/>
    <n v="66202"/>
    <n v="831"/>
    <n v="13846"/>
    <x v="2"/>
    <n v="0.13900000000000001"/>
    <x v="0"/>
    <s v="Rented"/>
    <n v="25"/>
    <n v="2"/>
    <s v="Yes"/>
    <s v="No"/>
    <x v="4"/>
    <n v="125688"/>
    <x v="75"/>
    <x v="51"/>
    <x v="73"/>
    <x v="1"/>
    <x v="0"/>
    <x v="0"/>
  </r>
  <r>
    <x v="76"/>
    <s v="Zachary Stone"/>
    <x v="0"/>
    <x v="1"/>
    <x v="2"/>
    <s v="High School"/>
    <x v="1"/>
    <n v="133288"/>
    <n v="831"/>
    <n v="49351"/>
    <x v="1"/>
    <n v="7.1500000000000008E-2"/>
    <x v="5"/>
    <s v="Mortgaged"/>
    <n v="3"/>
    <n v="2"/>
    <s v="No"/>
    <s v="Yes"/>
    <x v="4"/>
    <n v="155585"/>
    <x v="76"/>
    <x v="52"/>
    <x v="74"/>
    <x v="0"/>
    <x v="0"/>
    <x v="0"/>
  </r>
  <r>
    <x v="77"/>
    <s v="David Romero"/>
    <x v="34"/>
    <x v="0"/>
    <x v="3"/>
    <s v="High School"/>
    <x v="2"/>
    <n v="74387"/>
    <n v="830"/>
    <n v="25174"/>
    <x v="3"/>
    <n v="0.1542"/>
    <x v="4"/>
    <s v="Mortgaged"/>
    <n v="20"/>
    <n v="0"/>
    <s v="Yes"/>
    <s v="Yes"/>
    <x v="1"/>
    <n v="130473"/>
    <x v="77"/>
    <x v="45"/>
    <x v="75"/>
    <x v="1"/>
    <x v="0"/>
    <x v="0"/>
  </r>
  <r>
    <x v="78"/>
    <s v="Brandon Lutz"/>
    <x v="39"/>
    <x v="0"/>
    <x v="3"/>
    <s v="High School"/>
    <x v="0"/>
    <n v="124320"/>
    <n v="830"/>
    <n v="22612"/>
    <x v="4"/>
    <n v="0.16980000000000001"/>
    <x v="0"/>
    <s v="Owned"/>
    <n v="6"/>
    <n v="0"/>
    <s v="Yes"/>
    <s v="Yes"/>
    <x v="3"/>
    <n v="54497"/>
    <x v="78"/>
    <x v="20"/>
    <x v="76"/>
    <x v="1"/>
    <x v="0"/>
    <x v="0"/>
  </r>
  <r>
    <x v="79"/>
    <s v="Yesenia Cooper"/>
    <x v="12"/>
    <x v="0"/>
    <x v="1"/>
    <s v="PhD"/>
    <x v="3"/>
    <n v="99731"/>
    <n v="830"/>
    <n v="46499"/>
    <x v="4"/>
    <n v="9.2499999999999999E-2"/>
    <x v="5"/>
    <s v="Mortgaged"/>
    <n v="26"/>
    <n v="3"/>
    <s v="No"/>
    <s v="Yes"/>
    <x v="1"/>
    <n v="137415"/>
    <x v="79"/>
    <x v="46"/>
    <x v="77"/>
    <x v="0"/>
    <x v="0"/>
    <x v="0"/>
  </r>
  <r>
    <x v="80"/>
    <s v="John Vega"/>
    <x v="18"/>
    <x v="0"/>
    <x v="1"/>
    <s v="PhD"/>
    <x v="2"/>
    <n v="88321"/>
    <n v="829"/>
    <n v="32655"/>
    <x v="0"/>
    <n v="6.480000000000001E-2"/>
    <x v="1"/>
    <s v="Mortgaged"/>
    <n v="27"/>
    <n v="4"/>
    <s v="No"/>
    <s v="Yes"/>
    <x v="3"/>
    <n v="18328"/>
    <x v="80"/>
    <x v="13"/>
    <x v="78"/>
    <x v="1"/>
    <x v="1"/>
    <x v="0"/>
  </r>
  <r>
    <x v="81"/>
    <s v="Pamela Doyle"/>
    <x v="8"/>
    <x v="0"/>
    <x v="2"/>
    <s v="High School"/>
    <x v="1"/>
    <n v="47909"/>
    <n v="829"/>
    <n v="45187"/>
    <x v="0"/>
    <n v="0.1537"/>
    <x v="5"/>
    <s v="Owned"/>
    <n v="8"/>
    <n v="0"/>
    <s v="Yes"/>
    <s v="No"/>
    <x v="4"/>
    <n v="50212"/>
    <x v="81"/>
    <x v="53"/>
    <x v="79"/>
    <x v="1"/>
    <x v="0"/>
    <x v="0"/>
  </r>
  <r>
    <x v="82"/>
    <s v="Melissa Orr"/>
    <x v="12"/>
    <x v="1"/>
    <x v="0"/>
    <s v="PhD"/>
    <x v="2"/>
    <n v="92178"/>
    <n v="829"/>
    <n v="28892"/>
    <x v="1"/>
    <n v="0.14779999999999999"/>
    <x v="4"/>
    <s v="Rented"/>
    <n v="7"/>
    <n v="0"/>
    <s v="Yes"/>
    <s v="Yes"/>
    <x v="2"/>
    <n v="41184"/>
    <x v="82"/>
    <x v="28"/>
    <x v="80"/>
    <x v="0"/>
    <x v="0"/>
    <x v="0"/>
  </r>
  <r>
    <x v="83"/>
    <s v="Barry Petty"/>
    <x v="35"/>
    <x v="0"/>
    <x v="2"/>
    <s v="High School"/>
    <x v="3"/>
    <n v="138089"/>
    <n v="828"/>
    <n v="27785"/>
    <x v="0"/>
    <n v="0.17600000000000002"/>
    <x v="4"/>
    <s v="Rented"/>
    <n v="11"/>
    <n v="0"/>
    <s v="Yes"/>
    <s v="No"/>
    <x v="1"/>
    <n v="2932"/>
    <x v="83"/>
    <x v="0"/>
    <x v="81"/>
    <x v="1"/>
    <x v="1"/>
    <x v="0"/>
  </r>
  <r>
    <x v="84"/>
    <s v="David Rojas"/>
    <x v="4"/>
    <x v="0"/>
    <x v="3"/>
    <s v="Postgraduate"/>
    <x v="3"/>
    <n v="78382"/>
    <n v="828"/>
    <n v="2360"/>
    <x v="1"/>
    <n v="6.8099999999999994E-2"/>
    <x v="1"/>
    <s v="Rented"/>
    <n v="9"/>
    <n v="2"/>
    <s v="Yes"/>
    <s v="Yes"/>
    <x v="3"/>
    <n v="17527"/>
    <x v="84"/>
    <x v="38"/>
    <x v="82"/>
    <x v="1"/>
    <x v="0"/>
    <x v="0"/>
  </r>
  <r>
    <x v="85"/>
    <s v="Kimberly Butler"/>
    <x v="15"/>
    <x v="0"/>
    <x v="0"/>
    <s v="Graduate"/>
    <x v="0"/>
    <n v="74154"/>
    <n v="828"/>
    <n v="15639"/>
    <x v="3"/>
    <n v="7.3099999999999998E-2"/>
    <x v="1"/>
    <s v="Rented"/>
    <n v="18"/>
    <n v="3"/>
    <s v="No"/>
    <s v="Yes"/>
    <x v="1"/>
    <n v="103482"/>
    <x v="85"/>
    <x v="54"/>
    <x v="83"/>
    <x v="1"/>
    <x v="0"/>
    <x v="0"/>
  </r>
  <r>
    <x v="86"/>
    <s v="Ian Gonzales Jr."/>
    <x v="38"/>
    <x v="1"/>
    <x v="2"/>
    <s v="High School"/>
    <x v="0"/>
    <n v="105990"/>
    <n v="828"/>
    <n v="30888"/>
    <x v="0"/>
    <n v="0.16850000000000001"/>
    <x v="0"/>
    <s v="Mortgaged"/>
    <n v="12"/>
    <n v="3"/>
    <s v="Yes"/>
    <s v="No"/>
    <x v="0"/>
    <n v="32223"/>
    <x v="86"/>
    <x v="36"/>
    <x v="84"/>
    <x v="1"/>
    <x v="0"/>
    <x v="0"/>
  </r>
  <r>
    <x v="87"/>
    <s v="Natalie Patel"/>
    <x v="20"/>
    <x v="1"/>
    <x v="1"/>
    <s v="Graduate"/>
    <x v="0"/>
    <n v="125584"/>
    <n v="828"/>
    <n v="46924"/>
    <x v="2"/>
    <n v="0.15109999999999998"/>
    <x v="5"/>
    <s v="Mortgaged"/>
    <n v="16"/>
    <n v="1"/>
    <s v="No"/>
    <s v="No"/>
    <x v="4"/>
    <n v="172035"/>
    <x v="87"/>
    <x v="55"/>
    <x v="85"/>
    <x v="1"/>
    <x v="0"/>
    <x v="0"/>
  </r>
  <r>
    <x v="88"/>
    <s v="Michael Howell"/>
    <x v="40"/>
    <x v="1"/>
    <x v="3"/>
    <s v="PhD"/>
    <x v="3"/>
    <n v="23895"/>
    <n v="827"/>
    <n v="45971"/>
    <x v="1"/>
    <n v="0.13419999999999999"/>
    <x v="0"/>
    <s v="Mortgaged"/>
    <n v="20"/>
    <n v="0"/>
    <s v="No"/>
    <s v="No"/>
    <x v="2"/>
    <n v="38463"/>
    <x v="88"/>
    <x v="56"/>
    <x v="86"/>
    <x v="0"/>
    <x v="0"/>
    <x v="0"/>
  </r>
  <r>
    <x v="89"/>
    <s v="Todd James"/>
    <x v="6"/>
    <x v="0"/>
    <x v="3"/>
    <s v="High School"/>
    <x v="3"/>
    <n v="124647"/>
    <n v="827"/>
    <n v="28584"/>
    <x v="0"/>
    <n v="5.6399999999999999E-2"/>
    <x v="3"/>
    <s v="Rented"/>
    <n v="14"/>
    <n v="3"/>
    <s v="Yes"/>
    <s v="No"/>
    <x v="1"/>
    <n v="11598"/>
    <x v="89"/>
    <x v="57"/>
    <x v="87"/>
    <x v="1"/>
    <x v="0"/>
    <x v="0"/>
  </r>
  <r>
    <x v="90"/>
    <s v="Debbie Taylor"/>
    <x v="8"/>
    <x v="0"/>
    <x v="3"/>
    <s v="PhD"/>
    <x v="3"/>
    <n v="127437"/>
    <n v="827"/>
    <n v="11547"/>
    <x v="2"/>
    <n v="0.1696"/>
    <x v="5"/>
    <s v="Mortgaged"/>
    <n v="17"/>
    <n v="3"/>
    <s v="Yes"/>
    <s v="No"/>
    <x v="3"/>
    <n v="3726"/>
    <x v="90"/>
    <x v="49"/>
    <x v="88"/>
    <x v="1"/>
    <x v="0"/>
    <x v="0"/>
  </r>
  <r>
    <x v="91"/>
    <s v="Malik Lane"/>
    <x v="24"/>
    <x v="1"/>
    <x v="2"/>
    <s v="Graduate"/>
    <x v="0"/>
    <n v="29491"/>
    <n v="827"/>
    <n v="22683"/>
    <x v="4"/>
    <n v="0.1348"/>
    <x v="0"/>
    <s v="Mortgaged"/>
    <n v="21"/>
    <n v="4"/>
    <s v="No"/>
    <s v="No"/>
    <x v="4"/>
    <n v="31245"/>
    <x v="91"/>
    <x v="58"/>
    <x v="89"/>
    <x v="0"/>
    <x v="0"/>
    <x v="0"/>
  </r>
  <r>
    <x v="92"/>
    <s v="Chad Davis"/>
    <x v="28"/>
    <x v="1"/>
    <x v="2"/>
    <s v="Postgraduate"/>
    <x v="2"/>
    <n v="25534"/>
    <n v="827"/>
    <n v="33177"/>
    <x v="2"/>
    <n v="9.1199999999999989E-2"/>
    <x v="1"/>
    <s v="Mortgaged"/>
    <n v="10"/>
    <n v="0"/>
    <s v="Yes"/>
    <s v="No"/>
    <x v="4"/>
    <n v="93232"/>
    <x v="92"/>
    <x v="59"/>
    <x v="90"/>
    <x v="1"/>
    <x v="0"/>
    <x v="0"/>
  </r>
  <r>
    <x v="93"/>
    <s v="Cristina Brown MD"/>
    <x v="36"/>
    <x v="0"/>
    <x v="0"/>
    <s v="Postgraduate"/>
    <x v="0"/>
    <n v="45092"/>
    <n v="826"/>
    <n v="10066"/>
    <x v="1"/>
    <n v="6.3200000000000006E-2"/>
    <x v="1"/>
    <s v="Rented"/>
    <n v="11"/>
    <n v="3"/>
    <s v="Yes"/>
    <s v="Yes"/>
    <x v="3"/>
    <n v="24660"/>
    <x v="93"/>
    <x v="60"/>
    <x v="91"/>
    <x v="0"/>
    <x v="0"/>
    <x v="0"/>
  </r>
  <r>
    <x v="94"/>
    <s v="James Gray"/>
    <x v="6"/>
    <x v="1"/>
    <x v="1"/>
    <s v="Postgraduate"/>
    <x v="3"/>
    <n v="137658"/>
    <n v="826"/>
    <n v="32194"/>
    <x v="0"/>
    <n v="0.17499999999999999"/>
    <x v="3"/>
    <s v="Mortgaged"/>
    <n v="25"/>
    <n v="2"/>
    <s v="Yes"/>
    <s v="Yes"/>
    <x v="1"/>
    <n v="179453"/>
    <x v="94"/>
    <x v="42"/>
    <x v="92"/>
    <x v="0"/>
    <x v="0"/>
    <x v="0"/>
  </r>
  <r>
    <x v="95"/>
    <s v="Christine Lewis"/>
    <x v="17"/>
    <x v="1"/>
    <x v="3"/>
    <s v="PhD"/>
    <x v="1"/>
    <n v="147156"/>
    <n v="826"/>
    <n v="4065"/>
    <x v="0"/>
    <n v="5.0900000000000001E-2"/>
    <x v="0"/>
    <s v="Rented"/>
    <n v="17"/>
    <n v="4"/>
    <s v="Yes"/>
    <s v="Yes"/>
    <x v="2"/>
    <n v="182589"/>
    <x v="95"/>
    <x v="61"/>
    <x v="93"/>
    <x v="0"/>
    <x v="0"/>
    <x v="0"/>
  </r>
  <r>
    <x v="96"/>
    <s v="Terri Allen"/>
    <x v="0"/>
    <x v="0"/>
    <x v="2"/>
    <s v="PhD"/>
    <x v="2"/>
    <n v="118072"/>
    <n v="826"/>
    <n v="9884"/>
    <x v="0"/>
    <n v="5.3099999999999994E-2"/>
    <x v="0"/>
    <s v="Rented"/>
    <n v="6"/>
    <n v="1"/>
    <s v="Yes"/>
    <s v="No"/>
    <x v="4"/>
    <n v="111086"/>
    <x v="96"/>
    <x v="42"/>
    <x v="94"/>
    <x v="0"/>
    <x v="0"/>
    <x v="0"/>
  </r>
  <r>
    <x v="97"/>
    <s v="Tracy Hughes"/>
    <x v="26"/>
    <x v="1"/>
    <x v="2"/>
    <s v="PhD"/>
    <x v="1"/>
    <n v="142762"/>
    <n v="826"/>
    <n v="22249"/>
    <x v="1"/>
    <n v="0.16920000000000002"/>
    <x v="2"/>
    <s v="Rented"/>
    <n v="8"/>
    <n v="0"/>
    <s v="Yes"/>
    <s v="Yes"/>
    <x v="2"/>
    <n v="122179"/>
    <x v="97"/>
    <x v="41"/>
    <x v="95"/>
    <x v="1"/>
    <x v="1"/>
    <x v="0"/>
  </r>
  <r>
    <x v="98"/>
    <s v="Sandra Huang"/>
    <x v="4"/>
    <x v="1"/>
    <x v="2"/>
    <s v="High School"/>
    <x v="0"/>
    <n v="117459"/>
    <n v="825"/>
    <n v="37996"/>
    <x v="1"/>
    <n v="0.13949999999999999"/>
    <x v="2"/>
    <s v="Owned"/>
    <n v="16"/>
    <n v="0"/>
    <s v="Yes"/>
    <s v="No"/>
    <x v="1"/>
    <n v="144493"/>
    <x v="98"/>
    <x v="59"/>
    <x v="96"/>
    <x v="1"/>
    <x v="1"/>
    <x v="0"/>
  </r>
  <r>
    <x v="99"/>
    <s v="Kenneth Beltran"/>
    <x v="5"/>
    <x v="0"/>
    <x v="2"/>
    <s v="Postgraduate"/>
    <x v="1"/>
    <n v="149518"/>
    <n v="824"/>
    <n v="5359"/>
    <x v="4"/>
    <n v="5.6399999999999999E-2"/>
    <x v="4"/>
    <s v="Mortgaged"/>
    <n v="28"/>
    <n v="3"/>
    <s v="No"/>
    <s v="Yes"/>
    <x v="2"/>
    <n v="191103"/>
    <x v="99"/>
    <x v="42"/>
    <x v="97"/>
    <x v="0"/>
    <x v="0"/>
    <x v="0"/>
  </r>
  <r>
    <x v="100"/>
    <s v="Nicole Estrada"/>
    <x v="8"/>
    <x v="1"/>
    <x v="3"/>
    <s v="Postgraduate"/>
    <x v="3"/>
    <n v="86922"/>
    <n v="824"/>
    <n v="20310"/>
    <x v="2"/>
    <n v="0.18440000000000001"/>
    <x v="5"/>
    <s v="Rented"/>
    <n v="10"/>
    <n v="1"/>
    <s v="Yes"/>
    <s v="No"/>
    <x v="2"/>
    <n v="178121"/>
    <x v="100"/>
    <x v="17"/>
    <x v="84"/>
    <x v="0"/>
    <x v="1"/>
    <x v="0"/>
  </r>
  <r>
    <x v="101"/>
    <s v="Jacob Peterson"/>
    <x v="41"/>
    <x v="1"/>
    <x v="1"/>
    <s v="Postgraduate"/>
    <x v="3"/>
    <n v="131904"/>
    <n v="824"/>
    <n v="11402"/>
    <x v="0"/>
    <n v="0.11470000000000001"/>
    <x v="1"/>
    <s v="Owned"/>
    <n v="2"/>
    <n v="4"/>
    <s v="No"/>
    <s v="No"/>
    <x v="1"/>
    <n v="40995"/>
    <x v="101"/>
    <x v="59"/>
    <x v="98"/>
    <x v="0"/>
    <x v="0"/>
    <x v="0"/>
  </r>
  <r>
    <x v="102"/>
    <s v="Elizabeth Ortiz"/>
    <x v="5"/>
    <x v="0"/>
    <x v="2"/>
    <s v="PhD"/>
    <x v="1"/>
    <n v="67098"/>
    <n v="824"/>
    <n v="9204"/>
    <x v="3"/>
    <n v="0.1128"/>
    <x v="4"/>
    <s v="Rented"/>
    <n v="29"/>
    <n v="1"/>
    <s v="No"/>
    <s v="No"/>
    <x v="1"/>
    <n v="159701"/>
    <x v="102"/>
    <x v="28"/>
    <x v="86"/>
    <x v="0"/>
    <x v="0"/>
    <x v="0"/>
  </r>
  <r>
    <x v="103"/>
    <s v="Brent Rivera"/>
    <x v="31"/>
    <x v="1"/>
    <x v="0"/>
    <s v="High School"/>
    <x v="1"/>
    <n v="142357"/>
    <n v="822"/>
    <n v="31431"/>
    <x v="2"/>
    <n v="5.74E-2"/>
    <x v="2"/>
    <s v="Mortgaged"/>
    <n v="1"/>
    <n v="4"/>
    <s v="No"/>
    <s v="Yes"/>
    <x v="2"/>
    <n v="49704"/>
    <x v="103"/>
    <x v="10"/>
    <x v="99"/>
    <x v="0"/>
    <x v="1"/>
    <x v="0"/>
  </r>
  <r>
    <x v="104"/>
    <s v="Kevin Nelson"/>
    <x v="0"/>
    <x v="0"/>
    <x v="1"/>
    <s v="High School"/>
    <x v="3"/>
    <n v="68733"/>
    <n v="821"/>
    <n v="13674"/>
    <x v="3"/>
    <n v="0.1623"/>
    <x v="2"/>
    <s v="Owned"/>
    <n v="15"/>
    <n v="1"/>
    <s v="Yes"/>
    <s v="No"/>
    <x v="3"/>
    <n v="189898"/>
    <x v="104"/>
    <x v="8"/>
    <x v="100"/>
    <x v="1"/>
    <x v="1"/>
    <x v="0"/>
  </r>
  <r>
    <x v="105"/>
    <s v="Jenna Collier"/>
    <x v="25"/>
    <x v="0"/>
    <x v="1"/>
    <s v="PhD"/>
    <x v="2"/>
    <n v="73463"/>
    <n v="821"/>
    <n v="46440"/>
    <x v="4"/>
    <n v="0.13419999999999999"/>
    <x v="0"/>
    <s v="Owned"/>
    <n v="5"/>
    <n v="4"/>
    <s v="Yes"/>
    <s v="Yes"/>
    <x v="2"/>
    <n v="82549"/>
    <x v="105"/>
    <x v="30"/>
    <x v="101"/>
    <x v="1"/>
    <x v="0"/>
    <x v="0"/>
  </r>
  <r>
    <x v="106"/>
    <s v="Claudia Duke"/>
    <x v="0"/>
    <x v="1"/>
    <x v="1"/>
    <s v="PhD"/>
    <x v="1"/>
    <n v="77705"/>
    <n v="821"/>
    <n v="9776"/>
    <x v="1"/>
    <n v="0.15259999999999999"/>
    <x v="1"/>
    <s v="Mortgaged"/>
    <n v="6"/>
    <n v="2"/>
    <s v="Yes"/>
    <s v="No"/>
    <x v="0"/>
    <n v="190696"/>
    <x v="106"/>
    <x v="44"/>
    <x v="102"/>
    <x v="0"/>
    <x v="0"/>
    <x v="0"/>
  </r>
  <r>
    <x v="107"/>
    <s v="Wendy Brown"/>
    <x v="26"/>
    <x v="1"/>
    <x v="0"/>
    <s v="High School"/>
    <x v="0"/>
    <n v="96086"/>
    <n v="821"/>
    <n v="45387"/>
    <x v="3"/>
    <n v="0.1416"/>
    <x v="3"/>
    <s v="Mortgaged"/>
    <n v="15"/>
    <n v="4"/>
    <s v="No"/>
    <s v="No"/>
    <x v="3"/>
    <n v="140795"/>
    <x v="107"/>
    <x v="62"/>
    <x v="103"/>
    <x v="1"/>
    <x v="1"/>
    <x v="0"/>
  </r>
  <r>
    <x v="108"/>
    <s v="Jonathan Vasquez"/>
    <x v="34"/>
    <x v="0"/>
    <x v="0"/>
    <s v="Graduate"/>
    <x v="3"/>
    <n v="129987"/>
    <n v="821"/>
    <n v="38997"/>
    <x v="3"/>
    <n v="0.12189999999999999"/>
    <x v="1"/>
    <s v="Mortgaged"/>
    <n v="8"/>
    <n v="3"/>
    <s v="No"/>
    <s v="No"/>
    <x v="3"/>
    <n v="92013"/>
    <x v="108"/>
    <x v="61"/>
    <x v="104"/>
    <x v="0"/>
    <x v="0"/>
    <x v="0"/>
  </r>
  <r>
    <x v="109"/>
    <s v="Adam Vasquez"/>
    <x v="14"/>
    <x v="0"/>
    <x v="1"/>
    <s v="PhD"/>
    <x v="3"/>
    <n v="72021"/>
    <n v="821"/>
    <n v="17042"/>
    <x v="1"/>
    <n v="9.1400000000000009E-2"/>
    <x v="2"/>
    <s v="Mortgaged"/>
    <n v="9"/>
    <n v="0"/>
    <s v="No"/>
    <s v="Yes"/>
    <x v="4"/>
    <n v="47954"/>
    <x v="109"/>
    <x v="36"/>
    <x v="105"/>
    <x v="1"/>
    <x v="0"/>
    <x v="0"/>
  </r>
  <r>
    <x v="110"/>
    <s v="Jacob Salazar"/>
    <x v="28"/>
    <x v="0"/>
    <x v="0"/>
    <s v="Graduate"/>
    <x v="1"/>
    <n v="101110"/>
    <n v="820"/>
    <n v="16701"/>
    <x v="4"/>
    <n v="8.6300000000000002E-2"/>
    <x v="3"/>
    <s v="Rented"/>
    <n v="27"/>
    <n v="1"/>
    <s v="No"/>
    <s v="Yes"/>
    <x v="4"/>
    <n v="31593"/>
    <x v="110"/>
    <x v="63"/>
    <x v="106"/>
    <x v="0"/>
    <x v="0"/>
    <x v="0"/>
  </r>
  <r>
    <x v="111"/>
    <s v="Kevin Farmer"/>
    <x v="38"/>
    <x v="0"/>
    <x v="2"/>
    <s v="Postgraduate"/>
    <x v="0"/>
    <n v="86255"/>
    <n v="820"/>
    <n v="17065"/>
    <x v="3"/>
    <n v="0.1711"/>
    <x v="4"/>
    <s v="Rented"/>
    <n v="17"/>
    <n v="3"/>
    <s v="Yes"/>
    <s v="No"/>
    <x v="1"/>
    <n v="174133"/>
    <x v="111"/>
    <x v="35"/>
    <x v="107"/>
    <x v="0"/>
    <x v="0"/>
    <x v="0"/>
  </r>
  <r>
    <x v="112"/>
    <s v="Jeffery Smith"/>
    <x v="26"/>
    <x v="0"/>
    <x v="1"/>
    <s v="PhD"/>
    <x v="2"/>
    <n v="54318"/>
    <n v="820"/>
    <n v="26474"/>
    <x v="4"/>
    <n v="0.16930000000000001"/>
    <x v="0"/>
    <s v="Rented"/>
    <n v="11"/>
    <n v="4"/>
    <s v="Yes"/>
    <s v="No"/>
    <x v="4"/>
    <n v="137534"/>
    <x v="112"/>
    <x v="58"/>
    <x v="108"/>
    <x v="0"/>
    <x v="0"/>
    <x v="0"/>
  </r>
  <r>
    <x v="113"/>
    <s v="Monica Melendez"/>
    <x v="1"/>
    <x v="1"/>
    <x v="2"/>
    <s v="Graduate"/>
    <x v="1"/>
    <n v="86425"/>
    <n v="820"/>
    <n v="33813"/>
    <x v="1"/>
    <n v="0.15560000000000002"/>
    <x v="5"/>
    <s v="Rented"/>
    <n v="20"/>
    <n v="0"/>
    <s v="Yes"/>
    <s v="No"/>
    <x v="4"/>
    <n v="6897"/>
    <x v="113"/>
    <x v="50"/>
    <x v="109"/>
    <x v="0"/>
    <x v="1"/>
    <x v="0"/>
  </r>
  <r>
    <x v="114"/>
    <s v="Anna Douglas"/>
    <x v="40"/>
    <x v="1"/>
    <x v="1"/>
    <s v="PhD"/>
    <x v="0"/>
    <n v="105781"/>
    <n v="819"/>
    <n v="8410"/>
    <x v="1"/>
    <n v="0.17449999999999999"/>
    <x v="4"/>
    <s v="Owned"/>
    <n v="20"/>
    <n v="1"/>
    <s v="Yes"/>
    <s v="Yes"/>
    <x v="0"/>
    <n v="113476"/>
    <x v="114"/>
    <x v="64"/>
    <x v="110"/>
    <x v="0"/>
    <x v="0"/>
    <x v="0"/>
  </r>
  <r>
    <x v="115"/>
    <s v="Victoria Clark"/>
    <x v="9"/>
    <x v="1"/>
    <x v="3"/>
    <s v="PhD"/>
    <x v="1"/>
    <n v="87847"/>
    <n v="819"/>
    <n v="10474"/>
    <x v="4"/>
    <n v="0.19879999999999998"/>
    <x v="0"/>
    <s v="Rented"/>
    <n v="20"/>
    <n v="1"/>
    <s v="Yes"/>
    <s v="Yes"/>
    <x v="2"/>
    <n v="55504"/>
    <x v="115"/>
    <x v="65"/>
    <x v="111"/>
    <x v="0"/>
    <x v="0"/>
    <x v="0"/>
  </r>
  <r>
    <x v="116"/>
    <s v="Shawn White"/>
    <x v="13"/>
    <x v="0"/>
    <x v="3"/>
    <s v="High School"/>
    <x v="2"/>
    <n v="46572"/>
    <n v="819"/>
    <n v="37923"/>
    <x v="4"/>
    <n v="0.1076"/>
    <x v="4"/>
    <s v="Owned"/>
    <n v="8"/>
    <n v="3"/>
    <s v="No"/>
    <s v="Yes"/>
    <x v="3"/>
    <n v="134058"/>
    <x v="116"/>
    <x v="6"/>
    <x v="112"/>
    <x v="1"/>
    <x v="0"/>
    <x v="0"/>
  </r>
  <r>
    <x v="117"/>
    <s v="Kevin Olson"/>
    <x v="39"/>
    <x v="1"/>
    <x v="2"/>
    <s v="PhD"/>
    <x v="2"/>
    <n v="101494"/>
    <n v="819"/>
    <n v="28018"/>
    <x v="4"/>
    <n v="0.1188"/>
    <x v="3"/>
    <s v="Owned"/>
    <n v="13"/>
    <n v="2"/>
    <s v="No"/>
    <s v="No"/>
    <x v="4"/>
    <n v="107301"/>
    <x v="117"/>
    <x v="66"/>
    <x v="113"/>
    <x v="1"/>
    <x v="0"/>
    <x v="0"/>
  </r>
  <r>
    <x v="118"/>
    <s v="Edward Santana"/>
    <x v="20"/>
    <x v="1"/>
    <x v="0"/>
    <s v="PhD"/>
    <x v="3"/>
    <n v="115419"/>
    <n v="819"/>
    <n v="26102"/>
    <x v="0"/>
    <n v="6.4399999999999999E-2"/>
    <x v="2"/>
    <s v="Mortgaged"/>
    <n v="1"/>
    <n v="2"/>
    <s v="Yes"/>
    <s v="No"/>
    <x v="4"/>
    <n v="190197"/>
    <x v="118"/>
    <x v="55"/>
    <x v="114"/>
    <x v="1"/>
    <x v="0"/>
    <x v="0"/>
  </r>
  <r>
    <x v="119"/>
    <s v="Abigail Green"/>
    <x v="22"/>
    <x v="0"/>
    <x v="1"/>
    <s v="PhD"/>
    <x v="2"/>
    <n v="108090"/>
    <n v="819"/>
    <n v="23099"/>
    <x v="0"/>
    <n v="0.14230000000000001"/>
    <x v="2"/>
    <s v="Mortgaged"/>
    <n v="3"/>
    <n v="2"/>
    <s v="No"/>
    <s v="No"/>
    <x v="1"/>
    <n v="55103"/>
    <x v="119"/>
    <x v="48"/>
    <x v="115"/>
    <x v="1"/>
    <x v="0"/>
    <x v="0"/>
  </r>
  <r>
    <x v="120"/>
    <s v="Terri Bowman"/>
    <x v="2"/>
    <x v="0"/>
    <x v="2"/>
    <s v="Postgraduate"/>
    <x v="0"/>
    <n v="64194"/>
    <n v="819"/>
    <n v="9108"/>
    <x v="0"/>
    <n v="9.0899999999999995E-2"/>
    <x v="2"/>
    <s v="Rented"/>
    <n v="13"/>
    <n v="4"/>
    <s v="Yes"/>
    <s v="Yes"/>
    <x v="4"/>
    <n v="176378"/>
    <x v="120"/>
    <x v="67"/>
    <x v="116"/>
    <x v="1"/>
    <x v="0"/>
    <x v="0"/>
  </r>
  <r>
    <x v="121"/>
    <s v="Billy Rubio"/>
    <x v="19"/>
    <x v="1"/>
    <x v="3"/>
    <s v="High School"/>
    <x v="2"/>
    <n v="107458"/>
    <n v="818"/>
    <n v="29783"/>
    <x v="1"/>
    <n v="6.4199999999999993E-2"/>
    <x v="0"/>
    <s v="Owned"/>
    <n v="21"/>
    <n v="0"/>
    <s v="Yes"/>
    <s v="Yes"/>
    <x v="4"/>
    <n v="44552"/>
    <x v="121"/>
    <x v="68"/>
    <x v="117"/>
    <x v="1"/>
    <x v="1"/>
    <x v="0"/>
  </r>
  <r>
    <x v="122"/>
    <s v="Jacob Vasquez"/>
    <x v="35"/>
    <x v="0"/>
    <x v="2"/>
    <s v="PhD"/>
    <x v="1"/>
    <n v="95701"/>
    <n v="817"/>
    <n v="5722"/>
    <x v="1"/>
    <n v="5.74E-2"/>
    <x v="3"/>
    <s v="Mortgaged"/>
    <n v="3"/>
    <n v="2"/>
    <s v="No"/>
    <s v="Yes"/>
    <x v="4"/>
    <n v="150410"/>
    <x v="122"/>
    <x v="47"/>
    <x v="118"/>
    <x v="0"/>
    <x v="0"/>
    <x v="0"/>
  </r>
  <r>
    <x v="123"/>
    <s v="Morgan Cantu"/>
    <x v="9"/>
    <x v="0"/>
    <x v="2"/>
    <s v="Postgraduate"/>
    <x v="2"/>
    <n v="99888"/>
    <n v="816"/>
    <n v="13812"/>
    <x v="0"/>
    <n v="0.18340000000000001"/>
    <x v="4"/>
    <s v="Owned"/>
    <n v="9"/>
    <n v="0"/>
    <s v="Yes"/>
    <s v="Yes"/>
    <x v="1"/>
    <n v="138459"/>
    <x v="123"/>
    <x v="50"/>
    <x v="119"/>
    <x v="1"/>
    <x v="0"/>
    <x v="0"/>
  </r>
  <r>
    <x v="124"/>
    <s v="Lisa Nelson"/>
    <x v="7"/>
    <x v="0"/>
    <x v="0"/>
    <s v="Graduate"/>
    <x v="1"/>
    <n v="62942"/>
    <n v="816"/>
    <n v="15404"/>
    <x v="2"/>
    <n v="8.7100000000000011E-2"/>
    <x v="1"/>
    <s v="Owned"/>
    <n v="24"/>
    <n v="3"/>
    <s v="No"/>
    <s v="No"/>
    <x v="4"/>
    <n v="19305"/>
    <x v="124"/>
    <x v="9"/>
    <x v="120"/>
    <x v="1"/>
    <x v="0"/>
    <x v="0"/>
  </r>
  <r>
    <x v="125"/>
    <s v="Anna Bowers"/>
    <x v="24"/>
    <x v="1"/>
    <x v="2"/>
    <s v="Graduate"/>
    <x v="3"/>
    <n v="37558"/>
    <n v="816"/>
    <n v="23402"/>
    <x v="0"/>
    <n v="0.16010000000000002"/>
    <x v="5"/>
    <s v="Mortgaged"/>
    <n v="17"/>
    <n v="1"/>
    <s v="No"/>
    <s v="No"/>
    <x v="3"/>
    <n v="183821"/>
    <x v="125"/>
    <x v="9"/>
    <x v="121"/>
    <x v="1"/>
    <x v="0"/>
    <x v="0"/>
  </r>
  <r>
    <x v="126"/>
    <s v="Jose Diaz"/>
    <x v="41"/>
    <x v="1"/>
    <x v="1"/>
    <s v="High School"/>
    <x v="0"/>
    <n v="40719"/>
    <n v="816"/>
    <n v="14973"/>
    <x v="2"/>
    <n v="0.13500000000000001"/>
    <x v="3"/>
    <s v="Owned"/>
    <n v="15"/>
    <n v="3"/>
    <s v="Yes"/>
    <s v="No"/>
    <x v="2"/>
    <n v="33089"/>
    <x v="126"/>
    <x v="69"/>
    <x v="122"/>
    <x v="0"/>
    <x v="0"/>
    <x v="0"/>
  </r>
  <r>
    <x v="127"/>
    <s v="Heather Bass"/>
    <x v="42"/>
    <x v="0"/>
    <x v="0"/>
    <s v="Postgraduate"/>
    <x v="0"/>
    <n v="42398"/>
    <n v="815"/>
    <n v="26279"/>
    <x v="1"/>
    <n v="0.1152"/>
    <x v="4"/>
    <s v="Rented"/>
    <n v="9"/>
    <n v="3"/>
    <s v="No"/>
    <s v="Yes"/>
    <x v="4"/>
    <n v="140631"/>
    <x v="127"/>
    <x v="31"/>
    <x v="123"/>
    <x v="0"/>
    <x v="0"/>
    <x v="0"/>
  </r>
  <r>
    <x v="128"/>
    <s v="Andrew Neal"/>
    <x v="27"/>
    <x v="1"/>
    <x v="0"/>
    <s v="High School"/>
    <x v="1"/>
    <n v="85472"/>
    <n v="815"/>
    <n v="25251"/>
    <x v="2"/>
    <n v="0.18590000000000001"/>
    <x v="4"/>
    <s v="Mortgaged"/>
    <n v="12"/>
    <n v="2"/>
    <s v="No"/>
    <s v="No"/>
    <x v="4"/>
    <n v="113612"/>
    <x v="128"/>
    <x v="32"/>
    <x v="124"/>
    <x v="0"/>
    <x v="0"/>
    <x v="0"/>
  </r>
  <r>
    <x v="129"/>
    <s v="Randall Gordon"/>
    <x v="15"/>
    <x v="1"/>
    <x v="0"/>
    <s v="High School"/>
    <x v="1"/>
    <n v="31017"/>
    <n v="815"/>
    <n v="46211"/>
    <x v="4"/>
    <n v="7.6200000000000004E-2"/>
    <x v="5"/>
    <s v="Rented"/>
    <n v="7"/>
    <n v="4"/>
    <s v="No"/>
    <s v="Yes"/>
    <x v="3"/>
    <n v="35084"/>
    <x v="129"/>
    <x v="60"/>
    <x v="125"/>
    <x v="1"/>
    <x v="0"/>
    <x v="0"/>
  </r>
  <r>
    <x v="130"/>
    <s v="Lisa Garcia"/>
    <x v="20"/>
    <x v="1"/>
    <x v="0"/>
    <s v="PhD"/>
    <x v="2"/>
    <n v="21541"/>
    <n v="814"/>
    <n v="26669"/>
    <x v="4"/>
    <n v="0.12710000000000002"/>
    <x v="1"/>
    <s v="Owned"/>
    <n v="11"/>
    <n v="2"/>
    <s v="Yes"/>
    <s v="Yes"/>
    <x v="0"/>
    <n v="165566"/>
    <x v="130"/>
    <x v="41"/>
    <x v="126"/>
    <x v="0"/>
    <x v="1"/>
    <x v="0"/>
  </r>
  <r>
    <x v="131"/>
    <s v="Michelle Murphy DDS"/>
    <x v="25"/>
    <x v="1"/>
    <x v="1"/>
    <s v="Graduate"/>
    <x v="0"/>
    <n v="143973"/>
    <n v="813"/>
    <n v="15683"/>
    <x v="0"/>
    <n v="0.1472"/>
    <x v="3"/>
    <s v="Rented"/>
    <n v="20"/>
    <n v="2"/>
    <s v="No"/>
    <s v="No"/>
    <x v="4"/>
    <n v="66139"/>
    <x v="131"/>
    <x v="70"/>
    <x v="11"/>
    <x v="1"/>
    <x v="0"/>
    <x v="0"/>
  </r>
  <r>
    <x v="132"/>
    <s v="Matthew West"/>
    <x v="34"/>
    <x v="0"/>
    <x v="3"/>
    <s v="High School"/>
    <x v="3"/>
    <n v="97852"/>
    <n v="813"/>
    <n v="32127"/>
    <x v="3"/>
    <n v="0.15679999999999999"/>
    <x v="1"/>
    <s v="Rented"/>
    <n v="21"/>
    <n v="1"/>
    <s v="No"/>
    <s v="Yes"/>
    <x v="4"/>
    <n v="34173"/>
    <x v="132"/>
    <x v="49"/>
    <x v="127"/>
    <x v="1"/>
    <x v="0"/>
    <x v="0"/>
  </r>
  <r>
    <x v="133"/>
    <s v="Laura Glass MD"/>
    <x v="41"/>
    <x v="1"/>
    <x v="0"/>
    <s v="High School"/>
    <x v="0"/>
    <n v="135436"/>
    <n v="813"/>
    <n v="12826"/>
    <x v="4"/>
    <n v="0.1918"/>
    <x v="2"/>
    <s v="Rented"/>
    <n v="29"/>
    <n v="1"/>
    <s v="No"/>
    <s v="No"/>
    <x v="4"/>
    <n v="188366"/>
    <x v="133"/>
    <x v="71"/>
    <x v="14"/>
    <x v="0"/>
    <x v="1"/>
    <x v="0"/>
  </r>
  <r>
    <x v="134"/>
    <s v="Robert Morgan"/>
    <x v="0"/>
    <x v="0"/>
    <x v="1"/>
    <s v="PhD"/>
    <x v="0"/>
    <n v="44161"/>
    <n v="813"/>
    <n v="6079"/>
    <x v="3"/>
    <n v="0.185"/>
    <x v="2"/>
    <s v="Mortgaged"/>
    <n v="7"/>
    <n v="2"/>
    <s v="No"/>
    <s v="Yes"/>
    <x v="2"/>
    <n v="82386"/>
    <x v="134"/>
    <x v="36"/>
    <x v="128"/>
    <x v="0"/>
    <x v="0"/>
    <x v="0"/>
  </r>
  <r>
    <x v="135"/>
    <s v="Kristin Espinoza"/>
    <x v="13"/>
    <x v="0"/>
    <x v="2"/>
    <s v="Postgraduate"/>
    <x v="3"/>
    <n v="122811"/>
    <n v="812"/>
    <n v="9851"/>
    <x v="3"/>
    <n v="0.1202"/>
    <x v="5"/>
    <s v="Owned"/>
    <n v="27"/>
    <n v="3"/>
    <s v="No"/>
    <s v="No"/>
    <x v="2"/>
    <n v="58271"/>
    <x v="135"/>
    <x v="41"/>
    <x v="129"/>
    <x v="0"/>
    <x v="0"/>
    <x v="0"/>
  </r>
  <r>
    <x v="136"/>
    <s v="William Jacobs"/>
    <x v="35"/>
    <x v="1"/>
    <x v="0"/>
    <s v="Postgraduate"/>
    <x v="2"/>
    <n v="148346"/>
    <n v="812"/>
    <n v="42406"/>
    <x v="0"/>
    <n v="0.19269999999999998"/>
    <x v="0"/>
    <s v="Mortgaged"/>
    <n v="3"/>
    <n v="1"/>
    <s v="Yes"/>
    <s v="Yes"/>
    <x v="1"/>
    <n v="150164"/>
    <x v="136"/>
    <x v="28"/>
    <x v="130"/>
    <x v="0"/>
    <x v="0"/>
    <x v="0"/>
  </r>
  <r>
    <x v="137"/>
    <s v="Candace Friedman"/>
    <x v="36"/>
    <x v="0"/>
    <x v="3"/>
    <s v="Postgraduate"/>
    <x v="0"/>
    <n v="21951"/>
    <n v="812"/>
    <n v="31013"/>
    <x v="3"/>
    <n v="0.13059999999999999"/>
    <x v="4"/>
    <s v="Rented"/>
    <n v="2"/>
    <n v="4"/>
    <s v="Yes"/>
    <s v="No"/>
    <x v="2"/>
    <n v="62372"/>
    <x v="137"/>
    <x v="40"/>
    <x v="131"/>
    <x v="0"/>
    <x v="0"/>
    <x v="0"/>
  </r>
  <r>
    <x v="138"/>
    <s v="Karen Thomas"/>
    <x v="19"/>
    <x v="1"/>
    <x v="1"/>
    <s v="High School"/>
    <x v="3"/>
    <n v="142735"/>
    <n v="812"/>
    <n v="28002"/>
    <x v="1"/>
    <n v="6.2199999999999998E-2"/>
    <x v="5"/>
    <s v="Mortgaged"/>
    <n v="25"/>
    <n v="0"/>
    <s v="No"/>
    <s v="Yes"/>
    <x v="4"/>
    <n v="92464"/>
    <x v="138"/>
    <x v="70"/>
    <x v="132"/>
    <x v="1"/>
    <x v="0"/>
    <x v="0"/>
  </r>
  <r>
    <x v="139"/>
    <s v="Andrew Evans"/>
    <x v="27"/>
    <x v="1"/>
    <x v="0"/>
    <s v="Graduate"/>
    <x v="3"/>
    <n v="114276"/>
    <n v="811"/>
    <n v="8470"/>
    <x v="0"/>
    <n v="7.3099999999999998E-2"/>
    <x v="4"/>
    <s v="Rented"/>
    <n v="3"/>
    <n v="1"/>
    <s v="Yes"/>
    <s v="Yes"/>
    <x v="0"/>
    <n v="140417"/>
    <x v="139"/>
    <x v="62"/>
    <x v="133"/>
    <x v="0"/>
    <x v="0"/>
    <x v="0"/>
  </r>
  <r>
    <x v="140"/>
    <s v="Denise Hatfield"/>
    <x v="20"/>
    <x v="0"/>
    <x v="3"/>
    <s v="High School"/>
    <x v="0"/>
    <n v="30929"/>
    <n v="811"/>
    <n v="36577"/>
    <x v="3"/>
    <n v="0.1517"/>
    <x v="2"/>
    <s v="Owned"/>
    <n v="16"/>
    <n v="3"/>
    <s v="Yes"/>
    <s v="No"/>
    <x v="0"/>
    <n v="62118"/>
    <x v="140"/>
    <x v="13"/>
    <x v="134"/>
    <x v="1"/>
    <x v="0"/>
    <x v="0"/>
  </r>
  <r>
    <x v="141"/>
    <s v="Kristen Scott"/>
    <x v="29"/>
    <x v="0"/>
    <x v="1"/>
    <s v="High School"/>
    <x v="3"/>
    <n v="92069"/>
    <n v="810"/>
    <n v="44625"/>
    <x v="0"/>
    <n v="0.13200000000000001"/>
    <x v="1"/>
    <s v="Rented"/>
    <n v="22"/>
    <n v="0"/>
    <s v="No"/>
    <s v="No"/>
    <x v="2"/>
    <n v="121144"/>
    <x v="141"/>
    <x v="41"/>
    <x v="135"/>
    <x v="1"/>
    <x v="0"/>
    <x v="0"/>
  </r>
  <r>
    <x v="142"/>
    <s v="James Richards"/>
    <x v="33"/>
    <x v="1"/>
    <x v="2"/>
    <s v="PhD"/>
    <x v="2"/>
    <n v="126732"/>
    <n v="810"/>
    <n v="7615"/>
    <x v="4"/>
    <n v="0.13980000000000001"/>
    <x v="1"/>
    <s v="Mortgaged"/>
    <n v="6"/>
    <n v="1"/>
    <s v="Yes"/>
    <s v="Yes"/>
    <x v="2"/>
    <n v="168443"/>
    <x v="142"/>
    <x v="62"/>
    <x v="136"/>
    <x v="1"/>
    <x v="0"/>
    <x v="0"/>
  </r>
  <r>
    <x v="143"/>
    <s v="Brenda Lane"/>
    <x v="16"/>
    <x v="1"/>
    <x v="3"/>
    <s v="PhD"/>
    <x v="2"/>
    <n v="44485"/>
    <n v="810"/>
    <n v="20047"/>
    <x v="1"/>
    <n v="0.1598"/>
    <x v="2"/>
    <s v="Rented"/>
    <n v="8"/>
    <n v="2"/>
    <s v="No"/>
    <s v="No"/>
    <x v="2"/>
    <n v="40909"/>
    <x v="143"/>
    <x v="27"/>
    <x v="104"/>
    <x v="0"/>
    <x v="0"/>
    <x v="0"/>
  </r>
  <r>
    <x v="144"/>
    <s v="Valerie Mckee"/>
    <x v="1"/>
    <x v="0"/>
    <x v="2"/>
    <s v="Postgraduate"/>
    <x v="2"/>
    <n v="71742"/>
    <n v="809"/>
    <n v="13771"/>
    <x v="3"/>
    <n v="0.15259999999999999"/>
    <x v="1"/>
    <s v="Mortgaged"/>
    <n v="12"/>
    <n v="2"/>
    <s v="Yes"/>
    <s v="Yes"/>
    <x v="2"/>
    <n v="176148"/>
    <x v="144"/>
    <x v="60"/>
    <x v="137"/>
    <x v="0"/>
    <x v="1"/>
    <x v="0"/>
  </r>
  <r>
    <x v="145"/>
    <s v="Angela Nelson"/>
    <x v="19"/>
    <x v="1"/>
    <x v="0"/>
    <s v="PhD"/>
    <x v="3"/>
    <n v="149457"/>
    <n v="809"/>
    <n v="13300"/>
    <x v="2"/>
    <n v="6.7799999999999999E-2"/>
    <x v="4"/>
    <s v="Rented"/>
    <n v="24"/>
    <n v="3"/>
    <s v="Yes"/>
    <s v="No"/>
    <x v="2"/>
    <n v="160369"/>
    <x v="145"/>
    <x v="72"/>
    <x v="94"/>
    <x v="0"/>
    <x v="0"/>
    <x v="0"/>
  </r>
  <r>
    <x v="146"/>
    <s v="Sharon Fowler"/>
    <x v="10"/>
    <x v="1"/>
    <x v="1"/>
    <s v="Graduate"/>
    <x v="0"/>
    <n v="91805"/>
    <n v="809"/>
    <n v="38389"/>
    <x v="1"/>
    <n v="0.1711"/>
    <x v="3"/>
    <s v="Rented"/>
    <n v="15"/>
    <n v="3"/>
    <s v="Yes"/>
    <s v="No"/>
    <x v="1"/>
    <n v="124798"/>
    <x v="146"/>
    <x v="6"/>
    <x v="138"/>
    <x v="0"/>
    <x v="0"/>
    <x v="0"/>
  </r>
  <r>
    <x v="147"/>
    <s v="Rose Sharp"/>
    <x v="25"/>
    <x v="1"/>
    <x v="3"/>
    <s v="High School"/>
    <x v="2"/>
    <n v="74703"/>
    <n v="809"/>
    <n v="4664"/>
    <x v="0"/>
    <n v="5.9699999999999996E-2"/>
    <x v="3"/>
    <s v="Owned"/>
    <n v="9"/>
    <n v="2"/>
    <s v="Yes"/>
    <s v="No"/>
    <x v="0"/>
    <n v="64190"/>
    <x v="147"/>
    <x v="51"/>
    <x v="139"/>
    <x v="1"/>
    <x v="0"/>
    <x v="0"/>
  </r>
  <r>
    <x v="148"/>
    <s v="Rhonda Smith"/>
    <x v="18"/>
    <x v="1"/>
    <x v="2"/>
    <s v="High School"/>
    <x v="0"/>
    <n v="74362"/>
    <n v="808"/>
    <n v="28180"/>
    <x v="3"/>
    <n v="0.12839999999999999"/>
    <x v="4"/>
    <s v="Rented"/>
    <n v="20"/>
    <n v="4"/>
    <s v="No"/>
    <s v="No"/>
    <x v="4"/>
    <n v="189692"/>
    <x v="148"/>
    <x v="30"/>
    <x v="140"/>
    <x v="0"/>
    <x v="1"/>
    <x v="0"/>
  </r>
  <r>
    <x v="149"/>
    <s v="Kristen Kirk"/>
    <x v="37"/>
    <x v="0"/>
    <x v="3"/>
    <s v="Postgraduate"/>
    <x v="3"/>
    <n v="47027"/>
    <n v="808"/>
    <n v="30739"/>
    <x v="1"/>
    <n v="0.17249999999999999"/>
    <x v="2"/>
    <s v="Mortgaged"/>
    <n v="5"/>
    <n v="1"/>
    <s v="No"/>
    <s v="No"/>
    <x v="1"/>
    <n v="197386"/>
    <x v="149"/>
    <x v="54"/>
    <x v="141"/>
    <x v="1"/>
    <x v="0"/>
    <x v="0"/>
  </r>
  <r>
    <x v="150"/>
    <s v="Karen Garcia"/>
    <x v="17"/>
    <x v="1"/>
    <x v="0"/>
    <s v="PhD"/>
    <x v="0"/>
    <n v="58931"/>
    <n v="808"/>
    <n v="35722"/>
    <x v="0"/>
    <n v="8.2500000000000004E-2"/>
    <x v="2"/>
    <s v="Rented"/>
    <n v="10"/>
    <n v="1"/>
    <s v="No"/>
    <s v="No"/>
    <x v="0"/>
    <n v="119287"/>
    <x v="150"/>
    <x v="24"/>
    <x v="142"/>
    <x v="0"/>
    <x v="0"/>
    <x v="0"/>
  </r>
  <r>
    <x v="151"/>
    <s v="Debra Weber"/>
    <x v="25"/>
    <x v="0"/>
    <x v="3"/>
    <s v="PhD"/>
    <x v="2"/>
    <n v="36559"/>
    <n v="807"/>
    <n v="47008"/>
    <x v="1"/>
    <n v="0.17649999999999999"/>
    <x v="4"/>
    <s v="Mortgaged"/>
    <n v="4"/>
    <n v="1"/>
    <s v="Yes"/>
    <s v="Yes"/>
    <x v="3"/>
    <n v="6959"/>
    <x v="151"/>
    <x v="61"/>
    <x v="143"/>
    <x v="0"/>
    <x v="0"/>
    <x v="0"/>
  </r>
  <r>
    <x v="152"/>
    <s v="Amber Miller"/>
    <x v="1"/>
    <x v="1"/>
    <x v="2"/>
    <s v="High School"/>
    <x v="0"/>
    <n v="117003"/>
    <n v="807"/>
    <n v="24996"/>
    <x v="2"/>
    <n v="0.1149"/>
    <x v="3"/>
    <s v="Mortgaged"/>
    <n v="10"/>
    <n v="2"/>
    <s v="No"/>
    <s v="No"/>
    <x v="2"/>
    <n v="19558"/>
    <x v="152"/>
    <x v="60"/>
    <x v="144"/>
    <x v="1"/>
    <x v="0"/>
    <x v="0"/>
  </r>
  <r>
    <x v="153"/>
    <s v="Matthew Flores"/>
    <x v="34"/>
    <x v="0"/>
    <x v="2"/>
    <s v="Postgraduate"/>
    <x v="1"/>
    <n v="102143"/>
    <n v="807"/>
    <n v="2922"/>
    <x v="1"/>
    <n v="0.1008"/>
    <x v="4"/>
    <s v="Mortgaged"/>
    <n v="29"/>
    <n v="2"/>
    <s v="Yes"/>
    <s v="No"/>
    <x v="2"/>
    <n v="85230"/>
    <x v="153"/>
    <x v="33"/>
    <x v="145"/>
    <x v="0"/>
    <x v="0"/>
    <x v="0"/>
  </r>
  <r>
    <x v="154"/>
    <s v="Joseph Reed"/>
    <x v="4"/>
    <x v="0"/>
    <x v="2"/>
    <s v="PhD"/>
    <x v="2"/>
    <n v="55010"/>
    <n v="806"/>
    <n v="27598"/>
    <x v="1"/>
    <n v="7.4900000000000008E-2"/>
    <x v="3"/>
    <s v="Mortgaged"/>
    <n v="20"/>
    <n v="1"/>
    <s v="Yes"/>
    <s v="Yes"/>
    <x v="0"/>
    <n v="78466"/>
    <x v="154"/>
    <x v="73"/>
    <x v="146"/>
    <x v="1"/>
    <x v="0"/>
    <x v="0"/>
  </r>
  <r>
    <x v="155"/>
    <s v="Tabitha Miller"/>
    <x v="3"/>
    <x v="1"/>
    <x v="1"/>
    <s v="Postgraduate"/>
    <x v="0"/>
    <n v="31437"/>
    <n v="805"/>
    <n v="4464"/>
    <x v="0"/>
    <n v="0.1643"/>
    <x v="3"/>
    <s v="Owned"/>
    <n v="14"/>
    <n v="2"/>
    <s v="Yes"/>
    <s v="Yes"/>
    <x v="2"/>
    <n v="96774"/>
    <x v="155"/>
    <x v="65"/>
    <x v="147"/>
    <x v="0"/>
    <x v="1"/>
    <x v="0"/>
  </r>
  <r>
    <x v="156"/>
    <s v="Glenda Bailey"/>
    <x v="27"/>
    <x v="1"/>
    <x v="2"/>
    <s v="PhD"/>
    <x v="2"/>
    <n v="25057"/>
    <n v="805"/>
    <n v="19907"/>
    <x v="3"/>
    <n v="0.16750000000000001"/>
    <x v="0"/>
    <s v="Rented"/>
    <n v="16"/>
    <n v="1"/>
    <s v="No"/>
    <s v="No"/>
    <x v="2"/>
    <n v="124188"/>
    <x v="156"/>
    <x v="36"/>
    <x v="148"/>
    <x v="1"/>
    <x v="0"/>
    <x v="0"/>
  </r>
  <r>
    <x v="157"/>
    <s v="Victoria Butler"/>
    <x v="41"/>
    <x v="0"/>
    <x v="3"/>
    <s v="PhD"/>
    <x v="0"/>
    <n v="20595"/>
    <n v="805"/>
    <n v="5030"/>
    <x v="2"/>
    <n v="0.12050000000000001"/>
    <x v="3"/>
    <s v="Mortgaged"/>
    <n v="16"/>
    <n v="1"/>
    <s v="Yes"/>
    <s v="No"/>
    <x v="4"/>
    <n v="138485"/>
    <x v="157"/>
    <x v="38"/>
    <x v="149"/>
    <x v="1"/>
    <x v="0"/>
    <x v="0"/>
  </r>
  <r>
    <x v="158"/>
    <s v="Joseph Hopkins"/>
    <x v="42"/>
    <x v="0"/>
    <x v="3"/>
    <s v="PhD"/>
    <x v="1"/>
    <n v="86060"/>
    <n v="804"/>
    <n v="48358"/>
    <x v="2"/>
    <n v="0.1754"/>
    <x v="2"/>
    <s v="Mortgaged"/>
    <n v="20"/>
    <n v="1"/>
    <s v="No"/>
    <s v="No"/>
    <x v="4"/>
    <n v="18358"/>
    <x v="158"/>
    <x v="59"/>
    <x v="150"/>
    <x v="0"/>
    <x v="0"/>
    <x v="0"/>
  </r>
  <r>
    <x v="159"/>
    <s v="Brent Garza"/>
    <x v="2"/>
    <x v="1"/>
    <x v="2"/>
    <s v="PhD"/>
    <x v="2"/>
    <n v="124823"/>
    <n v="804"/>
    <n v="22804"/>
    <x v="4"/>
    <n v="9.6600000000000005E-2"/>
    <x v="2"/>
    <s v="Owned"/>
    <n v="14"/>
    <n v="4"/>
    <s v="Yes"/>
    <s v="Yes"/>
    <x v="1"/>
    <n v="86214"/>
    <x v="159"/>
    <x v="19"/>
    <x v="151"/>
    <x v="0"/>
    <x v="0"/>
    <x v="0"/>
  </r>
  <r>
    <x v="160"/>
    <s v="Austin Barry"/>
    <x v="5"/>
    <x v="0"/>
    <x v="3"/>
    <s v="PhD"/>
    <x v="3"/>
    <n v="28399"/>
    <n v="803"/>
    <n v="14864"/>
    <x v="1"/>
    <n v="0.1734"/>
    <x v="3"/>
    <s v="Mortgaged"/>
    <n v="9"/>
    <n v="2"/>
    <s v="Yes"/>
    <s v="No"/>
    <x v="2"/>
    <n v="83857"/>
    <x v="160"/>
    <x v="19"/>
    <x v="152"/>
    <x v="1"/>
    <x v="0"/>
    <x v="0"/>
  </r>
  <r>
    <x v="161"/>
    <s v="Ricardo Smith"/>
    <x v="10"/>
    <x v="1"/>
    <x v="0"/>
    <s v="Postgraduate"/>
    <x v="1"/>
    <n v="149557"/>
    <n v="803"/>
    <n v="9176"/>
    <x v="4"/>
    <n v="6.5700000000000008E-2"/>
    <x v="5"/>
    <s v="Mortgaged"/>
    <n v="3"/>
    <n v="0"/>
    <s v="No"/>
    <s v="No"/>
    <x v="3"/>
    <n v="39794"/>
    <x v="161"/>
    <x v="63"/>
    <x v="153"/>
    <x v="1"/>
    <x v="0"/>
    <x v="0"/>
  </r>
  <r>
    <x v="162"/>
    <s v="Cynthia Williams"/>
    <x v="42"/>
    <x v="1"/>
    <x v="1"/>
    <s v="Graduate"/>
    <x v="0"/>
    <n v="67657"/>
    <n v="803"/>
    <n v="30782"/>
    <x v="3"/>
    <n v="9.6799999999999997E-2"/>
    <x v="0"/>
    <s v="Rented"/>
    <n v="2"/>
    <n v="0"/>
    <s v="No"/>
    <s v="No"/>
    <x v="2"/>
    <n v="152252"/>
    <x v="162"/>
    <x v="60"/>
    <x v="154"/>
    <x v="1"/>
    <x v="0"/>
    <x v="0"/>
  </r>
  <r>
    <x v="163"/>
    <s v="Tammy Valdez"/>
    <x v="15"/>
    <x v="1"/>
    <x v="2"/>
    <s v="Graduate"/>
    <x v="2"/>
    <n v="70341"/>
    <n v="802"/>
    <n v="14080"/>
    <x v="1"/>
    <n v="0.10460000000000001"/>
    <x v="4"/>
    <s v="Owned"/>
    <n v="13"/>
    <n v="1"/>
    <s v="No"/>
    <s v="Yes"/>
    <x v="4"/>
    <n v="71831"/>
    <x v="163"/>
    <x v="13"/>
    <x v="155"/>
    <x v="1"/>
    <x v="0"/>
    <x v="0"/>
  </r>
  <r>
    <x v="164"/>
    <s v="Kara Valdez"/>
    <x v="15"/>
    <x v="1"/>
    <x v="2"/>
    <s v="Postgraduate"/>
    <x v="2"/>
    <n v="60927"/>
    <n v="802"/>
    <n v="19170"/>
    <x v="3"/>
    <n v="5.5300000000000002E-2"/>
    <x v="5"/>
    <s v="Rented"/>
    <n v="29"/>
    <n v="0"/>
    <s v="Yes"/>
    <s v="Yes"/>
    <x v="0"/>
    <n v="132273"/>
    <x v="164"/>
    <x v="27"/>
    <x v="156"/>
    <x v="0"/>
    <x v="0"/>
    <x v="0"/>
  </r>
  <r>
    <x v="165"/>
    <s v="David James"/>
    <x v="7"/>
    <x v="0"/>
    <x v="1"/>
    <s v="Postgraduate"/>
    <x v="2"/>
    <n v="55031"/>
    <n v="802"/>
    <n v="49293"/>
    <x v="1"/>
    <n v="0.113"/>
    <x v="2"/>
    <s v="Rented"/>
    <n v="24"/>
    <n v="4"/>
    <s v="Yes"/>
    <s v="Yes"/>
    <x v="0"/>
    <n v="149517"/>
    <x v="165"/>
    <x v="49"/>
    <x v="157"/>
    <x v="0"/>
    <x v="0"/>
    <x v="0"/>
  </r>
  <r>
    <x v="166"/>
    <s v="Kimberly Jones"/>
    <x v="42"/>
    <x v="0"/>
    <x v="0"/>
    <s v="PhD"/>
    <x v="2"/>
    <n v="113710"/>
    <n v="802"/>
    <n v="19030"/>
    <x v="2"/>
    <n v="8.2799999999999999E-2"/>
    <x v="5"/>
    <s v="Rented"/>
    <n v="11"/>
    <n v="4"/>
    <s v="No"/>
    <s v="No"/>
    <x v="3"/>
    <n v="80366"/>
    <x v="166"/>
    <x v="45"/>
    <x v="158"/>
    <x v="0"/>
    <x v="0"/>
    <x v="0"/>
  </r>
  <r>
    <x v="167"/>
    <s v="Lauren Miller"/>
    <x v="40"/>
    <x v="0"/>
    <x v="1"/>
    <s v="Postgraduate"/>
    <x v="0"/>
    <n v="119468"/>
    <n v="802"/>
    <n v="35010"/>
    <x v="2"/>
    <n v="0.19260000000000002"/>
    <x v="1"/>
    <s v="Mortgaged"/>
    <n v="22"/>
    <n v="4"/>
    <s v="No"/>
    <s v="No"/>
    <x v="4"/>
    <n v="59094"/>
    <x v="167"/>
    <x v="51"/>
    <x v="159"/>
    <x v="0"/>
    <x v="0"/>
    <x v="0"/>
  </r>
  <r>
    <x v="168"/>
    <s v="Ashley Wilson"/>
    <x v="24"/>
    <x v="1"/>
    <x v="1"/>
    <s v="High School"/>
    <x v="3"/>
    <n v="122097"/>
    <n v="802"/>
    <n v="28690"/>
    <x v="4"/>
    <n v="0.1782"/>
    <x v="3"/>
    <s v="Rented"/>
    <n v="19"/>
    <n v="2"/>
    <s v="No"/>
    <s v="No"/>
    <x v="3"/>
    <n v="148695"/>
    <x v="168"/>
    <x v="74"/>
    <x v="160"/>
    <x v="0"/>
    <x v="0"/>
    <x v="0"/>
  </r>
  <r>
    <x v="169"/>
    <s v="Michael Smith"/>
    <x v="29"/>
    <x v="0"/>
    <x v="3"/>
    <s v="Graduate"/>
    <x v="3"/>
    <n v="79758"/>
    <n v="802"/>
    <n v="43443"/>
    <x v="0"/>
    <n v="0.13300000000000001"/>
    <x v="0"/>
    <s v="Mortgaged"/>
    <n v="23"/>
    <n v="0"/>
    <s v="No"/>
    <s v="No"/>
    <x v="4"/>
    <n v="193847"/>
    <x v="169"/>
    <x v="16"/>
    <x v="161"/>
    <x v="1"/>
    <x v="0"/>
    <x v="0"/>
  </r>
  <r>
    <x v="170"/>
    <s v="William Cooper"/>
    <x v="27"/>
    <x v="1"/>
    <x v="2"/>
    <s v="PhD"/>
    <x v="1"/>
    <n v="44014"/>
    <n v="802"/>
    <n v="43749"/>
    <x v="1"/>
    <n v="6.6699999999999995E-2"/>
    <x v="5"/>
    <s v="Rented"/>
    <n v="4"/>
    <n v="4"/>
    <s v="No"/>
    <s v="No"/>
    <x v="4"/>
    <n v="144594"/>
    <x v="170"/>
    <x v="4"/>
    <x v="162"/>
    <x v="1"/>
    <x v="0"/>
    <x v="0"/>
  </r>
  <r>
    <x v="171"/>
    <s v="Jennifer Baird"/>
    <x v="29"/>
    <x v="1"/>
    <x v="1"/>
    <s v="Graduate"/>
    <x v="3"/>
    <n v="145788"/>
    <n v="801"/>
    <n v="11363"/>
    <x v="1"/>
    <n v="0.12990000000000002"/>
    <x v="0"/>
    <s v="Rented"/>
    <n v="23"/>
    <n v="2"/>
    <s v="No"/>
    <s v="No"/>
    <x v="4"/>
    <n v="193724"/>
    <x v="171"/>
    <x v="43"/>
    <x v="163"/>
    <x v="1"/>
    <x v="1"/>
    <x v="0"/>
  </r>
  <r>
    <x v="172"/>
    <s v="Ashley Vasquez"/>
    <x v="22"/>
    <x v="0"/>
    <x v="1"/>
    <s v="PhD"/>
    <x v="2"/>
    <n v="94702"/>
    <n v="801"/>
    <n v="10114"/>
    <x v="0"/>
    <n v="9.1300000000000006E-2"/>
    <x v="4"/>
    <s v="Mortgaged"/>
    <n v="25"/>
    <n v="2"/>
    <s v="No"/>
    <s v="No"/>
    <x v="1"/>
    <n v="65064"/>
    <x v="172"/>
    <x v="75"/>
    <x v="164"/>
    <x v="0"/>
    <x v="0"/>
    <x v="0"/>
  </r>
  <r>
    <x v="173"/>
    <s v="Heidi Fleming"/>
    <x v="10"/>
    <x v="1"/>
    <x v="2"/>
    <s v="Graduate"/>
    <x v="0"/>
    <n v="75206"/>
    <n v="801"/>
    <n v="25824"/>
    <x v="2"/>
    <n v="0.10199999999999999"/>
    <x v="5"/>
    <s v="Mortgaged"/>
    <n v="5"/>
    <n v="2"/>
    <s v="No"/>
    <s v="Yes"/>
    <x v="3"/>
    <n v="105846"/>
    <x v="173"/>
    <x v="69"/>
    <x v="165"/>
    <x v="1"/>
    <x v="0"/>
    <x v="0"/>
  </r>
  <r>
    <x v="174"/>
    <s v="Brandon Quinn"/>
    <x v="22"/>
    <x v="1"/>
    <x v="3"/>
    <s v="PhD"/>
    <x v="1"/>
    <n v="24581"/>
    <n v="801"/>
    <n v="1722"/>
    <x v="0"/>
    <n v="0.19589999999999999"/>
    <x v="3"/>
    <s v="Rented"/>
    <n v="10"/>
    <n v="0"/>
    <s v="No"/>
    <s v="Yes"/>
    <x v="2"/>
    <n v="79987"/>
    <x v="174"/>
    <x v="62"/>
    <x v="166"/>
    <x v="0"/>
    <x v="0"/>
    <x v="0"/>
  </r>
  <r>
    <x v="175"/>
    <s v="Monica Gonzales"/>
    <x v="8"/>
    <x v="0"/>
    <x v="1"/>
    <s v="Graduate"/>
    <x v="1"/>
    <n v="130163"/>
    <n v="801"/>
    <n v="14697"/>
    <x v="0"/>
    <n v="7.3300000000000004E-2"/>
    <x v="0"/>
    <s v="Rented"/>
    <n v="3"/>
    <n v="3"/>
    <s v="Yes"/>
    <s v="Yes"/>
    <x v="2"/>
    <n v="134644"/>
    <x v="175"/>
    <x v="62"/>
    <x v="167"/>
    <x v="0"/>
    <x v="0"/>
    <x v="0"/>
  </r>
  <r>
    <x v="176"/>
    <s v="Natalie Hansen"/>
    <x v="2"/>
    <x v="1"/>
    <x v="1"/>
    <s v="Postgraduate"/>
    <x v="2"/>
    <n v="71507"/>
    <n v="801"/>
    <n v="7608"/>
    <x v="0"/>
    <n v="0.12130000000000001"/>
    <x v="2"/>
    <s v="Owned"/>
    <n v="25"/>
    <n v="2"/>
    <s v="No"/>
    <s v="No"/>
    <x v="3"/>
    <n v="164313"/>
    <x v="176"/>
    <x v="17"/>
    <x v="168"/>
    <x v="1"/>
    <x v="0"/>
    <x v="0"/>
  </r>
  <r>
    <x v="177"/>
    <s v="Martin Perry"/>
    <x v="34"/>
    <x v="0"/>
    <x v="2"/>
    <s v="Graduate"/>
    <x v="0"/>
    <n v="103028"/>
    <n v="800"/>
    <n v="34387"/>
    <x v="0"/>
    <n v="0.11310000000000001"/>
    <x v="2"/>
    <s v="Mortgaged"/>
    <n v="21"/>
    <n v="3"/>
    <s v="Yes"/>
    <s v="Yes"/>
    <x v="4"/>
    <n v="92340"/>
    <x v="177"/>
    <x v="63"/>
    <x v="169"/>
    <x v="0"/>
    <x v="0"/>
    <x v="0"/>
  </r>
  <r>
    <x v="178"/>
    <s v="Scott Nicholson"/>
    <x v="18"/>
    <x v="1"/>
    <x v="1"/>
    <s v="PhD"/>
    <x v="3"/>
    <n v="118682"/>
    <n v="800"/>
    <n v="47211"/>
    <x v="4"/>
    <n v="0.1363"/>
    <x v="0"/>
    <s v="Mortgaged"/>
    <n v="11"/>
    <n v="3"/>
    <s v="No"/>
    <s v="Yes"/>
    <x v="0"/>
    <n v="18030"/>
    <x v="178"/>
    <x v="17"/>
    <x v="170"/>
    <x v="1"/>
    <x v="0"/>
    <x v="0"/>
  </r>
  <r>
    <x v="179"/>
    <s v="Brian Lewis"/>
    <x v="1"/>
    <x v="1"/>
    <x v="0"/>
    <s v="Postgraduate"/>
    <x v="2"/>
    <n v="122399"/>
    <n v="799"/>
    <n v="10916"/>
    <x v="0"/>
    <n v="0.12050000000000001"/>
    <x v="5"/>
    <s v="Mortgaged"/>
    <n v="17"/>
    <n v="1"/>
    <s v="No"/>
    <s v="Yes"/>
    <x v="0"/>
    <n v="7103"/>
    <x v="179"/>
    <x v="30"/>
    <x v="40"/>
    <x v="1"/>
    <x v="0"/>
    <x v="0"/>
  </r>
  <r>
    <x v="180"/>
    <s v="Sarah Mendoza"/>
    <x v="29"/>
    <x v="1"/>
    <x v="1"/>
    <s v="High School"/>
    <x v="2"/>
    <n v="85867"/>
    <n v="799"/>
    <n v="12280"/>
    <x v="4"/>
    <n v="0.10369999999999999"/>
    <x v="4"/>
    <s v="Owned"/>
    <n v="10"/>
    <n v="0"/>
    <s v="Yes"/>
    <s v="Yes"/>
    <x v="4"/>
    <n v="141113"/>
    <x v="180"/>
    <x v="12"/>
    <x v="171"/>
    <x v="0"/>
    <x v="0"/>
    <x v="0"/>
  </r>
  <r>
    <x v="181"/>
    <s v="Michelle Simpson"/>
    <x v="27"/>
    <x v="0"/>
    <x v="0"/>
    <s v="High School"/>
    <x v="1"/>
    <n v="128721"/>
    <n v="798"/>
    <n v="6193"/>
    <x v="3"/>
    <n v="6.9599999999999995E-2"/>
    <x v="4"/>
    <s v="Mortgaged"/>
    <n v="1"/>
    <n v="4"/>
    <s v="No"/>
    <s v="No"/>
    <x v="3"/>
    <n v="44401"/>
    <x v="181"/>
    <x v="25"/>
    <x v="172"/>
    <x v="0"/>
    <x v="0"/>
    <x v="0"/>
  </r>
  <r>
    <x v="182"/>
    <s v="Jake Lane"/>
    <x v="2"/>
    <x v="1"/>
    <x v="0"/>
    <s v="Postgraduate"/>
    <x v="3"/>
    <n v="103029"/>
    <n v="798"/>
    <n v="48020"/>
    <x v="4"/>
    <n v="8.2699999999999996E-2"/>
    <x v="0"/>
    <s v="Mortgaged"/>
    <n v="19"/>
    <n v="0"/>
    <s v="Yes"/>
    <s v="Yes"/>
    <x v="0"/>
    <n v="4406"/>
    <x v="182"/>
    <x v="3"/>
    <x v="173"/>
    <x v="0"/>
    <x v="0"/>
    <x v="0"/>
  </r>
  <r>
    <x v="183"/>
    <s v="Jesse Riley"/>
    <x v="32"/>
    <x v="1"/>
    <x v="3"/>
    <s v="High School"/>
    <x v="3"/>
    <n v="92782"/>
    <n v="798"/>
    <n v="36024"/>
    <x v="4"/>
    <n v="8.6300000000000002E-2"/>
    <x v="5"/>
    <s v="Mortgaged"/>
    <n v="16"/>
    <n v="1"/>
    <s v="Yes"/>
    <s v="Yes"/>
    <x v="4"/>
    <n v="97289"/>
    <x v="183"/>
    <x v="71"/>
    <x v="174"/>
    <x v="1"/>
    <x v="0"/>
    <x v="0"/>
  </r>
  <r>
    <x v="184"/>
    <s v="Stephen Mayo"/>
    <x v="14"/>
    <x v="1"/>
    <x v="0"/>
    <s v="PhD"/>
    <x v="1"/>
    <n v="127099"/>
    <n v="798"/>
    <n v="2667"/>
    <x v="3"/>
    <n v="0.19539999999999999"/>
    <x v="5"/>
    <s v="Mortgaged"/>
    <n v="19"/>
    <n v="4"/>
    <s v="No"/>
    <s v="No"/>
    <x v="1"/>
    <n v="115434"/>
    <x v="184"/>
    <x v="51"/>
    <x v="175"/>
    <x v="1"/>
    <x v="0"/>
    <x v="0"/>
  </r>
  <r>
    <x v="185"/>
    <s v="Nicholas Lewis"/>
    <x v="1"/>
    <x v="1"/>
    <x v="0"/>
    <s v="Postgraduate"/>
    <x v="2"/>
    <n v="144877"/>
    <n v="797"/>
    <n v="30119"/>
    <x v="4"/>
    <n v="0.12820000000000001"/>
    <x v="0"/>
    <s v="Rented"/>
    <n v="23"/>
    <n v="2"/>
    <s v="Yes"/>
    <s v="Yes"/>
    <x v="3"/>
    <n v="159787"/>
    <x v="185"/>
    <x v="14"/>
    <x v="176"/>
    <x v="1"/>
    <x v="1"/>
    <x v="0"/>
  </r>
  <r>
    <x v="186"/>
    <s v="Ashley Hunt"/>
    <x v="29"/>
    <x v="1"/>
    <x v="3"/>
    <s v="Graduate"/>
    <x v="2"/>
    <n v="116544"/>
    <n v="797"/>
    <n v="10481"/>
    <x v="1"/>
    <n v="0.1449"/>
    <x v="4"/>
    <s v="Mortgaged"/>
    <n v="21"/>
    <n v="4"/>
    <s v="No"/>
    <s v="Yes"/>
    <x v="3"/>
    <n v="89947"/>
    <x v="186"/>
    <x v="29"/>
    <x v="177"/>
    <x v="1"/>
    <x v="1"/>
    <x v="0"/>
  </r>
  <r>
    <x v="187"/>
    <s v="Sarah Little"/>
    <x v="29"/>
    <x v="1"/>
    <x v="2"/>
    <s v="High School"/>
    <x v="0"/>
    <n v="94323"/>
    <n v="796"/>
    <n v="44952"/>
    <x v="3"/>
    <n v="0.1033"/>
    <x v="1"/>
    <s v="Owned"/>
    <n v="2"/>
    <n v="0"/>
    <s v="No"/>
    <s v="Yes"/>
    <x v="4"/>
    <n v="48443"/>
    <x v="187"/>
    <x v="40"/>
    <x v="178"/>
    <x v="1"/>
    <x v="0"/>
    <x v="0"/>
  </r>
  <r>
    <x v="188"/>
    <s v="Barbara Lopez"/>
    <x v="11"/>
    <x v="0"/>
    <x v="2"/>
    <s v="PhD"/>
    <x v="2"/>
    <n v="61846"/>
    <n v="796"/>
    <n v="27189"/>
    <x v="0"/>
    <n v="0.152"/>
    <x v="3"/>
    <s v="Rented"/>
    <n v="20"/>
    <n v="0"/>
    <s v="No"/>
    <s v="No"/>
    <x v="2"/>
    <n v="20010"/>
    <x v="188"/>
    <x v="73"/>
    <x v="179"/>
    <x v="1"/>
    <x v="0"/>
    <x v="0"/>
  </r>
  <r>
    <x v="189"/>
    <s v="Kenneth Martin"/>
    <x v="5"/>
    <x v="0"/>
    <x v="0"/>
    <s v="PhD"/>
    <x v="0"/>
    <n v="88993"/>
    <n v="796"/>
    <n v="23488"/>
    <x v="2"/>
    <n v="0.15279999999999999"/>
    <x v="1"/>
    <s v="Owned"/>
    <n v="21"/>
    <n v="3"/>
    <s v="Yes"/>
    <s v="No"/>
    <x v="0"/>
    <n v="141295"/>
    <x v="189"/>
    <x v="29"/>
    <x v="180"/>
    <x v="0"/>
    <x v="1"/>
    <x v="0"/>
  </r>
  <r>
    <x v="190"/>
    <s v="Amanda Lee"/>
    <x v="35"/>
    <x v="0"/>
    <x v="1"/>
    <s v="PhD"/>
    <x v="3"/>
    <n v="77480"/>
    <n v="796"/>
    <n v="12802"/>
    <x v="3"/>
    <n v="5.7800000000000004E-2"/>
    <x v="1"/>
    <s v="Rented"/>
    <n v="19"/>
    <n v="3"/>
    <s v="No"/>
    <s v="Yes"/>
    <x v="2"/>
    <n v="151509"/>
    <x v="190"/>
    <x v="18"/>
    <x v="181"/>
    <x v="1"/>
    <x v="1"/>
    <x v="0"/>
  </r>
  <r>
    <x v="191"/>
    <s v="Cassandra Long"/>
    <x v="23"/>
    <x v="1"/>
    <x v="1"/>
    <s v="High School"/>
    <x v="2"/>
    <n v="21214"/>
    <n v="796"/>
    <n v="40941"/>
    <x v="0"/>
    <n v="0.10640000000000001"/>
    <x v="5"/>
    <s v="Rented"/>
    <n v="10"/>
    <n v="1"/>
    <s v="No"/>
    <s v="No"/>
    <x v="4"/>
    <n v="19476"/>
    <x v="191"/>
    <x v="74"/>
    <x v="182"/>
    <x v="1"/>
    <x v="0"/>
    <x v="0"/>
  </r>
  <r>
    <x v="192"/>
    <s v="Warren Powell"/>
    <x v="33"/>
    <x v="0"/>
    <x v="1"/>
    <s v="Postgraduate"/>
    <x v="3"/>
    <n v="50733"/>
    <n v="795"/>
    <n v="11164"/>
    <x v="3"/>
    <n v="9.9900000000000003E-2"/>
    <x v="1"/>
    <s v="Owned"/>
    <n v="17"/>
    <n v="0"/>
    <s v="No"/>
    <s v="No"/>
    <x v="3"/>
    <n v="137809"/>
    <x v="192"/>
    <x v="53"/>
    <x v="183"/>
    <x v="1"/>
    <x v="0"/>
    <x v="0"/>
  </r>
  <r>
    <x v="193"/>
    <s v="Christian Ortiz"/>
    <x v="6"/>
    <x v="0"/>
    <x v="2"/>
    <s v="PhD"/>
    <x v="0"/>
    <n v="135158"/>
    <n v="795"/>
    <n v="17508"/>
    <x v="1"/>
    <n v="0.15960000000000002"/>
    <x v="0"/>
    <s v="Owned"/>
    <n v="28"/>
    <n v="1"/>
    <s v="Yes"/>
    <s v="Yes"/>
    <x v="1"/>
    <n v="93640"/>
    <x v="193"/>
    <x v="28"/>
    <x v="184"/>
    <x v="0"/>
    <x v="0"/>
    <x v="0"/>
  </r>
  <r>
    <x v="194"/>
    <s v="Andrea Nash"/>
    <x v="8"/>
    <x v="0"/>
    <x v="3"/>
    <s v="Postgraduate"/>
    <x v="2"/>
    <n v="88049"/>
    <n v="795"/>
    <n v="40426"/>
    <x v="0"/>
    <n v="0.1971"/>
    <x v="5"/>
    <s v="Rented"/>
    <n v="10"/>
    <n v="4"/>
    <s v="Yes"/>
    <s v="Yes"/>
    <x v="3"/>
    <n v="29402"/>
    <x v="194"/>
    <x v="20"/>
    <x v="185"/>
    <x v="0"/>
    <x v="0"/>
    <x v="0"/>
  </r>
  <r>
    <x v="195"/>
    <s v="Karen Carter"/>
    <x v="31"/>
    <x v="0"/>
    <x v="2"/>
    <s v="High School"/>
    <x v="3"/>
    <n v="30750"/>
    <n v="794"/>
    <n v="28676"/>
    <x v="2"/>
    <n v="5.2400000000000002E-2"/>
    <x v="3"/>
    <s v="Mortgaged"/>
    <n v="7"/>
    <n v="0"/>
    <s v="Yes"/>
    <s v="Yes"/>
    <x v="3"/>
    <n v="156520"/>
    <x v="195"/>
    <x v="49"/>
    <x v="186"/>
    <x v="0"/>
    <x v="0"/>
    <x v="0"/>
  </r>
  <r>
    <x v="196"/>
    <s v="Tiffany Hill"/>
    <x v="33"/>
    <x v="0"/>
    <x v="3"/>
    <s v="PhD"/>
    <x v="1"/>
    <n v="42259"/>
    <n v="794"/>
    <n v="30250"/>
    <x v="1"/>
    <n v="0.1583"/>
    <x v="5"/>
    <s v="Rented"/>
    <n v="20"/>
    <n v="0"/>
    <s v="Yes"/>
    <s v="No"/>
    <x v="4"/>
    <n v="163061"/>
    <x v="196"/>
    <x v="44"/>
    <x v="187"/>
    <x v="1"/>
    <x v="0"/>
    <x v="0"/>
  </r>
  <r>
    <x v="197"/>
    <s v="Ricky Schmidt"/>
    <x v="19"/>
    <x v="1"/>
    <x v="3"/>
    <s v="PhD"/>
    <x v="1"/>
    <n v="35882"/>
    <n v="794"/>
    <n v="31013"/>
    <x v="3"/>
    <n v="9.5399999999999985E-2"/>
    <x v="4"/>
    <s v="Owned"/>
    <n v="29"/>
    <n v="1"/>
    <s v="Yes"/>
    <s v="Yes"/>
    <x v="2"/>
    <n v="25784"/>
    <x v="197"/>
    <x v="66"/>
    <x v="188"/>
    <x v="0"/>
    <x v="1"/>
    <x v="0"/>
  </r>
  <r>
    <x v="198"/>
    <s v="Kimberly Porter"/>
    <x v="5"/>
    <x v="1"/>
    <x v="2"/>
    <s v="Graduate"/>
    <x v="0"/>
    <n v="93302"/>
    <n v="793"/>
    <n v="47785"/>
    <x v="4"/>
    <n v="0.15329999999999999"/>
    <x v="5"/>
    <s v="Rented"/>
    <n v="3"/>
    <n v="4"/>
    <s v="Yes"/>
    <s v="No"/>
    <x v="0"/>
    <n v="159645"/>
    <x v="198"/>
    <x v="29"/>
    <x v="100"/>
    <x v="1"/>
    <x v="0"/>
    <x v="0"/>
  </r>
  <r>
    <x v="199"/>
    <s v="Jacob Brown"/>
    <x v="31"/>
    <x v="1"/>
    <x v="1"/>
    <s v="Graduate"/>
    <x v="3"/>
    <n v="83230"/>
    <n v="793"/>
    <n v="44020"/>
    <x v="4"/>
    <n v="0.14679999999999999"/>
    <x v="1"/>
    <s v="Owned"/>
    <n v="16"/>
    <n v="3"/>
    <s v="Yes"/>
    <s v="Yes"/>
    <x v="2"/>
    <n v="197306"/>
    <x v="199"/>
    <x v="76"/>
    <x v="189"/>
    <x v="1"/>
    <x v="0"/>
    <x v="0"/>
  </r>
  <r>
    <x v="200"/>
    <s v="Allen Anthony"/>
    <x v="13"/>
    <x v="0"/>
    <x v="0"/>
    <s v="PhD"/>
    <x v="2"/>
    <n v="56901"/>
    <n v="793"/>
    <n v="1868"/>
    <x v="2"/>
    <n v="0.16449999999999998"/>
    <x v="0"/>
    <s v="Owned"/>
    <n v="28"/>
    <n v="4"/>
    <s v="No"/>
    <s v="Yes"/>
    <x v="4"/>
    <n v="3088"/>
    <x v="200"/>
    <x v="30"/>
    <x v="190"/>
    <x v="1"/>
    <x v="0"/>
    <x v="0"/>
  </r>
  <r>
    <x v="201"/>
    <s v="Brian Walker"/>
    <x v="32"/>
    <x v="0"/>
    <x v="1"/>
    <s v="High School"/>
    <x v="2"/>
    <n v="133687"/>
    <n v="792"/>
    <n v="4216"/>
    <x v="4"/>
    <n v="0.13970000000000002"/>
    <x v="3"/>
    <s v="Owned"/>
    <n v="5"/>
    <n v="2"/>
    <s v="Yes"/>
    <s v="Yes"/>
    <x v="0"/>
    <n v="27621"/>
    <x v="201"/>
    <x v="77"/>
    <x v="191"/>
    <x v="0"/>
    <x v="0"/>
    <x v="0"/>
  </r>
  <r>
    <x v="202"/>
    <s v="Richard Allen"/>
    <x v="23"/>
    <x v="0"/>
    <x v="2"/>
    <s v="Postgraduate"/>
    <x v="0"/>
    <n v="116516"/>
    <n v="792"/>
    <n v="32153"/>
    <x v="2"/>
    <n v="0.14779999999999999"/>
    <x v="3"/>
    <s v="Rented"/>
    <n v="21"/>
    <n v="3"/>
    <s v="No"/>
    <s v="Yes"/>
    <x v="4"/>
    <n v="168139"/>
    <x v="202"/>
    <x v="30"/>
    <x v="192"/>
    <x v="0"/>
    <x v="0"/>
    <x v="0"/>
  </r>
  <r>
    <x v="203"/>
    <s v="Jennifer Martinez"/>
    <x v="19"/>
    <x v="0"/>
    <x v="1"/>
    <s v="Graduate"/>
    <x v="0"/>
    <n v="113410"/>
    <n v="792"/>
    <n v="49581"/>
    <x v="1"/>
    <n v="0.15770000000000001"/>
    <x v="3"/>
    <s v="Mortgaged"/>
    <n v="28"/>
    <n v="3"/>
    <s v="No"/>
    <s v="No"/>
    <x v="0"/>
    <n v="131855"/>
    <x v="203"/>
    <x v="36"/>
    <x v="193"/>
    <x v="0"/>
    <x v="0"/>
    <x v="0"/>
  </r>
  <r>
    <x v="204"/>
    <s v="Carolyn Riley"/>
    <x v="19"/>
    <x v="0"/>
    <x v="3"/>
    <s v="Graduate"/>
    <x v="2"/>
    <n v="79025"/>
    <n v="791"/>
    <n v="42011"/>
    <x v="4"/>
    <n v="6.3200000000000006E-2"/>
    <x v="3"/>
    <s v="Rented"/>
    <n v="24"/>
    <n v="1"/>
    <s v="No"/>
    <s v="Yes"/>
    <x v="2"/>
    <n v="191460"/>
    <x v="204"/>
    <x v="48"/>
    <x v="194"/>
    <x v="0"/>
    <x v="0"/>
    <x v="0"/>
  </r>
  <r>
    <x v="205"/>
    <s v="Todd Johnson"/>
    <x v="29"/>
    <x v="0"/>
    <x v="1"/>
    <s v="PhD"/>
    <x v="2"/>
    <n v="95361"/>
    <n v="791"/>
    <n v="38687"/>
    <x v="1"/>
    <n v="0.17559999999999998"/>
    <x v="0"/>
    <s v="Owned"/>
    <n v="27"/>
    <n v="4"/>
    <s v="Yes"/>
    <s v="Yes"/>
    <x v="3"/>
    <n v="17511"/>
    <x v="205"/>
    <x v="56"/>
    <x v="195"/>
    <x v="0"/>
    <x v="0"/>
    <x v="0"/>
  </r>
  <r>
    <x v="206"/>
    <s v="Elizabeth Glover"/>
    <x v="37"/>
    <x v="0"/>
    <x v="0"/>
    <s v="Postgraduate"/>
    <x v="2"/>
    <n v="127106"/>
    <n v="791"/>
    <n v="22256"/>
    <x v="3"/>
    <n v="0.17739999999999997"/>
    <x v="5"/>
    <s v="Mortgaged"/>
    <n v="19"/>
    <n v="0"/>
    <s v="No"/>
    <s v="No"/>
    <x v="2"/>
    <n v="44001"/>
    <x v="206"/>
    <x v="75"/>
    <x v="10"/>
    <x v="1"/>
    <x v="0"/>
    <x v="0"/>
  </r>
  <r>
    <x v="207"/>
    <s v="David Matthews"/>
    <x v="37"/>
    <x v="1"/>
    <x v="2"/>
    <s v="High School"/>
    <x v="0"/>
    <n v="22850"/>
    <n v="791"/>
    <n v="26362"/>
    <x v="3"/>
    <n v="9.6600000000000005E-2"/>
    <x v="2"/>
    <s v="Rented"/>
    <n v="27"/>
    <n v="0"/>
    <s v="Yes"/>
    <s v="Yes"/>
    <x v="3"/>
    <n v="59671"/>
    <x v="207"/>
    <x v="34"/>
    <x v="196"/>
    <x v="1"/>
    <x v="0"/>
    <x v="0"/>
  </r>
  <r>
    <x v="208"/>
    <s v="Roger Lindsey"/>
    <x v="22"/>
    <x v="0"/>
    <x v="3"/>
    <s v="Postgraduate"/>
    <x v="0"/>
    <n v="40365"/>
    <n v="791"/>
    <n v="13569"/>
    <x v="3"/>
    <n v="0.16140000000000002"/>
    <x v="0"/>
    <s v="Mortgaged"/>
    <n v="14"/>
    <n v="3"/>
    <s v="Yes"/>
    <s v="Yes"/>
    <x v="0"/>
    <n v="192711"/>
    <x v="208"/>
    <x v="75"/>
    <x v="197"/>
    <x v="0"/>
    <x v="0"/>
    <x v="0"/>
  </r>
  <r>
    <x v="209"/>
    <s v="Lance Rodriguez II"/>
    <x v="0"/>
    <x v="0"/>
    <x v="3"/>
    <s v="Graduate"/>
    <x v="3"/>
    <n v="38161"/>
    <n v="791"/>
    <n v="47374"/>
    <x v="3"/>
    <n v="5.5099999999999996E-2"/>
    <x v="4"/>
    <s v="Mortgaged"/>
    <n v="13"/>
    <n v="4"/>
    <s v="Yes"/>
    <s v="No"/>
    <x v="4"/>
    <n v="192752"/>
    <x v="209"/>
    <x v="71"/>
    <x v="198"/>
    <x v="1"/>
    <x v="0"/>
    <x v="0"/>
  </r>
  <r>
    <x v="210"/>
    <s v="Lisa Taylor"/>
    <x v="8"/>
    <x v="0"/>
    <x v="0"/>
    <s v="Postgraduate"/>
    <x v="1"/>
    <n v="32062"/>
    <n v="791"/>
    <n v="30299"/>
    <x v="3"/>
    <n v="9.6999999999999989E-2"/>
    <x v="4"/>
    <s v="Owned"/>
    <n v="24"/>
    <n v="4"/>
    <s v="No"/>
    <s v="No"/>
    <x v="3"/>
    <n v="48373"/>
    <x v="210"/>
    <x v="47"/>
    <x v="199"/>
    <x v="1"/>
    <x v="0"/>
    <x v="0"/>
  </r>
  <r>
    <x v="211"/>
    <s v="Michael Moss"/>
    <x v="40"/>
    <x v="1"/>
    <x v="1"/>
    <s v="High School"/>
    <x v="3"/>
    <n v="101542"/>
    <n v="791"/>
    <n v="31225"/>
    <x v="4"/>
    <n v="6.7299999999999999E-2"/>
    <x v="0"/>
    <s v="Rented"/>
    <n v="5"/>
    <n v="2"/>
    <s v="No"/>
    <s v="No"/>
    <x v="3"/>
    <n v="61157"/>
    <x v="211"/>
    <x v="36"/>
    <x v="33"/>
    <x v="1"/>
    <x v="0"/>
    <x v="0"/>
  </r>
  <r>
    <x v="212"/>
    <s v="Patricia Pittman"/>
    <x v="9"/>
    <x v="0"/>
    <x v="1"/>
    <s v="Postgraduate"/>
    <x v="1"/>
    <n v="96154"/>
    <n v="790"/>
    <n v="41843"/>
    <x v="0"/>
    <n v="9.3699999999999992E-2"/>
    <x v="2"/>
    <s v="Mortgaged"/>
    <n v="21"/>
    <n v="4"/>
    <s v="Yes"/>
    <s v="Yes"/>
    <x v="3"/>
    <n v="29330"/>
    <x v="212"/>
    <x v="18"/>
    <x v="200"/>
    <x v="0"/>
    <x v="0"/>
    <x v="0"/>
  </r>
  <r>
    <x v="213"/>
    <s v="Larry Yoder"/>
    <x v="29"/>
    <x v="0"/>
    <x v="3"/>
    <s v="PhD"/>
    <x v="2"/>
    <n v="142755"/>
    <n v="790"/>
    <n v="17038"/>
    <x v="4"/>
    <n v="0.11359999999999999"/>
    <x v="3"/>
    <s v="Owned"/>
    <n v="3"/>
    <n v="3"/>
    <s v="No"/>
    <s v="No"/>
    <x v="1"/>
    <n v="28831"/>
    <x v="213"/>
    <x v="47"/>
    <x v="201"/>
    <x v="1"/>
    <x v="0"/>
    <x v="0"/>
  </r>
  <r>
    <x v="214"/>
    <s v="Justin Hicks"/>
    <x v="14"/>
    <x v="1"/>
    <x v="3"/>
    <s v="Postgraduate"/>
    <x v="3"/>
    <n v="40842"/>
    <n v="790"/>
    <n v="41498"/>
    <x v="4"/>
    <n v="0.13159999999999999"/>
    <x v="1"/>
    <s v="Owned"/>
    <n v="2"/>
    <n v="2"/>
    <s v="No"/>
    <s v="No"/>
    <x v="1"/>
    <n v="107780"/>
    <x v="214"/>
    <x v="50"/>
    <x v="46"/>
    <x v="0"/>
    <x v="0"/>
    <x v="0"/>
  </r>
  <r>
    <x v="215"/>
    <s v="Madison Bell"/>
    <x v="40"/>
    <x v="0"/>
    <x v="1"/>
    <s v="PhD"/>
    <x v="2"/>
    <n v="69402"/>
    <n v="789"/>
    <n v="48925"/>
    <x v="2"/>
    <n v="0.14080000000000001"/>
    <x v="0"/>
    <s v="Mortgaged"/>
    <n v="16"/>
    <n v="3"/>
    <s v="Yes"/>
    <s v="No"/>
    <x v="0"/>
    <n v="31297"/>
    <x v="215"/>
    <x v="7"/>
    <x v="202"/>
    <x v="1"/>
    <x v="1"/>
    <x v="0"/>
  </r>
  <r>
    <x v="216"/>
    <s v="Peter Mitchell"/>
    <x v="40"/>
    <x v="1"/>
    <x v="2"/>
    <s v="Graduate"/>
    <x v="3"/>
    <n v="130805"/>
    <n v="789"/>
    <n v="24526"/>
    <x v="3"/>
    <n v="5.3800000000000001E-2"/>
    <x v="0"/>
    <s v="Mortgaged"/>
    <n v="17"/>
    <n v="4"/>
    <s v="Yes"/>
    <s v="Yes"/>
    <x v="2"/>
    <n v="85349"/>
    <x v="216"/>
    <x v="27"/>
    <x v="126"/>
    <x v="0"/>
    <x v="0"/>
    <x v="0"/>
  </r>
  <r>
    <x v="217"/>
    <s v="Jack Horne"/>
    <x v="27"/>
    <x v="0"/>
    <x v="3"/>
    <s v="Graduate"/>
    <x v="1"/>
    <n v="101103"/>
    <n v="789"/>
    <n v="24465"/>
    <x v="0"/>
    <n v="0.1356"/>
    <x v="2"/>
    <s v="Owned"/>
    <n v="29"/>
    <n v="2"/>
    <s v="No"/>
    <s v="No"/>
    <x v="0"/>
    <n v="124460"/>
    <x v="217"/>
    <x v="78"/>
    <x v="203"/>
    <x v="1"/>
    <x v="0"/>
    <x v="0"/>
  </r>
  <r>
    <x v="218"/>
    <s v="David Martinez"/>
    <x v="17"/>
    <x v="1"/>
    <x v="1"/>
    <s v="Graduate"/>
    <x v="2"/>
    <n v="48906"/>
    <n v="789"/>
    <n v="24985"/>
    <x v="3"/>
    <n v="0.17699999999999999"/>
    <x v="4"/>
    <s v="Rented"/>
    <n v="2"/>
    <n v="4"/>
    <s v="Yes"/>
    <s v="No"/>
    <x v="1"/>
    <n v="156555"/>
    <x v="218"/>
    <x v="18"/>
    <x v="204"/>
    <x v="0"/>
    <x v="0"/>
    <x v="0"/>
  </r>
  <r>
    <x v="219"/>
    <s v="Kathleen Rogers"/>
    <x v="30"/>
    <x v="0"/>
    <x v="3"/>
    <s v="Graduate"/>
    <x v="2"/>
    <n v="144948"/>
    <n v="788"/>
    <n v="47539"/>
    <x v="0"/>
    <n v="7.4299999999999991E-2"/>
    <x v="3"/>
    <s v="Mortgaged"/>
    <n v="23"/>
    <n v="4"/>
    <s v="Yes"/>
    <s v="Yes"/>
    <x v="0"/>
    <n v="116700"/>
    <x v="219"/>
    <x v="45"/>
    <x v="205"/>
    <x v="0"/>
    <x v="0"/>
    <x v="0"/>
  </r>
  <r>
    <x v="220"/>
    <s v="Victor Young"/>
    <x v="8"/>
    <x v="0"/>
    <x v="2"/>
    <s v="Graduate"/>
    <x v="1"/>
    <n v="124126"/>
    <n v="787"/>
    <n v="46334"/>
    <x v="4"/>
    <n v="9.1799999999999993E-2"/>
    <x v="5"/>
    <s v="Owned"/>
    <n v="7"/>
    <n v="1"/>
    <s v="No"/>
    <s v="No"/>
    <x v="1"/>
    <n v="113100"/>
    <x v="220"/>
    <x v="79"/>
    <x v="206"/>
    <x v="1"/>
    <x v="0"/>
    <x v="0"/>
  </r>
  <r>
    <x v="221"/>
    <s v="Ashley Aguilar"/>
    <x v="42"/>
    <x v="1"/>
    <x v="3"/>
    <s v="Graduate"/>
    <x v="3"/>
    <n v="128103"/>
    <n v="786"/>
    <n v="11184"/>
    <x v="0"/>
    <n v="0.1188"/>
    <x v="0"/>
    <s v="Mortgaged"/>
    <n v="9"/>
    <n v="4"/>
    <s v="No"/>
    <s v="Yes"/>
    <x v="2"/>
    <n v="184869"/>
    <x v="221"/>
    <x v="80"/>
    <x v="207"/>
    <x v="0"/>
    <x v="0"/>
    <x v="0"/>
  </r>
  <r>
    <x v="222"/>
    <s v="Jacqueline Moore"/>
    <x v="12"/>
    <x v="1"/>
    <x v="2"/>
    <s v="High School"/>
    <x v="1"/>
    <n v="77184"/>
    <n v="786"/>
    <n v="48605"/>
    <x v="0"/>
    <n v="5.7200000000000001E-2"/>
    <x v="0"/>
    <s v="Owned"/>
    <n v="29"/>
    <n v="4"/>
    <s v="No"/>
    <s v="No"/>
    <x v="1"/>
    <n v="11243"/>
    <x v="222"/>
    <x v="11"/>
    <x v="208"/>
    <x v="0"/>
    <x v="0"/>
    <x v="0"/>
  </r>
  <r>
    <x v="223"/>
    <s v="Bonnie Harris"/>
    <x v="41"/>
    <x v="1"/>
    <x v="1"/>
    <s v="Graduate"/>
    <x v="3"/>
    <n v="64527"/>
    <n v="786"/>
    <n v="14156"/>
    <x v="3"/>
    <n v="0.1153"/>
    <x v="5"/>
    <s v="Rented"/>
    <n v="25"/>
    <n v="4"/>
    <s v="Yes"/>
    <s v="No"/>
    <x v="4"/>
    <n v="148261"/>
    <x v="223"/>
    <x v="10"/>
    <x v="209"/>
    <x v="1"/>
    <x v="0"/>
    <x v="0"/>
  </r>
  <r>
    <x v="224"/>
    <s v="Colleen Hughes"/>
    <x v="13"/>
    <x v="0"/>
    <x v="2"/>
    <s v="Postgraduate"/>
    <x v="3"/>
    <n v="113237"/>
    <n v="786"/>
    <n v="24946"/>
    <x v="4"/>
    <n v="0.14730000000000001"/>
    <x v="0"/>
    <s v="Owned"/>
    <n v="25"/>
    <n v="4"/>
    <s v="Yes"/>
    <s v="Yes"/>
    <x v="1"/>
    <n v="196209"/>
    <x v="224"/>
    <x v="19"/>
    <x v="210"/>
    <x v="1"/>
    <x v="0"/>
    <x v="0"/>
  </r>
  <r>
    <x v="225"/>
    <s v="Dr. Kristine Reynolds"/>
    <x v="3"/>
    <x v="1"/>
    <x v="1"/>
    <s v="Postgraduate"/>
    <x v="1"/>
    <n v="78773"/>
    <n v="785"/>
    <n v="29242"/>
    <x v="1"/>
    <n v="0.1008"/>
    <x v="0"/>
    <s v="Mortgaged"/>
    <n v="7"/>
    <n v="0"/>
    <s v="No"/>
    <s v="Yes"/>
    <x v="1"/>
    <n v="14220"/>
    <x v="225"/>
    <x v="77"/>
    <x v="211"/>
    <x v="0"/>
    <x v="0"/>
    <x v="0"/>
  </r>
  <r>
    <x v="226"/>
    <s v="Jose Garrison"/>
    <x v="19"/>
    <x v="1"/>
    <x v="3"/>
    <s v="Graduate"/>
    <x v="0"/>
    <n v="33265"/>
    <n v="785"/>
    <n v="7931"/>
    <x v="0"/>
    <n v="9.849999999999999E-2"/>
    <x v="0"/>
    <s v="Rented"/>
    <n v="20"/>
    <n v="2"/>
    <s v="Yes"/>
    <s v="Yes"/>
    <x v="1"/>
    <n v="9778"/>
    <x v="226"/>
    <x v="48"/>
    <x v="212"/>
    <x v="0"/>
    <x v="0"/>
    <x v="0"/>
  </r>
  <r>
    <x v="227"/>
    <s v="Heather Miller"/>
    <x v="17"/>
    <x v="0"/>
    <x v="2"/>
    <s v="PhD"/>
    <x v="1"/>
    <n v="137243"/>
    <n v="785"/>
    <n v="8896"/>
    <x v="2"/>
    <n v="8.6099999999999996E-2"/>
    <x v="0"/>
    <s v="Owned"/>
    <n v="2"/>
    <n v="4"/>
    <s v="Yes"/>
    <s v="Yes"/>
    <x v="2"/>
    <n v="106741"/>
    <x v="227"/>
    <x v="41"/>
    <x v="213"/>
    <x v="0"/>
    <x v="0"/>
    <x v="0"/>
  </r>
  <r>
    <x v="228"/>
    <s v="Richard Owens"/>
    <x v="6"/>
    <x v="0"/>
    <x v="1"/>
    <s v="PhD"/>
    <x v="3"/>
    <n v="47197"/>
    <n v="785"/>
    <n v="16861"/>
    <x v="4"/>
    <n v="0.1593"/>
    <x v="0"/>
    <s v="Rented"/>
    <n v="5"/>
    <n v="1"/>
    <s v="Yes"/>
    <s v="No"/>
    <x v="1"/>
    <n v="139895"/>
    <x v="228"/>
    <x v="10"/>
    <x v="144"/>
    <x v="1"/>
    <x v="0"/>
    <x v="0"/>
  </r>
  <r>
    <x v="229"/>
    <s v="Jackson Jimenez DVM"/>
    <x v="7"/>
    <x v="0"/>
    <x v="0"/>
    <s v="Postgraduate"/>
    <x v="1"/>
    <n v="103795"/>
    <n v="784"/>
    <n v="28360"/>
    <x v="1"/>
    <n v="7.1399999999999991E-2"/>
    <x v="4"/>
    <s v="Owned"/>
    <n v="25"/>
    <n v="4"/>
    <s v="Yes"/>
    <s v="Yes"/>
    <x v="4"/>
    <n v="14546"/>
    <x v="229"/>
    <x v="67"/>
    <x v="214"/>
    <x v="0"/>
    <x v="1"/>
    <x v="0"/>
  </r>
  <r>
    <x v="230"/>
    <s v="Elizabeth Keith"/>
    <x v="17"/>
    <x v="0"/>
    <x v="2"/>
    <s v="PhD"/>
    <x v="3"/>
    <n v="36138"/>
    <n v="784"/>
    <n v="5486"/>
    <x v="3"/>
    <n v="0.11019999999999999"/>
    <x v="0"/>
    <s v="Mortgaged"/>
    <n v="20"/>
    <n v="3"/>
    <s v="Yes"/>
    <s v="No"/>
    <x v="4"/>
    <n v="166373"/>
    <x v="230"/>
    <x v="36"/>
    <x v="215"/>
    <x v="0"/>
    <x v="0"/>
    <x v="0"/>
  </r>
  <r>
    <x v="231"/>
    <s v="Thomas Miller"/>
    <x v="7"/>
    <x v="1"/>
    <x v="0"/>
    <s v="PhD"/>
    <x v="1"/>
    <n v="127658"/>
    <n v="784"/>
    <n v="32770"/>
    <x v="1"/>
    <n v="0.15990000000000001"/>
    <x v="1"/>
    <s v="Rented"/>
    <n v="17"/>
    <n v="4"/>
    <s v="Yes"/>
    <s v="No"/>
    <x v="3"/>
    <n v="102398"/>
    <x v="231"/>
    <x v="8"/>
    <x v="216"/>
    <x v="1"/>
    <x v="1"/>
    <x v="0"/>
  </r>
  <r>
    <x v="232"/>
    <s v="Marcus Heath"/>
    <x v="35"/>
    <x v="0"/>
    <x v="1"/>
    <s v="Graduate"/>
    <x v="2"/>
    <n v="113286"/>
    <n v="784"/>
    <n v="47152"/>
    <x v="4"/>
    <n v="0.19070000000000001"/>
    <x v="5"/>
    <s v="Owned"/>
    <n v="29"/>
    <n v="3"/>
    <s v="No"/>
    <s v="Yes"/>
    <x v="2"/>
    <n v="98392"/>
    <x v="232"/>
    <x v="81"/>
    <x v="217"/>
    <x v="1"/>
    <x v="1"/>
    <x v="0"/>
  </r>
  <r>
    <x v="233"/>
    <s v="Jill Ross"/>
    <x v="23"/>
    <x v="0"/>
    <x v="1"/>
    <s v="Graduate"/>
    <x v="1"/>
    <n v="136482"/>
    <n v="783"/>
    <n v="29924"/>
    <x v="2"/>
    <n v="0.13300000000000001"/>
    <x v="5"/>
    <s v="Mortgaged"/>
    <n v="3"/>
    <n v="2"/>
    <s v="No"/>
    <s v="No"/>
    <x v="0"/>
    <n v="87327"/>
    <x v="233"/>
    <x v="18"/>
    <x v="218"/>
    <x v="1"/>
    <x v="0"/>
    <x v="0"/>
  </r>
  <r>
    <x v="234"/>
    <s v="Ryan Wheeler"/>
    <x v="19"/>
    <x v="0"/>
    <x v="0"/>
    <s v="Graduate"/>
    <x v="1"/>
    <n v="21537"/>
    <n v="782"/>
    <n v="36224"/>
    <x v="2"/>
    <n v="0.16059999999999999"/>
    <x v="3"/>
    <s v="Rented"/>
    <n v="2"/>
    <n v="1"/>
    <s v="Yes"/>
    <s v="Yes"/>
    <x v="3"/>
    <n v="190136"/>
    <x v="234"/>
    <x v="17"/>
    <x v="219"/>
    <x v="1"/>
    <x v="0"/>
    <x v="0"/>
  </r>
  <r>
    <x v="235"/>
    <s v="John Christian"/>
    <x v="18"/>
    <x v="1"/>
    <x v="1"/>
    <s v="Graduate"/>
    <x v="0"/>
    <n v="56784"/>
    <n v="782"/>
    <n v="10471"/>
    <x v="2"/>
    <n v="0.11019999999999999"/>
    <x v="0"/>
    <s v="Mortgaged"/>
    <n v="18"/>
    <n v="0"/>
    <s v="No"/>
    <s v="No"/>
    <x v="4"/>
    <n v="18830"/>
    <x v="235"/>
    <x v="66"/>
    <x v="220"/>
    <x v="1"/>
    <x v="0"/>
    <x v="0"/>
  </r>
  <r>
    <x v="236"/>
    <s v="Danny Crawford"/>
    <x v="17"/>
    <x v="1"/>
    <x v="0"/>
    <s v="Postgraduate"/>
    <x v="1"/>
    <n v="80030"/>
    <n v="782"/>
    <n v="40159"/>
    <x v="3"/>
    <n v="0.1704"/>
    <x v="2"/>
    <s v="Owned"/>
    <n v="17"/>
    <n v="0"/>
    <s v="No"/>
    <s v="No"/>
    <x v="2"/>
    <n v="68462"/>
    <x v="236"/>
    <x v="55"/>
    <x v="221"/>
    <x v="0"/>
    <x v="0"/>
    <x v="0"/>
  </r>
  <r>
    <x v="237"/>
    <s v="Amy Clark"/>
    <x v="33"/>
    <x v="0"/>
    <x v="3"/>
    <s v="PhD"/>
    <x v="3"/>
    <n v="90871"/>
    <n v="781"/>
    <n v="8254"/>
    <x v="4"/>
    <n v="0.1963"/>
    <x v="3"/>
    <s v="Owned"/>
    <n v="10"/>
    <n v="4"/>
    <s v="No"/>
    <s v="No"/>
    <x v="3"/>
    <n v="75809"/>
    <x v="237"/>
    <x v="71"/>
    <x v="222"/>
    <x v="0"/>
    <x v="0"/>
    <x v="0"/>
  </r>
  <r>
    <x v="238"/>
    <s v="Molly Bennett"/>
    <x v="28"/>
    <x v="0"/>
    <x v="3"/>
    <s v="High School"/>
    <x v="3"/>
    <n v="63723"/>
    <n v="781"/>
    <n v="1510"/>
    <x v="1"/>
    <n v="9.8699999999999996E-2"/>
    <x v="0"/>
    <s v="Owned"/>
    <n v="18"/>
    <n v="3"/>
    <s v="Yes"/>
    <s v="No"/>
    <x v="2"/>
    <n v="59056"/>
    <x v="238"/>
    <x v="82"/>
    <x v="223"/>
    <x v="1"/>
    <x v="0"/>
    <x v="0"/>
  </r>
  <r>
    <x v="239"/>
    <s v="Michael Nelson"/>
    <x v="11"/>
    <x v="0"/>
    <x v="1"/>
    <s v="Postgraduate"/>
    <x v="2"/>
    <n v="67058"/>
    <n v="781"/>
    <n v="30829"/>
    <x v="1"/>
    <n v="0.1885"/>
    <x v="3"/>
    <s v="Rented"/>
    <n v="14"/>
    <n v="0"/>
    <s v="Yes"/>
    <s v="No"/>
    <x v="2"/>
    <n v="116936"/>
    <x v="239"/>
    <x v="31"/>
    <x v="224"/>
    <x v="1"/>
    <x v="0"/>
    <x v="0"/>
  </r>
  <r>
    <x v="240"/>
    <s v="Rebecca Smith"/>
    <x v="39"/>
    <x v="0"/>
    <x v="0"/>
    <s v="PhD"/>
    <x v="2"/>
    <n v="30707"/>
    <n v="781"/>
    <n v="23151"/>
    <x v="3"/>
    <n v="6.9400000000000003E-2"/>
    <x v="3"/>
    <s v="Owned"/>
    <n v="3"/>
    <n v="2"/>
    <s v="No"/>
    <s v="Yes"/>
    <x v="4"/>
    <n v="38554"/>
    <x v="240"/>
    <x v="15"/>
    <x v="225"/>
    <x v="1"/>
    <x v="1"/>
    <x v="0"/>
  </r>
  <r>
    <x v="241"/>
    <s v="Crystal Taylor"/>
    <x v="43"/>
    <x v="0"/>
    <x v="3"/>
    <s v="Graduate"/>
    <x v="2"/>
    <n v="47626"/>
    <n v="781"/>
    <n v="2924"/>
    <x v="0"/>
    <n v="0.19829999999999998"/>
    <x v="5"/>
    <s v="Owned"/>
    <n v="4"/>
    <n v="1"/>
    <s v="Yes"/>
    <s v="No"/>
    <x v="1"/>
    <n v="190828"/>
    <x v="241"/>
    <x v="22"/>
    <x v="226"/>
    <x v="0"/>
    <x v="0"/>
    <x v="0"/>
  </r>
  <r>
    <x v="242"/>
    <s v="Pamela Torres"/>
    <x v="37"/>
    <x v="0"/>
    <x v="0"/>
    <s v="Graduate"/>
    <x v="0"/>
    <n v="39935"/>
    <n v="781"/>
    <n v="35129"/>
    <x v="0"/>
    <n v="0.1802"/>
    <x v="4"/>
    <s v="Rented"/>
    <n v="23"/>
    <n v="3"/>
    <s v="Yes"/>
    <s v="No"/>
    <x v="3"/>
    <n v="196712"/>
    <x v="242"/>
    <x v="8"/>
    <x v="227"/>
    <x v="1"/>
    <x v="0"/>
    <x v="0"/>
  </r>
  <r>
    <x v="243"/>
    <s v="David Molina"/>
    <x v="6"/>
    <x v="0"/>
    <x v="0"/>
    <s v="Graduate"/>
    <x v="0"/>
    <n v="40968"/>
    <n v="781"/>
    <n v="37741"/>
    <x v="1"/>
    <n v="0.15"/>
    <x v="5"/>
    <s v="Rented"/>
    <n v="17"/>
    <n v="3"/>
    <s v="Yes"/>
    <s v="No"/>
    <x v="3"/>
    <n v="196461"/>
    <x v="243"/>
    <x v="46"/>
    <x v="228"/>
    <x v="1"/>
    <x v="0"/>
    <x v="0"/>
  </r>
  <r>
    <x v="244"/>
    <s v="Colleen Collins"/>
    <x v="11"/>
    <x v="0"/>
    <x v="0"/>
    <s v="Graduate"/>
    <x v="0"/>
    <n v="124843"/>
    <n v="780"/>
    <n v="30058"/>
    <x v="3"/>
    <n v="0.14499999999999999"/>
    <x v="3"/>
    <s v="Rented"/>
    <n v="4"/>
    <n v="1"/>
    <s v="Yes"/>
    <s v="No"/>
    <x v="2"/>
    <n v="181834"/>
    <x v="244"/>
    <x v="68"/>
    <x v="229"/>
    <x v="1"/>
    <x v="0"/>
    <x v="0"/>
  </r>
  <r>
    <x v="245"/>
    <s v="Patrick Robertson"/>
    <x v="43"/>
    <x v="0"/>
    <x v="3"/>
    <s v="Postgraduate"/>
    <x v="0"/>
    <n v="20727"/>
    <n v="780"/>
    <n v="29768"/>
    <x v="3"/>
    <n v="0.13919999999999999"/>
    <x v="4"/>
    <s v="Rented"/>
    <n v="15"/>
    <n v="1"/>
    <s v="Yes"/>
    <s v="Yes"/>
    <x v="2"/>
    <n v="189928"/>
    <x v="245"/>
    <x v="53"/>
    <x v="230"/>
    <x v="1"/>
    <x v="0"/>
    <x v="0"/>
  </r>
  <r>
    <x v="246"/>
    <s v="James Mccoy"/>
    <x v="25"/>
    <x v="1"/>
    <x v="2"/>
    <s v="Graduate"/>
    <x v="3"/>
    <n v="137595"/>
    <n v="780"/>
    <n v="10721"/>
    <x v="3"/>
    <n v="0.17670000000000002"/>
    <x v="5"/>
    <s v="Rented"/>
    <n v="27"/>
    <n v="2"/>
    <s v="No"/>
    <s v="No"/>
    <x v="4"/>
    <n v="66436"/>
    <x v="246"/>
    <x v="61"/>
    <x v="231"/>
    <x v="1"/>
    <x v="0"/>
    <x v="0"/>
  </r>
  <r>
    <x v="247"/>
    <s v="Patrick Ray"/>
    <x v="13"/>
    <x v="1"/>
    <x v="3"/>
    <s v="PhD"/>
    <x v="3"/>
    <n v="121387"/>
    <n v="780"/>
    <n v="11204"/>
    <x v="0"/>
    <n v="9.1499999999999998E-2"/>
    <x v="0"/>
    <s v="Rented"/>
    <n v="23"/>
    <n v="2"/>
    <s v="No"/>
    <s v="No"/>
    <x v="3"/>
    <n v="9453"/>
    <x v="247"/>
    <x v="76"/>
    <x v="232"/>
    <x v="1"/>
    <x v="0"/>
    <x v="0"/>
  </r>
  <r>
    <x v="248"/>
    <s v="Joshua Johnson"/>
    <x v="7"/>
    <x v="0"/>
    <x v="2"/>
    <s v="Postgraduate"/>
    <x v="3"/>
    <n v="22413"/>
    <n v="780"/>
    <n v="26470"/>
    <x v="2"/>
    <n v="0.1343"/>
    <x v="1"/>
    <s v="Owned"/>
    <n v="22"/>
    <n v="3"/>
    <s v="Yes"/>
    <s v="Yes"/>
    <x v="4"/>
    <n v="163237"/>
    <x v="248"/>
    <x v="29"/>
    <x v="233"/>
    <x v="1"/>
    <x v="0"/>
    <x v="0"/>
  </r>
  <r>
    <x v="249"/>
    <s v="Edward Hoover"/>
    <x v="4"/>
    <x v="0"/>
    <x v="3"/>
    <s v="High School"/>
    <x v="0"/>
    <n v="134897"/>
    <n v="780"/>
    <n v="5820"/>
    <x v="0"/>
    <n v="0.1"/>
    <x v="0"/>
    <s v="Mortgaged"/>
    <n v="29"/>
    <n v="1"/>
    <s v="No"/>
    <s v="Yes"/>
    <x v="2"/>
    <n v="101016"/>
    <x v="249"/>
    <x v="64"/>
    <x v="234"/>
    <x v="0"/>
    <x v="0"/>
    <x v="0"/>
  </r>
  <r>
    <x v="250"/>
    <s v="Roy Stevenson"/>
    <x v="25"/>
    <x v="1"/>
    <x v="1"/>
    <s v="Graduate"/>
    <x v="2"/>
    <n v="62498"/>
    <n v="779"/>
    <n v="31203"/>
    <x v="3"/>
    <n v="0.1331"/>
    <x v="0"/>
    <s v="Mortgaged"/>
    <n v="5"/>
    <n v="3"/>
    <s v="No"/>
    <s v="Yes"/>
    <x v="3"/>
    <n v="150147"/>
    <x v="250"/>
    <x v="53"/>
    <x v="235"/>
    <x v="0"/>
    <x v="0"/>
    <x v="0"/>
  </r>
  <r>
    <x v="251"/>
    <s v="Alexander Jenkins"/>
    <x v="24"/>
    <x v="0"/>
    <x v="3"/>
    <s v="High School"/>
    <x v="0"/>
    <n v="24924"/>
    <n v="779"/>
    <n v="3058"/>
    <x v="2"/>
    <n v="0.10859999999999999"/>
    <x v="4"/>
    <s v="Rented"/>
    <n v="4"/>
    <n v="4"/>
    <s v="Yes"/>
    <s v="No"/>
    <x v="3"/>
    <n v="181379"/>
    <x v="251"/>
    <x v="55"/>
    <x v="236"/>
    <x v="1"/>
    <x v="0"/>
    <x v="0"/>
  </r>
  <r>
    <x v="252"/>
    <s v="Jesus Lee"/>
    <x v="37"/>
    <x v="1"/>
    <x v="0"/>
    <s v="High School"/>
    <x v="2"/>
    <n v="52125"/>
    <n v="779"/>
    <n v="39575"/>
    <x v="4"/>
    <n v="6.0100000000000001E-2"/>
    <x v="5"/>
    <s v="Rented"/>
    <n v="14"/>
    <n v="3"/>
    <s v="No"/>
    <s v="Yes"/>
    <x v="3"/>
    <n v="107019"/>
    <x v="252"/>
    <x v="80"/>
    <x v="237"/>
    <x v="1"/>
    <x v="0"/>
    <x v="0"/>
  </r>
  <r>
    <x v="253"/>
    <s v="Anthony Harrison"/>
    <x v="37"/>
    <x v="0"/>
    <x v="3"/>
    <s v="Postgraduate"/>
    <x v="0"/>
    <n v="146898"/>
    <n v="778"/>
    <n v="3611"/>
    <x v="2"/>
    <n v="7.0199999999999999E-2"/>
    <x v="5"/>
    <s v="Rented"/>
    <n v="9"/>
    <n v="1"/>
    <s v="Yes"/>
    <s v="Yes"/>
    <x v="4"/>
    <n v="137557"/>
    <x v="253"/>
    <x v="51"/>
    <x v="238"/>
    <x v="1"/>
    <x v="0"/>
    <x v="0"/>
  </r>
  <r>
    <x v="254"/>
    <s v="Mark Nash"/>
    <x v="1"/>
    <x v="1"/>
    <x v="0"/>
    <s v="Postgraduate"/>
    <x v="0"/>
    <n v="25188"/>
    <n v="778"/>
    <n v="4066"/>
    <x v="1"/>
    <n v="0.19320000000000001"/>
    <x v="1"/>
    <s v="Mortgaged"/>
    <n v="23"/>
    <n v="0"/>
    <s v="Yes"/>
    <s v="No"/>
    <x v="3"/>
    <n v="117611"/>
    <x v="254"/>
    <x v="74"/>
    <x v="239"/>
    <x v="1"/>
    <x v="0"/>
    <x v="0"/>
  </r>
  <r>
    <x v="255"/>
    <s v="David Moore"/>
    <x v="8"/>
    <x v="0"/>
    <x v="0"/>
    <s v="PhD"/>
    <x v="0"/>
    <n v="101932"/>
    <n v="778"/>
    <n v="47246"/>
    <x v="1"/>
    <n v="0.13200000000000001"/>
    <x v="3"/>
    <s v="Rented"/>
    <n v="5"/>
    <n v="0"/>
    <s v="Yes"/>
    <s v="Yes"/>
    <x v="3"/>
    <n v="195249"/>
    <x v="255"/>
    <x v="6"/>
    <x v="240"/>
    <x v="0"/>
    <x v="0"/>
    <x v="0"/>
  </r>
  <r>
    <x v="256"/>
    <s v="Timothy Wilson"/>
    <x v="27"/>
    <x v="1"/>
    <x v="3"/>
    <s v="High School"/>
    <x v="0"/>
    <n v="112259"/>
    <n v="777"/>
    <n v="3179"/>
    <x v="0"/>
    <n v="0.1898"/>
    <x v="0"/>
    <s v="Mortgaged"/>
    <n v="3"/>
    <n v="0"/>
    <s v="No"/>
    <s v="Yes"/>
    <x v="2"/>
    <n v="64370"/>
    <x v="256"/>
    <x v="83"/>
    <x v="241"/>
    <x v="0"/>
    <x v="0"/>
    <x v="0"/>
  </r>
  <r>
    <x v="257"/>
    <s v="Tiffany Howell"/>
    <x v="22"/>
    <x v="1"/>
    <x v="1"/>
    <s v="High School"/>
    <x v="2"/>
    <n v="42301"/>
    <n v="777"/>
    <n v="27639"/>
    <x v="1"/>
    <n v="0.1822"/>
    <x v="2"/>
    <s v="Mortgaged"/>
    <n v="20"/>
    <n v="0"/>
    <s v="No"/>
    <s v="No"/>
    <x v="3"/>
    <n v="65744"/>
    <x v="257"/>
    <x v="71"/>
    <x v="242"/>
    <x v="1"/>
    <x v="1"/>
    <x v="0"/>
  </r>
  <r>
    <x v="258"/>
    <s v="Andrew Navarro"/>
    <x v="0"/>
    <x v="1"/>
    <x v="2"/>
    <s v="High School"/>
    <x v="2"/>
    <n v="124672"/>
    <n v="776"/>
    <n v="40759"/>
    <x v="0"/>
    <n v="0.16980000000000001"/>
    <x v="3"/>
    <s v="Mortgaged"/>
    <n v="24"/>
    <n v="3"/>
    <s v="No"/>
    <s v="Yes"/>
    <x v="3"/>
    <n v="161561"/>
    <x v="258"/>
    <x v="46"/>
    <x v="243"/>
    <x v="0"/>
    <x v="0"/>
    <x v="0"/>
  </r>
  <r>
    <x v="259"/>
    <s v="Dylan Guzman"/>
    <x v="43"/>
    <x v="0"/>
    <x v="0"/>
    <s v="Graduate"/>
    <x v="2"/>
    <n v="106551"/>
    <n v="776"/>
    <n v="32969"/>
    <x v="1"/>
    <n v="0.1459"/>
    <x v="3"/>
    <s v="Mortgaged"/>
    <n v="17"/>
    <n v="3"/>
    <s v="No"/>
    <s v="Yes"/>
    <x v="4"/>
    <n v="6395"/>
    <x v="259"/>
    <x v="24"/>
    <x v="244"/>
    <x v="0"/>
    <x v="1"/>
    <x v="0"/>
  </r>
  <r>
    <x v="260"/>
    <s v="John Martinez"/>
    <x v="30"/>
    <x v="1"/>
    <x v="2"/>
    <s v="Graduate"/>
    <x v="3"/>
    <n v="30737"/>
    <n v="775"/>
    <n v="33356"/>
    <x v="0"/>
    <n v="5.4600000000000003E-2"/>
    <x v="3"/>
    <s v="Mortgaged"/>
    <n v="1"/>
    <n v="2"/>
    <s v="Yes"/>
    <s v="No"/>
    <x v="0"/>
    <n v="137679"/>
    <x v="260"/>
    <x v="15"/>
    <x v="245"/>
    <x v="1"/>
    <x v="0"/>
    <x v="0"/>
  </r>
  <r>
    <x v="261"/>
    <s v="Ashley Swanson"/>
    <x v="33"/>
    <x v="0"/>
    <x v="3"/>
    <s v="Postgraduate"/>
    <x v="0"/>
    <n v="106148"/>
    <n v="775"/>
    <n v="24382"/>
    <x v="2"/>
    <n v="0.11699999999999999"/>
    <x v="1"/>
    <s v="Owned"/>
    <n v="18"/>
    <n v="2"/>
    <s v="No"/>
    <s v="Yes"/>
    <x v="1"/>
    <n v="23251"/>
    <x v="261"/>
    <x v="18"/>
    <x v="199"/>
    <x v="1"/>
    <x v="0"/>
    <x v="0"/>
  </r>
  <r>
    <x v="262"/>
    <s v="Harry Jenkins"/>
    <x v="1"/>
    <x v="0"/>
    <x v="3"/>
    <s v="Graduate"/>
    <x v="3"/>
    <n v="114968"/>
    <n v="775"/>
    <n v="27562"/>
    <x v="0"/>
    <n v="0.11130000000000001"/>
    <x v="4"/>
    <s v="Owned"/>
    <n v="16"/>
    <n v="3"/>
    <s v="Yes"/>
    <s v="No"/>
    <x v="0"/>
    <n v="4266"/>
    <x v="262"/>
    <x v="4"/>
    <x v="246"/>
    <x v="0"/>
    <x v="0"/>
    <x v="0"/>
  </r>
  <r>
    <x v="263"/>
    <s v="Julie Garcia"/>
    <x v="16"/>
    <x v="0"/>
    <x v="1"/>
    <s v="High School"/>
    <x v="0"/>
    <n v="144606"/>
    <n v="775"/>
    <n v="31314"/>
    <x v="4"/>
    <n v="0.14610000000000001"/>
    <x v="4"/>
    <s v="Rented"/>
    <n v="16"/>
    <n v="0"/>
    <s v="Yes"/>
    <s v="Yes"/>
    <x v="2"/>
    <n v="18953"/>
    <x v="263"/>
    <x v="82"/>
    <x v="247"/>
    <x v="0"/>
    <x v="0"/>
    <x v="0"/>
  </r>
  <r>
    <x v="264"/>
    <s v="Tiffany Davis"/>
    <x v="10"/>
    <x v="1"/>
    <x v="0"/>
    <s v="PhD"/>
    <x v="2"/>
    <n v="103641"/>
    <n v="775"/>
    <n v="18996"/>
    <x v="2"/>
    <n v="0.1051"/>
    <x v="1"/>
    <s v="Owned"/>
    <n v="15"/>
    <n v="3"/>
    <s v="No"/>
    <s v="Yes"/>
    <x v="1"/>
    <n v="51072"/>
    <x v="264"/>
    <x v="20"/>
    <x v="248"/>
    <x v="1"/>
    <x v="1"/>
    <x v="0"/>
  </r>
  <r>
    <x v="265"/>
    <s v="Tammy Shannon"/>
    <x v="16"/>
    <x v="1"/>
    <x v="2"/>
    <s v="Postgraduate"/>
    <x v="0"/>
    <n v="63333"/>
    <n v="774"/>
    <n v="37157"/>
    <x v="4"/>
    <n v="0.17399999999999999"/>
    <x v="0"/>
    <s v="Mortgaged"/>
    <n v="24"/>
    <n v="0"/>
    <s v="Yes"/>
    <s v="No"/>
    <x v="4"/>
    <n v="150120"/>
    <x v="265"/>
    <x v="25"/>
    <x v="249"/>
    <x v="0"/>
    <x v="0"/>
    <x v="0"/>
  </r>
  <r>
    <x v="266"/>
    <s v="Christopher Wall"/>
    <x v="33"/>
    <x v="1"/>
    <x v="0"/>
    <s v="PhD"/>
    <x v="3"/>
    <n v="140594"/>
    <n v="774"/>
    <n v="1306"/>
    <x v="1"/>
    <n v="0.1197"/>
    <x v="4"/>
    <s v="Owned"/>
    <n v="19"/>
    <n v="2"/>
    <s v="Yes"/>
    <s v="Yes"/>
    <x v="0"/>
    <n v="149803"/>
    <x v="266"/>
    <x v="28"/>
    <x v="250"/>
    <x v="1"/>
    <x v="0"/>
    <x v="0"/>
  </r>
  <r>
    <x v="267"/>
    <s v="Donald Mendez"/>
    <x v="27"/>
    <x v="1"/>
    <x v="0"/>
    <s v="High School"/>
    <x v="1"/>
    <n v="100032"/>
    <n v="774"/>
    <n v="37212"/>
    <x v="1"/>
    <n v="0.1757"/>
    <x v="4"/>
    <s v="Owned"/>
    <n v="5"/>
    <n v="3"/>
    <s v="Yes"/>
    <s v="No"/>
    <x v="4"/>
    <n v="171335"/>
    <x v="267"/>
    <x v="57"/>
    <x v="251"/>
    <x v="0"/>
    <x v="0"/>
    <x v="0"/>
  </r>
  <r>
    <x v="268"/>
    <s v="Daniel Wyatt"/>
    <x v="17"/>
    <x v="1"/>
    <x v="3"/>
    <s v="Graduate"/>
    <x v="0"/>
    <n v="57146"/>
    <n v="773"/>
    <n v="31164"/>
    <x v="4"/>
    <n v="0.19600000000000001"/>
    <x v="5"/>
    <s v="Mortgaged"/>
    <n v="25"/>
    <n v="0"/>
    <s v="Yes"/>
    <s v="Yes"/>
    <x v="4"/>
    <n v="22068"/>
    <x v="268"/>
    <x v="67"/>
    <x v="252"/>
    <x v="1"/>
    <x v="0"/>
    <x v="0"/>
  </r>
  <r>
    <x v="269"/>
    <s v="Lisa Sanders"/>
    <x v="12"/>
    <x v="1"/>
    <x v="0"/>
    <s v="High School"/>
    <x v="0"/>
    <n v="23543"/>
    <n v="773"/>
    <n v="4841"/>
    <x v="0"/>
    <n v="0.1424"/>
    <x v="3"/>
    <s v="Rented"/>
    <n v="26"/>
    <n v="4"/>
    <s v="Yes"/>
    <s v="No"/>
    <x v="2"/>
    <n v="192590"/>
    <x v="269"/>
    <x v="15"/>
    <x v="253"/>
    <x v="0"/>
    <x v="0"/>
    <x v="0"/>
  </r>
  <r>
    <x v="270"/>
    <s v="Monica Martin MD"/>
    <x v="8"/>
    <x v="1"/>
    <x v="1"/>
    <s v="PhD"/>
    <x v="3"/>
    <n v="125764"/>
    <n v="773"/>
    <n v="43582"/>
    <x v="2"/>
    <n v="0.12179999999999999"/>
    <x v="3"/>
    <s v="Mortgaged"/>
    <n v="20"/>
    <n v="1"/>
    <s v="Yes"/>
    <s v="No"/>
    <x v="0"/>
    <n v="26950"/>
    <x v="270"/>
    <x v="30"/>
    <x v="155"/>
    <x v="1"/>
    <x v="1"/>
    <x v="0"/>
  </r>
  <r>
    <x v="271"/>
    <s v="Katherine Boyle"/>
    <x v="18"/>
    <x v="1"/>
    <x v="0"/>
    <s v="Graduate"/>
    <x v="3"/>
    <n v="38807"/>
    <n v="773"/>
    <n v="24211"/>
    <x v="4"/>
    <n v="8.1500000000000003E-2"/>
    <x v="2"/>
    <s v="Owned"/>
    <n v="20"/>
    <n v="0"/>
    <s v="No"/>
    <s v="Yes"/>
    <x v="2"/>
    <n v="110716"/>
    <x v="271"/>
    <x v="32"/>
    <x v="254"/>
    <x v="1"/>
    <x v="0"/>
    <x v="0"/>
  </r>
  <r>
    <x v="272"/>
    <s v="Anita Newman"/>
    <x v="31"/>
    <x v="1"/>
    <x v="3"/>
    <s v="PhD"/>
    <x v="3"/>
    <n v="46756"/>
    <n v="772"/>
    <n v="35248"/>
    <x v="3"/>
    <n v="0.13100000000000001"/>
    <x v="5"/>
    <s v="Rented"/>
    <n v="1"/>
    <n v="4"/>
    <s v="Yes"/>
    <s v="Yes"/>
    <x v="0"/>
    <n v="100521"/>
    <x v="272"/>
    <x v="0"/>
    <x v="255"/>
    <x v="1"/>
    <x v="0"/>
    <x v="0"/>
  </r>
  <r>
    <x v="273"/>
    <s v="Tiffany Thompson"/>
    <x v="9"/>
    <x v="1"/>
    <x v="0"/>
    <s v="Graduate"/>
    <x v="3"/>
    <n v="74401"/>
    <n v="772"/>
    <n v="32688"/>
    <x v="2"/>
    <n v="8.2400000000000001E-2"/>
    <x v="1"/>
    <s v="Mortgaged"/>
    <n v="7"/>
    <n v="3"/>
    <s v="No"/>
    <s v="Yes"/>
    <x v="1"/>
    <n v="173548"/>
    <x v="273"/>
    <x v="69"/>
    <x v="256"/>
    <x v="0"/>
    <x v="0"/>
    <x v="0"/>
  </r>
  <r>
    <x v="274"/>
    <s v="Joseph Johnson"/>
    <x v="41"/>
    <x v="1"/>
    <x v="0"/>
    <s v="Postgraduate"/>
    <x v="1"/>
    <n v="94531"/>
    <n v="772"/>
    <n v="41935"/>
    <x v="2"/>
    <n v="0.1082"/>
    <x v="2"/>
    <s v="Owned"/>
    <n v="20"/>
    <n v="2"/>
    <s v="No"/>
    <s v="Yes"/>
    <x v="3"/>
    <n v="27560"/>
    <x v="274"/>
    <x v="81"/>
    <x v="257"/>
    <x v="0"/>
    <x v="0"/>
    <x v="0"/>
  </r>
  <r>
    <x v="275"/>
    <s v="Jared Lewis"/>
    <x v="28"/>
    <x v="0"/>
    <x v="2"/>
    <s v="Graduate"/>
    <x v="0"/>
    <n v="117944"/>
    <n v="772"/>
    <n v="11956"/>
    <x v="0"/>
    <n v="0.1527"/>
    <x v="3"/>
    <s v="Owned"/>
    <n v="2"/>
    <n v="2"/>
    <s v="No"/>
    <s v="No"/>
    <x v="0"/>
    <n v="48020"/>
    <x v="275"/>
    <x v="40"/>
    <x v="258"/>
    <x v="0"/>
    <x v="0"/>
    <x v="0"/>
  </r>
  <r>
    <x v="276"/>
    <s v="Jeffrey Chen"/>
    <x v="9"/>
    <x v="0"/>
    <x v="0"/>
    <s v="Graduate"/>
    <x v="2"/>
    <n v="90192"/>
    <n v="772"/>
    <n v="17997"/>
    <x v="0"/>
    <n v="5.5399999999999998E-2"/>
    <x v="0"/>
    <s v="Owned"/>
    <n v="13"/>
    <n v="4"/>
    <s v="No"/>
    <s v="No"/>
    <x v="2"/>
    <n v="149949"/>
    <x v="276"/>
    <x v="43"/>
    <x v="259"/>
    <x v="1"/>
    <x v="0"/>
    <x v="0"/>
  </r>
  <r>
    <x v="277"/>
    <s v="James Ross"/>
    <x v="0"/>
    <x v="1"/>
    <x v="3"/>
    <s v="Graduate"/>
    <x v="3"/>
    <n v="48615"/>
    <n v="772"/>
    <n v="13906"/>
    <x v="0"/>
    <n v="0.18870000000000001"/>
    <x v="1"/>
    <s v="Owned"/>
    <n v="1"/>
    <n v="4"/>
    <s v="Yes"/>
    <s v="Yes"/>
    <x v="4"/>
    <n v="3264"/>
    <x v="277"/>
    <x v="18"/>
    <x v="260"/>
    <x v="1"/>
    <x v="1"/>
    <x v="0"/>
  </r>
  <r>
    <x v="278"/>
    <s v="Melanie Taylor"/>
    <x v="11"/>
    <x v="0"/>
    <x v="0"/>
    <s v="Postgraduate"/>
    <x v="1"/>
    <n v="54731"/>
    <n v="772"/>
    <n v="32740"/>
    <x v="4"/>
    <n v="0.1517"/>
    <x v="4"/>
    <s v="Owned"/>
    <n v="16"/>
    <n v="3"/>
    <s v="Yes"/>
    <s v="Yes"/>
    <x v="2"/>
    <n v="126680"/>
    <x v="278"/>
    <x v="67"/>
    <x v="261"/>
    <x v="0"/>
    <x v="1"/>
    <x v="0"/>
  </r>
  <r>
    <x v="279"/>
    <s v="Kevin Crawford"/>
    <x v="0"/>
    <x v="1"/>
    <x v="3"/>
    <s v="Graduate"/>
    <x v="3"/>
    <n v="77225"/>
    <n v="772"/>
    <n v="35818"/>
    <x v="2"/>
    <n v="0.1736"/>
    <x v="2"/>
    <s v="Rented"/>
    <n v="15"/>
    <n v="0"/>
    <s v="Yes"/>
    <s v="No"/>
    <x v="0"/>
    <n v="117298"/>
    <x v="279"/>
    <x v="22"/>
    <x v="262"/>
    <x v="1"/>
    <x v="0"/>
    <x v="0"/>
  </r>
  <r>
    <x v="280"/>
    <s v="Paul Morrison"/>
    <x v="17"/>
    <x v="0"/>
    <x v="0"/>
    <s v="Postgraduate"/>
    <x v="2"/>
    <n v="98052"/>
    <n v="771"/>
    <n v="48373"/>
    <x v="0"/>
    <n v="0.11349999999999999"/>
    <x v="1"/>
    <s v="Owned"/>
    <n v="21"/>
    <n v="2"/>
    <s v="Yes"/>
    <s v="Yes"/>
    <x v="2"/>
    <n v="106691"/>
    <x v="280"/>
    <x v="64"/>
    <x v="263"/>
    <x v="1"/>
    <x v="0"/>
    <x v="0"/>
  </r>
  <r>
    <x v="281"/>
    <s v="Mr. Charles Mitchell"/>
    <x v="7"/>
    <x v="0"/>
    <x v="1"/>
    <s v="PhD"/>
    <x v="1"/>
    <n v="46140"/>
    <n v="771"/>
    <n v="6651"/>
    <x v="0"/>
    <n v="0.18410000000000001"/>
    <x v="1"/>
    <s v="Mortgaged"/>
    <n v="3"/>
    <n v="1"/>
    <s v="Yes"/>
    <s v="No"/>
    <x v="3"/>
    <n v="62473"/>
    <x v="281"/>
    <x v="34"/>
    <x v="264"/>
    <x v="0"/>
    <x v="0"/>
    <x v="0"/>
  </r>
  <r>
    <x v="282"/>
    <s v="Jonathan Dixon"/>
    <x v="4"/>
    <x v="0"/>
    <x v="0"/>
    <s v="Postgraduate"/>
    <x v="1"/>
    <n v="119122"/>
    <n v="771"/>
    <n v="49478"/>
    <x v="0"/>
    <n v="0.1573"/>
    <x v="1"/>
    <s v="Owned"/>
    <n v="12"/>
    <n v="0"/>
    <s v="No"/>
    <s v="No"/>
    <x v="3"/>
    <n v="167727"/>
    <x v="282"/>
    <x v="80"/>
    <x v="265"/>
    <x v="1"/>
    <x v="1"/>
    <x v="0"/>
  </r>
  <r>
    <x v="283"/>
    <s v="Omar Kelley"/>
    <x v="1"/>
    <x v="0"/>
    <x v="0"/>
    <s v="High School"/>
    <x v="1"/>
    <n v="34591"/>
    <n v="771"/>
    <n v="24177"/>
    <x v="3"/>
    <n v="0.14649999999999999"/>
    <x v="2"/>
    <s v="Owned"/>
    <n v="18"/>
    <n v="4"/>
    <s v="Yes"/>
    <s v="Yes"/>
    <x v="2"/>
    <n v="181465"/>
    <x v="283"/>
    <x v="36"/>
    <x v="266"/>
    <x v="0"/>
    <x v="0"/>
    <x v="0"/>
  </r>
  <r>
    <x v="284"/>
    <s v="Stephen Lewis"/>
    <x v="8"/>
    <x v="0"/>
    <x v="1"/>
    <s v="High School"/>
    <x v="1"/>
    <n v="97462"/>
    <n v="771"/>
    <n v="5301"/>
    <x v="1"/>
    <n v="0.15579999999999999"/>
    <x v="1"/>
    <s v="Owned"/>
    <n v="27"/>
    <n v="2"/>
    <s v="Yes"/>
    <s v="Yes"/>
    <x v="2"/>
    <n v="1103"/>
    <x v="284"/>
    <x v="71"/>
    <x v="267"/>
    <x v="0"/>
    <x v="0"/>
    <x v="0"/>
  </r>
  <r>
    <x v="285"/>
    <s v="Alisha Smith"/>
    <x v="1"/>
    <x v="1"/>
    <x v="1"/>
    <s v="PhD"/>
    <x v="2"/>
    <n v="62372"/>
    <n v="771"/>
    <n v="1633"/>
    <x v="1"/>
    <n v="0.13059999999999999"/>
    <x v="5"/>
    <s v="Owned"/>
    <n v="1"/>
    <n v="0"/>
    <s v="Yes"/>
    <s v="Yes"/>
    <x v="1"/>
    <n v="76174"/>
    <x v="285"/>
    <x v="23"/>
    <x v="268"/>
    <x v="1"/>
    <x v="0"/>
    <x v="0"/>
  </r>
  <r>
    <x v="286"/>
    <s v="Jessica Francis"/>
    <x v="12"/>
    <x v="0"/>
    <x v="0"/>
    <s v="High School"/>
    <x v="0"/>
    <n v="48754"/>
    <n v="771"/>
    <n v="4774"/>
    <x v="0"/>
    <n v="5.04E-2"/>
    <x v="5"/>
    <s v="Owned"/>
    <n v="10"/>
    <n v="2"/>
    <s v="No"/>
    <s v="No"/>
    <x v="4"/>
    <n v="80290"/>
    <x v="286"/>
    <x v="67"/>
    <x v="269"/>
    <x v="1"/>
    <x v="0"/>
    <x v="0"/>
  </r>
  <r>
    <x v="287"/>
    <s v="Larry Walters"/>
    <x v="26"/>
    <x v="0"/>
    <x v="0"/>
    <s v="PhD"/>
    <x v="2"/>
    <n v="76030"/>
    <n v="770"/>
    <n v="39164"/>
    <x v="0"/>
    <n v="6.8400000000000002E-2"/>
    <x v="0"/>
    <s v="Owned"/>
    <n v="23"/>
    <n v="1"/>
    <s v="No"/>
    <s v="No"/>
    <x v="3"/>
    <n v="199109"/>
    <x v="287"/>
    <x v="70"/>
    <x v="270"/>
    <x v="0"/>
    <x v="0"/>
    <x v="0"/>
  </r>
  <r>
    <x v="288"/>
    <s v="Carolyn Fletcher"/>
    <x v="34"/>
    <x v="1"/>
    <x v="3"/>
    <s v="PhD"/>
    <x v="1"/>
    <n v="28222"/>
    <n v="770"/>
    <n v="47798"/>
    <x v="1"/>
    <n v="0.13269999999999998"/>
    <x v="2"/>
    <s v="Rented"/>
    <n v="4"/>
    <n v="0"/>
    <s v="Yes"/>
    <s v="Yes"/>
    <x v="3"/>
    <n v="181065"/>
    <x v="288"/>
    <x v="14"/>
    <x v="271"/>
    <x v="1"/>
    <x v="0"/>
    <x v="0"/>
  </r>
  <r>
    <x v="289"/>
    <s v="Kristina Greer"/>
    <x v="35"/>
    <x v="1"/>
    <x v="0"/>
    <s v="High School"/>
    <x v="1"/>
    <n v="30702"/>
    <n v="770"/>
    <n v="23441"/>
    <x v="0"/>
    <n v="0.1295"/>
    <x v="2"/>
    <s v="Mortgaged"/>
    <n v="13"/>
    <n v="2"/>
    <s v="Yes"/>
    <s v="Yes"/>
    <x v="3"/>
    <n v="70963"/>
    <x v="289"/>
    <x v="28"/>
    <x v="272"/>
    <x v="0"/>
    <x v="1"/>
    <x v="0"/>
  </r>
  <r>
    <x v="290"/>
    <s v="Shelly Anderson"/>
    <x v="11"/>
    <x v="0"/>
    <x v="2"/>
    <s v="Graduate"/>
    <x v="3"/>
    <n v="134921"/>
    <n v="770"/>
    <n v="14587"/>
    <x v="4"/>
    <n v="7.2000000000000008E-2"/>
    <x v="1"/>
    <s v="Mortgaged"/>
    <n v="27"/>
    <n v="4"/>
    <s v="Yes"/>
    <s v="No"/>
    <x v="2"/>
    <n v="34378"/>
    <x v="290"/>
    <x v="26"/>
    <x v="273"/>
    <x v="0"/>
    <x v="0"/>
    <x v="0"/>
  </r>
  <r>
    <x v="291"/>
    <s v="Charles Cox"/>
    <x v="4"/>
    <x v="1"/>
    <x v="1"/>
    <s v="High School"/>
    <x v="2"/>
    <n v="99096"/>
    <n v="769"/>
    <n v="10004"/>
    <x v="3"/>
    <n v="0.1368"/>
    <x v="0"/>
    <s v="Owned"/>
    <n v="28"/>
    <n v="2"/>
    <s v="Yes"/>
    <s v="No"/>
    <x v="1"/>
    <n v="104583"/>
    <x v="291"/>
    <x v="83"/>
    <x v="70"/>
    <x v="0"/>
    <x v="0"/>
    <x v="0"/>
  </r>
  <r>
    <x v="292"/>
    <s v="Regina Ellis"/>
    <x v="39"/>
    <x v="1"/>
    <x v="0"/>
    <s v="High School"/>
    <x v="0"/>
    <n v="113789"/>
    <n v="769"/>
    <n v="1246"/>
    <x v="1"/>
    <n v="0.17879999999999999"/>
    <x v="4"/>
    <s v="Owned"/>
    <n v="27"/>
    <n v="4"/>
    <s v="No"/>
    <s v="Yes"/>
    <x v="0"/>
    <n v="20620"/>
    <x v="292"/>
    <x v="75"/>
    <x v="274"/>
    <x v="1"/>
    <x v="1"/>
    <x v="0"/>
  </r>
  <r>
    <x v="293"/>
    <s v="Melinda Simpson"/>
    <x v="0"/>
    <x v="0"/>
    <x v="1"/>
    <s v="High School"/>
    <x v="2"/>
    <n v="127430"/>
    <n v="769"/>
    <n v="14919"/>
    <x v="1"/>
    <n v="5.8499999999999996E-2"/>
    <x v="2"/>
    <s v="Owned"/>
    <n v="18"/>
    <n v="2"/>
    <s v="No"/>
    <s v="Yes"/>
    <x v="4"/>
    <n v="113346"/>
    <x v="293"/>
    <x v="55"/>
    <x v="275"/>
    <x v="0"/>
    <x v="0"/>
    <x v="0"/>
  </r>
  <r>
    <x v="294"/>
    <s v="Kathryn Little"/>
    <x v="19"/>
    <x v="0"/>
    <x v="3"/>
    <s v="High School"/>
    <x v="0"/>
    <n v="125575"/>
    <n v="769"/>
    <n v="40174"/>
    <x v="0"/>
    <n v="0.1825"/>
    <x v="3"/>
    <s v="Owned"/>
    <n v="9"/>
    <n v="3"/>
    <s v="Yes"/>
    <s v="Yes"/>
    <x v="4"/>
    <n v="19491"/>
    <x v="294"/>
    <x v="62"/>
    <x v="276"/>
    <x v="0"/>
    <x v="0"/>
    <x v="0"/>
  </r>
  <r>
    <x v="295"/>
    <s v="Rachel Everett"/>
    <x v="18"/>
    <x v="0"/>
    <x v="0"/>
    <s v="High School"/>
    <x v="3"/>
    <n v="140198"/>
    <n v="768"/>
    <n v="7805"/>
    <x v="3"/>
    <n v="0.16570000000000001"/>
    <x v="0"/>
    <s v="Rented"/>
    <n v="20"/>
    <n v="4"/>
    <s v="No"/>
    <s v="Yes"/>
    <x v="0"/>
    <n v="64817"/>
    <x v="295"/>
    <x v="48"/>
    <x v="277"/>
    <x v="0"/>
    <x v="0"/>
    <x v="0"/>
  </r>
  <r>
    <x v="296"/>
    <s v="Maurice Ellis"/>
    <x v="26"/>
    <x v="0"/>
    <x v="2"/>
    <s v="Postgraduate"/>
    <x v="1"/>
    <n v="29719"/>
    <n v="768"/>
    <n v="37930"/>
    <x v="2"/>
    <n v="6.7799999999999999E-2"/>
    <x v="5"/>
    <s v="Mortgaged"/>
    <n v="28"/>
    <n v="4"/>
    <s v="Yes"/>
    <s v="No"/>
    <x v="4"/>
    <n v="49914"/>
    <x v="296"/>
    <x v="58"/>
    <x v="278"/>
    <x v="1"/>
    <x v="0"/>
    <x v="0"/>
  </r>
  <r>
    <x v="297"/>
    <s v="William Brown"/>
    <x v="28"/>
    <x v="1"/>
    <x v="3"/>
    <s v="Graduate"/>
    <x v="2"/>
    <n v="76920"/>
    <n v="767"/>
    <n v="38805"/>
    <x v="2"/>
    <n v="0.13350000000000001"/>
    <x v="5"/>
    <s v="Mortgaged"/>
    <n v="16"/>
    <n v="0"/>
    <s v="No"/>
    <s v="Yes"/>
    <x v="4"/>
    <n v="146528"/>
    <x v="297"/>
    <x v="17"/>
    <x v="279"/>
    <x v="0"/>
    <x v="0"/>
    <x v="0"/>
  </r>
  <r>
    <x v="298"/>
    <s v="Melissa Sanchez"/>
    <x v="42"/>
    <x v="0"/>
    <x v="1"/>
    <s v="PhD"/>
    <x v="1"/>
    <n v="148353"/>
    <n v="767"/>
    <n v="5666"/>
    <x v="0"/>
    <n v="5.7500000000000002E-2"/>
    <x v="2"/>
    <s v="Rented"/>
    <n v="23"/>
    <n v="4"/>
    <s v="No"/>
    <s v="No"/>
    <x v="4"/>
    <n v="143376"/>
    <x v="298"/>
    <x v="24"/>
    <x v="280"/>
    <x v="1"/>
    <x v="0"/>
    <x v="0"/>
  </r>
  <r>
    <x v="299"/>
    <s v="Allison Gonzalez"/>
    <x v="28"/>
    <x v="1"/>
    <x v="0"/>
    <s v="Graduate"/>
    <x v="1"/>
    <n v="43519"/>
    <n v="767"/>
    <n v="36185"/>
    <x v="1"/>
    <n v="5.8600000000000006E-2"/>
    <x v="1"/>
    <s v="Mortgaged"/>
    <n v="1"/>
    <n v="1"/>
    <s v="No"/>
    <s v="Yes"/>
    <x v="2"/>
    <n v="197863"/>
    <x v="299"/>
    <x v="20"/>
    <x v="281"/>
    <x v="0"/>
    <x v="0"/>
    <x v="0"/>
  </r>
  <r>
    <x v="300"/>
    <s v="Ryan Meyer"/>
    <x v="5"/>
    <x v="1"/>
    <x v="0"/>
    <s v="High School"/>
    <x v="3"/>
    <n v="78408"/>
    <n v="767"/>
    <n v="8835"/>
    <x v="1"/>
    <n v="0.1008"/>
    <x v="2"/>
    <s v="Mortgaged"/>
    <n v="12"/>
    <n v="1"/>
    <s v="No"/>
    <s v="No"/>
    <x v="3"/>
    <n v="55615"/>
    <x v="300"/>
    <x v="84"/>
    <x v="282"/>
    <x v="0"/>
    <x v="0"/>
    <x v="0"/>
  </r>
  <r>
    <x v="301"/>
    <s v="Joshua Galvan"/>
    <x v="2"/>
    <x v="1"/>
    <x v="2"/>
    <s v="Graduate"/>
    <x v="1"/>
    <n v="135399"/>
    <n v="767"/>
    <n v="2607"/>
    <x v="3"/>
    <n v="0.11789999999999999"/>
    <x v="0"/>
    <s v="Mortgaged"/>
    <n v="12"/>
    <n v="4"/>
    <s v="Yes"/>
    <s v="Yes"/>
    <x v="3"/>
    <n v="30377"/>
    <x v="301"/>
    <x v="37"/>
    <x v="283"/>
    <x v="0"/>
    <x v="0"/>
    <x v="0"/>
  </r>
  <r>
    <x v="302"/>
    <s v="Linda Taylor"/>
    <x v="11"/>
    <x v="1"/>
    <x v="3"/>
    <s v="Graduate"/>
    <x v="3"/>
    <n v="96768"/>
    <n v="766"/>
    <n v="16595"/>
    <x v="0"/>
    <n v="9.7500000000000003E-2"/>
    <x v="0"/>
    <s v="Owned"/>
    <n v="28"/>
    <n v="0"/>
    <s v="Yes"/>
    <s v="Yes"/>
    <x v="0"/>
    <n v="91975"/>
    <x v="302"/>
    <x v="6"/>
    <x v="284"/>
    <x v="0"/>
    <x v="0"/>
    <x v="0"/>
  </r>
  <r>
    <x v="303"/>
    <s v="Timothy Smith"/>
    <x v="13"/>
    <x v="0"/>
    <x v="3"/>
    <s v="PhD"/>
    <x v="3"/>
    <n v="102357"/>
    <n v="766"/>
    <n v="39893"/>
    <x v="2"/>
    <n v="0.1074"/>
    <x v="0"/>
    <s v="Rented"/>
    <n v="6"/>
    <n v="4"/>
    <s v="No"/>
    <s v="Yes"/>
    <x v="4"/>
    <n v="56235"/>
    <x v="303"/>
    <x v="70"/>
    <x v="285"/>
    <x v="1"/>
    <x v="0"/>
    <x v="0"/>
  </r>
  <r>
    <x v="304"/>
    <s v="Andrew Smith"/>
    <x v="20"/>
    <x v="1"/>
    <x v="3"/>
    <s v="Postgraduate"/>
    <x v="0"/>
    <n v="123361"/>
    <n v="766"/>
    <n v="6594"/>
    <x v="0"/>
    <n v="7.4800000000000005E-2"/>
    <x v="5"/>
    <s v="Rented"/>
    <n v="19"/>
    <n v="3"/>
    <s v="No"/>
    <s v="No"/>
    <x v="0"/>
    <n v="184395"/>
    <x v="304"/>
    <x v="61"/>
    <x v="286"/>
    <x v="0"/>
    <x v="0"/>
    <x v="0"/>
  </r>
  <r>
    <x v="305"/>
    <s v="Tyler Haynes"/>
    <x v="23"/>
    <x v="0"/>
    <x v="0"/>
    <s v="Postgraduate"/>
    <x v="1"/>
    <n v="53688"/>
    <n v="766"/>
    <n v="11903"/>
    <x v="1"/>
    <n v="8.9800000000000005E-2"/>
    <x v="5"/>
    <s v="Owned"/>
    <n v="23"/>
    <n v="0"/>
    <s v="No"/>
    <s v="No"/>
    <x v="2"/>
    <n v="60461"/>
    <x v="305"/>
    <x v="73"/>
    <x v="287"/>
    <x v="1"/>
    <x v="0"/>
    <x v="0"/>
  </r>
  <r>
    <x v="306"/>
    <s v="Mitchell Ramos"/>
    <x v="0"/>
    <x v="0"/>
    <x v="2"/>
    <s v="PhD"/>
    <x v="0"/>
    <n v="78436"/>
    <n v="766"/>
    <n v="26717"/>
    <x v="1"/>
    <n v="6.25E-2"/>
    <x v="2"/>
    <s v="Owned"/>
    <n v="16"/>
    <n v="1"/>
    <s v="Yes"/>
    <s v="No"/>
    <x v="1"/>
    <n v="101815"/>
    <x v="306"/>
    <x v="76"/>
    <x v="288"/>
    <x v="1"/>
    <x v="0"/>
    <x v="0"/>
  </r>
  <r>
    <x v="307"/>
    <s v="Rebecca Hanson"/>
    <x v="42"/>
    <x v="0"/>
    <x v="2"/>
    <s v="PhD"/>
    <x v="1"/>
    <n v="131266"/>
    <n v="766"/>
    <n v="2902"/>
    <x v="0"/>
    <n v="0.10640000000000001"/>
    <x v="4"/>
    <s v="Mortgaged"/>
    <n v="27"/>
    <n v="0"/>
    <s v="Yes"/>
    <s v="No"/>
    <x v="4"/>
    <n v="143993"/>
    <x v="307"/>
    <x v="30"/>
    <x v="289"/>
    <x v="0"/>
    <x v="1"/>
    <x v="0"/>
  </r>
  <r>
    <x v="308"/>
    <s v="Cody Smith"/>
    <x v="27"/>
    <x v="0"/>
    <x v="2"/>
    <s v="High School"/>
    <x v="2"/>
    <n v="133034"/>
    <n v="765"/>
    <n v="29878"/>
    <x v="3"/>
    <n v="0.109"/>
    <x v="0"/>
    <s v="Owned"/>
    <n v="16"/>
    <n v="0"/>
    <s v="No"/>
    <s v="Yes"/>
    <x v="4"/>
    <n v="102304"/>
    <x v="308"/>
    <x v="39"/>
    <x v="290"/>
    <x v="0"/>
    <x v="0"/>
    <x v="0"/>
  </r>
  <r>
    <x v="309"/>
    <s v="Carlos Alvarez"/>
    <x v="23"/>
    <x v="0"/>
    <x v="2"/>
    <s v="Postgraduate"/>
    <x v="1"/>
    <n v="138142"/>
    <n v="765"/>
    <n v="29039"/>
    <x v="3"/>
    <n v="0.19589999999999999"/>
    <x v="4"/>
    <s v="Mortgaged"/>
    <n v="19"/>
    <n v="2"/>
    <s v="No"/>
    <s v="Yes"/>
    <x v="3"/>
    <n v="49305"/>
    <x v="309"/>
    <x v="71"/>
    <x v="291"/>
    <x v="1"/>
    <x v="0"/>
    <x v="0"/>
  </r>
  <r>
    <x v="310"/>
    <s v="Heather Reed"/>
    <x v="43"/>
    <x v="1"/>
    <x v="1"/>
    <s v="Postgraduate"/>
    <x v="2"/>
    <n v="132167"/>
    <n v="765"/>
    <n v="27415"/>
    <x v="4"/>
    <n v="9.4E-2"/>
    <x v="5"/>
    <s v="Mortgaged"/>
    <n v="8"/>
    <n v="3"/>
    <s v="No"/>
    <s v="No"/>
    <x v="2"/>
    <n v="45091"/>
    <x v="310"/>
    <x v="63"/>
    <x v="292"/>
    <x v="1"/>
    <x v="0"/>
    <x v="0"/>
  </r>
  <r>
    <x v="311"/>
    <s v="Brian Brooks"/>
    <x v="27"/>
    <x v="0"/>
    <x v="0"/>
    <s v="Postgraduate"/>
    <x v="2"/>
    <n v="139815"/>
    <n v="765"/>
    <n v="9078"/>
    <x v="1"/>
    <n v="0.1603"/>
    <x v="1"/>
    <s v="Owned"/>
    <n v="3"/>
    <n v="3"/>
    <s v="Yes"/>
    <s v="Yes"/>
    <x v="3"/>
    <n v="199106"/>
    <x v="311"/>
    <x v="81"/>
    <x v="293"/>
    <x v="1"/>
    <x v="1"/>
    <x v="0"/>
  </r>
  <r>
    <x v="312"/>
    <s v="Alexander Wood"/>
    <x v="27"/>
    <x v="1"/>
    <x v="3"/>
    <s v="Graduate"/>
    <x v="0"/>
    <n v="62933"/>
    <n v="765"/>
    <n v="14054"/>
    <x v="3"/>
    <n v="0.16870000000000002"/>
    <x v="4"/>
    <s v="Mortgaged"/>
    <n v="24"/>
    <n v="1"/>
    <s v="No"/>
    <s v="Yes"/>
    <x v="2"/>
    <n v="135248"/>
    <x v="312"/>
    <x v="72"/>
    <x v="294"/>
    <x v="1"/>
    <x v="0"/>
    <x v="0"/>
  </r>
  <r>
    <x v="313"/>
    <s v="Phillip Orozco"/>
    <x v="30"/>
    <x v="0"/>
    <x v="2"/>
    <s v="PhD"/>
    <x v="0"/>
    <n v="61256"/>
    <n v="764"/>
    <n v="2018"/>
    <x v="1"/>
    <n v="7.8299999999999995E-2"/>
    <x v="5"/>
    <s v="Rented"/>
    <n v="4"/>
    <n v="4"/>
    <s v="No"/>
    <s v="No"/>
    <x v="4"/>
    <n v="65059"/>
    <x v="313"/>
    <x v="59"/>
    <x v="295"/>
    <x v="1"/>
    <x v="0"/>
    <x v="0"/>
  </r>
  <r>
    <x v="314"/>
    <s v="Holly Salas"/>
    <x v="22"/>
    <x v="0"/>
    <x v="0"/>
    <s v="PhD"/>
    <x v="0"/>
    <n v="98816"/>
    <n v="764"/>
    <n v="23889"/>
    <x v="0"/>
    <n v="0.1663"/>
    <x v="0"/>
    <s v="Mortgaged"/>
    <n v="18"/>
    <n v="1"/>
    <s v="No"/>
    <s v="Yes"/>
    <x v="2"/>
    <n v="51697"/>
    <x v="314"/>
    <x v="39"/>
    <x v="296"/>
    <x v="1"/>
    <x v="0"/>
    <x v="0"/>
  </r>
  <r>
    <x v="315"/>
    <s v="Gabriel Alexander"/>
    <x v="24"/>
    <x v="0"/>
    <x v="2"/>
    <s v="Postgraduate"/>
    <x v="0"/>
    <n v="55670"/>
    <n v="764"/>
    <n v="27119"/>
    <x v="0"/>
    <n v="0.1794"/>
    <x v="0"/>
    <s v="Owned"/>
    <n v="6"/>
    <n v="2"/>
    <s v="No"/>
    <s v="Yes"/>
    <x v="3"/>
    <n v="82121"/>
    <x v="315"/>
    <x v="34"/>
    <x v="297"/>
    <x v="0"/>
    <x v="0"/>
    <x v="0"/>
  </r>
  <r>
    <x v="316"/>
    <s v="Ellen Phillips"/>
    <x v="7"/>
    <x v="0"/>
    <x v="3"/>
    <s v="High School"/>
    <x v="3"/>
    <n v="109317"/>
    <n v="763"/>
    <n v="43691"/>
    <x v="0"/>
    <n v="6.0499999999999998E-2"/>
    <x v="1"/>
    <s v="Rented"/>
    <n v="3"/>
    <n v="3"/>
    <s v="No"/>
    <s v="Yes"/>
    <x v="1"/>
    <n v="147906"/>
    <x v="316"/>
    <x v="0"/>
    <x v="298"/>
    <x v="0"/>
    <x v="0"/>
    <x v="0"/>
  </r>
  <r>
    <x v="317"/>
    <s v="Emily King"/>
    <x v="42"/>
    <x v="0"/>
    <x v="3"/>
    <s v="Graduate"/>
    <x v="1"/>
    <n v="138330"/>
    <n v="763"/>
    <n v="16003"/>
    <x v="3"/>
    <n v="0.16699999999999998"/>
    <x v="1"/>
    <s v="Mortgaged"/>
    <n v="23"/>
    <n v="3"/>
    <s v="Yes"/>
    <s v="No"/>
    <x v="1"/>
    <n v="136354"/>
    <x v="317"/>
    <x v="84"/>
    <x v="109"/>
    <x v="1"/>
    <x v="0"/>
    <x v="0"/>
  </r>
  <r>
    <x v="318"/>
    <s v="Donna Welch"/>
    <x v="20"/>
    <x v="0"/>
    <x v="3"/>
    <s v="PhD"/>
    <x v="2"/>
    <n v="58259"/>
    <n v="763"/>
    <n v="32403"/>
    <x v="2"/>
    <n v="5.5E-2"/>
    <x v="3"/>
    <s v="Rented"/>
    <n v="29"/>
    <n v="1"/>
    <s v="Yes"/>
    <s v="No"/>
    <x v="3"/>
    <n v="182678"/>
    <x v="318"/>
    <x v="30"/>
    <x v="299"/>
    <x v="0"/>
    <x v="0"/>
    <x v="0"/>
  </r>
  <r>
    <x v="319"/>
    <s v="Samuel Hernandez"/>
    <x v="36"/>
    <x v="0"/>
    <x v="2"/>
    <s v="PhD"/>
    <x v="2"/>
    <n v="99569"/>
    <n v="763"/>
    <n v="8187"/>
    <x v="0"/>
    <n v="0.1527"/>
    <x v="0"/>
    <s v="Rented"/>
    <n v="5"/>
    <n v="0"/>
    <s v="Yes"/>
    <s v="No"/>
    <x v="1"/>
    <n v="168465"/>
    <x v="319"/>
    <x v="34"/>
    <x v="300"/>
    <x v="1"/>
    <x v="0"/>
    <x v="0"/>
  </r>
  <r>
    <x v="320"/>
    <s v="Stephanie Hodges"/>
    <x v="6"/>
    <x v="0"/>
    <x v="2"/>
    <s v="Graduate"/>
    <x v="1"/>
    <n v="45345"/>
    <n v="763"/>
    <n v="46766"/>
    <x v="3"/>
    <n v="0.17300000000000001"/>
    <x v="3"/>
    <s v="Mortgaged"/>
    <n v="11"/>
    <n v="0"/>
    <s v="Yes"/>
    <s v="Yes"/>
    <x v="0"/>
    <n v="37018"/>
    <x v="320"/>
    <x v="10"/>
    <x v="301"/>
    <x v="0"/>
    <x v="0"/>
    <x v="0"/>
  </r>
  <r>
    <x v="321"/>
    <s v="Jeffrey Silva"/>
    <x v="3"/>
    <x v="1"/>
    <x v="2"/>
    <s v="PhD"/>
    <x v="0"/>
    <n v="49504"/>
    <n v="763"/>
    <n v="25373"/>
    <x v="1"/>
    <n v="0.15390000000000001"/>
    <x v="2"/>
    <s v="Rented"/>
    <n v="10"/>
    <n v="2"/>
    <s v="Yes"/>
    <s v="No"/>
    <x v="1"/>
    <n v="37713"/>
    <x v="321"/>
    <x v="29"/>
    <x v="302"/>
    <x v="0"/>
    <x v="0"/>
    <x v="0"/>
  </r>
  <r>
    <x v="322"/>
    <s v="Carl Knox"/>
    <x v="3"/>
    <x v="1"/>
    <x v="3"/>
    <s v="PhD"/>
    <x v="3"/>
    <n v="32537"/>
    <n v="763"/>
    <n v="4952"/>
    <x v="1"/>
    <n v="0.14369999999999999"/>
    <x v="0"/>
    <s v="Owned"/>
    <n v="21"/>
    <n v="4"/>
    <s v="Yes"/>
    <s v="No"/>
    <x v="2"/>
    <n v="93207"/>
    <x v="322"/>
    <x v="24"/>
    <x v="303"/>
    <x v="1"/>
    <x v="0"/>
    <x v="0"/>
  </r>
  <r>
    <x v="323"/>
    <s v="Whitney Martinez"/>
    <x v="7"/>
    <x v="1"/>
    <x v="2"/>
    <s v="High School"/>
    <x v="1"/>
    <n v="137798"/>
    <n v="763"/>
    <n v="31636"/>
    <x v="3"/>
    <n v="9.8900000000000002E-2"/>
    <x v="2"/>
    <s v="Owned"/>
    <n v="5"/>
    <n v="4"/>
    <s v="No"/>
    <s v="Yes"/>
    <x v="1"/>
    <n v="172936"/>
    <x v="323"/>
    <x v="29"/>
    <x v="284"/>
    <x v="1"/>
    <x v="1"/>
    <x v="0"/>
  </r>
  <r>
    <x v="324"/>
    <s v="Cynthia Moody"/>
    <x v="10"/>
    <x v="0"/>
    <x v="0"/>
    <s v="Graduate"/>
    <x v="3"/>
    <n v="45496"/>
    <n v="763"/>
    <n v="49082"/>
    <x v="4"/>
    <n v="8.5000000000000006E-2"/>
    <x v="2"/>
    <s v="Rented"/>
    <n v="11"/>
    <n v="3"/>
    <s v="Yes"/>
    <s v="No"/>
    <x v="4"/>
    <n v="55610"/>
    <x v="324"/>
    <x v="28"/>
    <x v="304"/>
    <x v="1"/>
    <x v="1"/>
    <x v="0"/>
  </r>
  <r>
    <x v="325"/>
    <s v="Juan Blevins"/>
    <x v="24"/>
    <x v="0"/>
    <x v="0"/>
    <s v="PhD"/>
    <x v="0"/>
    <n v="72772"/>
    <n v="763"/>
    <n v="10492"/>
    <x v="4"/>
    <n v="0.13589999999999999"/>
    <x v="0"/>
    <s v="Rented"/>
    <n v="12"/>
    <n v="2"/>
    <s v="Yes"/>
    <s v="Yes"/>
    <x v="0"/>
    <n v="90815"/>
    <x v="325"/>
    <x v="85"/>
    <x v="305"/>
    <x v="1"/>
    <x v="0"/>
    <x v="0"/>
  </r>
  <r>
    <x v="326"/>
    <s v="John Bowman"/>
    <x v="28"/>
    <x v="0"/>
    <x v="2"/>
    <s v="PhD"/>
    <x v="3"/>
    <n v="81597"/>
    <n v="763"/>
    <n v="15662"/>
    <x v="1"/>
    <n v="0.13570000000000002"/>
    <x v="5"/>
    <s v="Rented"/>
    <n v="21"/>
    <n v="4"/>
    <s v="No"/>
    <s v="No"/>
    <x v="0"/>
    <n v="128104"/>
    <x v="326"/>
    <x v="17"/>
    <x v="306"/>
    <x v="0"/>
    <x v="0"/>
    <x v="0"/>
  </r>
  <r>
    <x v="327"/>
    <s v="Devon Valenzuela"/>
    <x v="9"/>
    <x v="0"/>
    <x v="1"/>
    <s v="Postgraduate"/>
    <x v="2"/>
    <n v="70639"/>
    <n v="762"/>
    <n v="34370"/>
    <x v="3"/>
    <n v="0.17739999999999997"/>
    <x v="0"/>
    <s v="Rented"/>
    <n v="12"/>
    <n v="2"/>
    <s v="Yes"/>
    <s v="No"/>
    <x v="1"/>
    <n v="158938"/>
    <x v="327"/>
    <x v="42"/>
    <x v="307"/>
    <x v="0"/>
    <x v="0"/>
    <x v="0"/>
  </r>
  <r>
    <x v="328"/>
    <s v="Luis Townsend"/>
    <x v="11"/>
    <x v="1"/>
    <x v="0"/>
    <s v="High School"/>
    <x v="0"/>
    <n v="92255"/>
    <n v="762"/>
    <n v="34298"/>
    <x v="0"/>
    <n v="0.18489999999999998"/>
    <x v="1"/>
    <s v="Mortgaged"/>
    <n v="6"/>
    <n v="2"/>
    <s v="Yes"/>
    <s v="No"/>
    <x v="3"/>
    <n v="179255"/>
    <x v="328"/>
    <x v="16"/>
    <x v="308"/>
    <x v="1"/>
    <x v="0"/>
    <x v="0"/>
  </r>
  <r>
    <x v="329"/>
    <s v="Jason Farrell"/>
    <x v="11"/>
    <x v="1"/>
    <x v="2"/>
    <s v="Postgraduate"/>
    <x v="2"/>
    <n v="33237"/>
    <n v="762"/>
    <n v="35607"/>
    <x v="4"/>
    <n v="0.10630000000000001"/>
    <x v="1"/>
    <s v="Owned"/>
    <n v="4"/>
    <n v="3"/>
    <s v="Yes"/>
    <s v="Yes"/>
    <x v="2"/>
    <n v="82056"/>
    <x v="329"/>
    <x v="67"/>
    <x v="309"/>
    <x v="0"/>
    <x v="0"/>
    <x v="0"/>
  </r>
  <r>
    <x v="330"/>
    <s v="Daniel Fernandez"/>
    <x v="7"/>
    <x v="1"/>
    <x v="3"/>
    <s v="Postgraduate"/>
    <x v="0"/>
    <n v="87194"/>
    <n v="762"/>
    <n v="48857"/>
    <x v="2"/>
    <n v="8.7300000000000003E-2"/>
    <x v="4"/>
    <s v="Rented"/>
    <n v="18"/>
    <n v="0"/>
    <s v="Yes"/>
    <s v="No"/>
    <x v="3"/>
    <n v="41706"/>
    <x v="330"/>
    <x v="63"/>
    <x v="310"/>
    <x v="0"/>
    <x v="0"/>
    <x v="0"/>
  </r>
  <r>
    <x v="331"/>
    <s v="Calvin Jacobs"/>
    <x v="12"/>
    <x v="0"/>
    <x v="1"/>
    <s v="Graduate"/>
    <x v="0"/>
    <n v="139496"/>
    <n v="762"/>
    <n v="32346"/>
    <x v="0"/>
    <n v="5.4699999999999999E-2"/>
    <x v="4"/>
    <s v="Owned"/>
    <n v="2"/>
    <n v="0"/>
    <s v="No"/>
    <s v="Yes"/>
    <x v="0"/>
    <n v="79864"/>
    <x v="331"/>
    <x v="5"/>
    <x v="311"/>
    <x v="0"/>
    <x v="0"/>
    <x v="0"/>
  </r>
  <r>
    <x v="332"/>
    <s v="Michael Garcia MD"/>
    <x v="19"/>
    <x v="0"/>
    <x v="2"/>
    <s v="Graduate"/>
    <x v="3"/>
    <n v="131915"/>
    <n v="761"/>
    <n v="42190"/>
    <x v="3"/>
    <n v="0.15839999999999999"/>
    <x v="2"/>
    <s v="Rented"/>
    <n v="10"/>
    <n v="3"/>
    <s v="Yes"/>
    <s v="No"/>
    <x v="2"/>
    <n v="9952"/>
    <x v="332"/>
    <x v="62"/>
    <x v="312"/>
    <x v="1"/>
    <x v="0"/>
    <x v="0"/>
  </r>
  <r>
    <x v="333"/>
    <s v="Dr. Jason Henderson"/>
    <x v="3"/>
    <x v="0"/>
    <x v="0"/>
    <s v="High School"/>
    <x v="2"/>
    <n v="119764"/>
    <n v="761"/>
    <n v="5617"/>
    <x v="4"/>
    <n v="0.15509999999999999"/>
    <x v="5"/>
    <s v="Rented"/>
    <n v="21"/>
    <n v="0"/>
    <s v="No"/>
    <s v="No"/>
    <x v="1"/>
    <n v="71663"/>
    <x v="333"/>
    <x v="14"/>
    <x v="313"/>
    <x v="0"/>
    <x v="0"/>
    <x v="0"/>
  </r>
  <r>
    <x v="334"/>
    <s v="Deborah Davis"/>
    <x v="10"/>
    <x v="1"/>
    <x v="1"/>
    <s v="PhD"/>
    <x v="1"/>
    <n v="63678"/>
    <n v="760"/>
    <n v="15298"/>
    <x v="2"/>
    <n v="6.9199999999999998E-2"/>
    <x v="3"/>
    <s v="Owned"/>
    <n v="6"/>
    <n v="0"/>
    <s v="Yes"/>
    <s v="Yes"/>
    <x v="2"/>
    <n v="170556"/>
    <x v="334"/>
    <x v="58"/>
    <x v="314"/>
    <x v="0"/>
    <x v="0"/>
    <x v="0"/>
  </r>
  <r>
    <x v="335"/>
    <s v="Brenda Allen"/>
    <x v="15"/>
    <x v="0"/>
    <x v="0"/>
    <s v="Graduate"/>
    <x v="2"/>
    <n v="23981"/>
    <n v="760"/>
    <n v="24752"/>
    <x v="0"/>
    <n v="7.5300000000000006E-2"/>
    <x v="5"/>
    <s v="Owned"/>
    <n v="29"/>
    <n v="3"/>
    <s v="No"/>
    <s v="No"/>
    <x v="2"/>
    <n v="168246"/>
    <x v="335"/>
    <x v="86"/>
    <x v="315"/>
    <x v="0"/>
    <x v="0"/>
    <x v="0"/>
  </r>
  <r>
    <x v="336"/>
    <s v="Crystal Tucker"/>
    <x v="12"/>
    <x v="1"/>
    <x v="0"/>
    <s v="Graduate"/>
    <x v="3"/>
    <n v="74943"/>
    <n v="760"/>
    <n v="2701"/>
    <x v="4"/>
    <n v="0.1134"/>
    <x v="5"/>
    <s v="Owned"/>
    <n v="6"/>
    <n v="2"/>
    <s v="Yes"/>
    <s v="No"/>
    <x v="0"/>
    <n v="141332"/>
    <x v="336"/>
    <x v="26"/>
    <x v="158"/>
    <x v="1"/>
    <x v="0"/>
    <x v="0"/>
  </r>
  <r>
    <x v="337"/>
    <s v="Jennifer Nelson"/>
    <x v="31"/>
    <x v="0"/>
    <x v="0"/>
    <s v="Graduate"/>
    <x v="3"/>
    <n v="64678"/>
    <n v="759"/>
    <n v="40328"/>
    <x v="3"/>
    <n v="0.17329999999999998"/>
    <x v="5"/>
    <s v="Rented"/>
    <n v="22"/>
    <n v="4"/>
    <s v="Yes"/>
    <s v="Yes"/>
    <x v="2"/>
    <n v="37394"/>
    <x v="337"/>
    <x v="53"/>
    <x v="316"/>
    <x v="0"/>
    <x v="0"/>
    <x v="0"/>
  </r>
  <r>
    <x v="338"/>
    <s v="Jennifer Rhodes"/>
    <x v="7"/>
    <x v="1"/>
    <x v="3"/>
    <s v="High School"/>
    <x v="2"/>
    <n v="56495"/>
    <n v="759"/>
    <n v="5889"/>
    <x v="1"/>
    <n v="5.7000000000000002E-2"/>
    <x v="3"/>
    <s v="Rented"/>
    <n v="16"/>
    <n v="2"/>
    <s v="No"/>
    <s v="No"/>
    <x v="4"/>
    <n v="151257"/>
    <x v="338"/>
    <x v="76"/>
    <x v="317"/>
    <x v="0"/>
    <x v="1"/>
    <x v="0"/>
  </r>
  <r>
    <x v="339"/>
    <s v="Christopher Kennedy"/>
    <x v="13"/>
    <x v="1"/>
    <x v="0"/>
    <s v="High School"/>
    <x v="1"/>
    <n v="120250"/>
    <n v="758"/>
    <n v="14280"/>
    <x v="1"/>
    <n v="7.6299999999999993E-2"/>
    <x v="1"/>
    <s v="Owned"/>
    <n v="4"/>
    <n v="1"/>
    <s v="Yes"/>
    <s v="No"/>
    <x v="1"/>
    <n v="146083"/>
    <x v="339"/>
    <x v="22"/>
    <x v="318"/>
    <x v="1"/>
    <x v="1"/>
    <x v="0"/>
  </r>
  <r>
    <x v="340"/>
    <s v="Alexandra Rodriguez"/>
    <x v="39"/>
    <x v="0"/>
    <x v="0"/>
    <s v="Graduate"/>
    <x v="2"/>
    <n v="95839"/>
    <n v="758"/>
    <n v="9303"/>
    <x v="3"/>
    <n v="0.15039999999999998"/>
    <x v="2"/>
    <s v="Rented"/>
    <n v="17"/>
    <n v="0"/>
    <s v="Yes"/>
    <s v="No"/>
    <x v="4"/>
    <n v="186018"/>
    <x v="340"/>
    <x v="67"/>
    <x v="319"/>
    <x v="0"/>
    <x v="0"/>
    <x v="0"/>
  </r>
  <r>
    <x v="341"/>
    <s v="Leroy Kaiser"/>
    <x v="21"/>
    <x v="0"/>
    <x v="3"/>
    <s v="Postgraduate"/>
    <x v="2"/>
    <n v="144321"/>
    <n v="758"/>
    <n v="23705"/>
    <x v="1"/>
    <n v="9.2100000000000015E-2"/>
    <x v="4"/>
    <s v="Mortgaged"/>
    <n v="6"/>
    <n v="2"/>
    <s v="Yes"/>
    <s v="No"/>
    <x v="4"/>
    <n v="52389"/>
    <x v="341"/>
    <x v="34"/>
    <x v="320"/>
    <x v="1"/>
    <x v="0"/>
    <x v="0"/>
  </r>
  <r>
    <x v="342"/>
    <s v="Bryan Bradford"/>
    <x v="37"/>
    <x v="1"/>
    <x v="3"/>
    <s v="High School"/>
    <x v="3"/>
    <n v="127561"/>
    <n v="757"/>
    <n v="28301"/>
    <x v="2"/>
    <n v="0.1343"/>
    <x v="4"/>
    <s v="Owned"/>
    <n v="3"/>
    <n v="0"/>
    <s v="Yes"/>
    <s v="Yes"/>
    <x v="1"/>
    <n v="35030"/>
    <x v="342"/>
    <x v="37"/>
    <x v="321"/>
    <x v="1"/>
    <x v="0"/>
    <x v="0"/>
  </r>
  <r>
    <x v="343"/>
    <s v="Mark Ware"/>
    <x v="36"/>
    <x v="1"/>
    <x v="0"/>
    <s v="PhD"/>
    <x v="0"/>
    <n v="77676"/>
    <n v="757"/>
    <n v="19800"/>
    <x v="4"/>
    <n v="0.19170000000000001"/>
    <x v="0"/>
    <s v="Rented"/>
    <n v="6"/>
    <n v="2"/>
    <s v="Yes"/>
    <s v="Yes"/>
    <x v="4"/>
    <n v="55429"/>
    <x v="343"/>
    <x v="22"/>
    <x v="117"/>
    <x v="1"/>
    <x v="0"/>
    <x v="0"/>
  </r>
  <r>
    <x v="344"/>
    <s v="Christopher Jones"/>
    <x v="39"/>
    <x v="0"/>
    <x v="3"/>
    <s v="High School"/>
    <x v="0"/>
    <n v="71990"/>
    <n v="757"/>
    <n v="12217"/>
    <x v="0"/>
    <n v="0.14019999999999999"/>
    <x v="3"/>
    <s v="Owned"/>
    <n v="3"/>
    <n v="0"/>
    <s v="No"/>
    <s v="No"/>
    <x v="3"/>
    <n v="82926"/>
    <x v="344"/>
    <x v="61"/>
    <x v="322"/>
    <x v="1"/>
    <x v="0"/>
    <x v="0"/>
  </r>
  <r>
    <x v="345"/>
    <s v="Samantha Fernandez"/>
    <x v="8"/>
    <x v="0"/>
    <x v="0"/>
    <s v="High School"/>
    <x v="2"/>
    <n v="123002"/>
    <n v="756"/>
    <n v="24804"/>
    <x v="2"/>
    <n v="0.1305"/>
    <x v="2"/>
    <s v="Mortgaged"/>
    <n v="25"/>
    <n v="4"/>
    <s v="Yes"/>
    <s v="No"/>
    <x v="0"/>
    <n v="150780"/>
    <x v="345"/>
    <x v="32"/>
    <x v="323"/>
    <x v="0"/>
    <x v="0"/>
    <x v="0"/>
  </r>
  <r>
    <x v="346"/>
    <s v="Amy George"/>
    <x v="20"/>
    <x v="1"/>
    <x v="0"/>
    <s v="Graduate"/>
    <x v="3"/>
    <n v="63822"/>
    <n v="756"/>
    <n v="43225"/>
    <x v="4"/>
    <n v="9.9000000000000005E-2"/>
    <x v="0"/>
    <s v="Mortgaged"/>
    <n v="27"/>
    <n v="2"/>
    <s v="Yes"/>
    <s v="No"/>
    <x v="3"/>
    <n v="13754"/>
    <x v="346"/>
    <x v="82"/>
    <x v="240"/>
    <x v="1"/>
    <x v="0"/>
    <x v="0"/>
  </r>
  <r>
    <x v="347"/>
    <s v="John Gomez"/>
    <x v="7"/>
    <x v="1"/>
    <x v="3"/>
    <s v="Postgraduate"/>
    <x v="0"/>
    <n v="76096"/>
    <n v="756"/>
    <n v="18256"/>
    <x v="2"/>
    <n v="0.19320000000000001"/>
    <x v="2"/>
    <s v="Rented"/>
    <n v="14"/>
    <n v="4"/>
    <s v="No"/>
    <s v="Yes"/>
    <x v="1"/>
    <n v="13908"/>
    <x v="347"/>
    <x v="77"/>
    <x v="324"/>
    <x v="1"/>
    <x v="1"/>
    <x v="0"/>
  </r>
  <r>
    <x v="348"/>
    <s v="Heather Mcneil"/>
    <x v="15"/>
    <x v="0"/>
    <x v="3"/>
    <s v="PhD"/>
    <x v="1"/>
    <n v="127113"/>
    <n v="756"/>
    <n v="27467"/>
    <x v="3"/>
    <n v="6.5099999999999991E-2"/>
    <x v="0"/>
    <s v="Rented"/>
    <n v="15"/>
    <n v="0"/>
    <s v="Yes"/>
    <s v="No"/>
    <x v="3"/>
    <n v="117314"/>
    <x v="348"/>
    <x v="71"/>
    <x v="325"/>
    <x v="0"/>
    <x v="0"/>
    <x v="0"/>
  </r>
  <r>
    <x v="349"/>
    <s v="James Phillips"/>
    <x v="13"/>
    <x v="1"/>
    <x v="3"/>
    <s v="Graduate"/>
    <x v="1"/>
    <n v="25077"/>
    <n v="755"/>
    <n v="46590"/>
    <x v="4"/>
    <n v="0.15570000000000001"/>
    <x v="0"/>
    <s v="Mortgaged"/>
    <n v="1"/>
    <n v="4"/>
    <s v="No"/>
    <s v="Yes"/>
    <x v="2"/>
    <n v="162003"/>
    <x v="349"/>
    <x v="82"/>
    <x v="274"/>
    <x v="1"/>
    <x v="0"/>
    <x v="0"/>
  </r>
  <r>
    <x v="350"/>
    <s v="Anthony Cook"/>
    <x v="35"/>
    <x v="0"/>
    <x v="0"/>
    <s v="Graduate"/>
    <x v="3"/>
    <n v="75982"/>
    <n v="755"/>
    <n v="13186"/>
    <x v="4"/>
    <n v="0.1052"/>
    <x v="2"/>
    <s v="Mortgaged"/>
    <n v="25"/>
    <n v="2"/>
    <s v="No"/>
    <s v="Yes"/>
    <x v="4"/>
    <n v="27916"/>
    <x v="350"/>
    <x v="67"/>
    <x v="326"/>
    <x v="1"/>
    <x v="0"/>
    <x v="0"/>
  </r>
  <r>
    <x v="351"/>
    <s v="John Thornton"/>
    <x v="2"/>
    <x v="1"/>
    <x v="1"/>
    <s v="PhD"/>
    <x v="3"/>
    <n v="63890"/>
    <n v="755"/>
    <n v="38304"/>
    <x v="1"/>
    <n v="0.1981"/>
    <x v="0"/>
    <s v="Rented"/>
    <n v="10"/>
    <n v="0"/>
    <s v="Yes"/>
    <s v="Yes"/>
    <x v="1"/>
    <n v="34844"/>
    <x v="351"/>
    <x v="13"/>
    <x v="327"/>
    <x v="1"/>
    <x v="1"/>
    <x v="0"/>
  </r>
  <r>
    <x v="352"/>
    <s v="Sarah Fleming"/>
    <x v="30"/>
    <x v="1"/>
    <x v="1"/>
    <s v="Postgraduate"/>
    <x v="2"/>
    <n v="44596"/>
    <n v="755"/>
    <n v="29906"/>
    <x v="1"/>
    <n v="5.4699999999999999E-2"/>
    <x v="0"/>
    <s v="Mortgaged"/>
    <n v="29"/>
    <n v="1"/>
    <s v="No"/>
    <s v="No"/>
    <x v="0"/>
    <n v="18033"/>
    <x v="352"/>
    <x v="68"/>
    <x v="328"/>
    <x v="1"/>
    <x v="0"/>
    <x v="0"/>
  </r>
  <r>
    <x v="353"/>
    <s v="Lindsay Gibbs"/>
    <x v="3"/>
    <x v="1"/>
    <x v="3"/>
    <s v="Postgraduate"/>
    <x v="2"/>
    <n v="130218"/>
    <n v="755"/>
    <n v="48981"/>
    <x v="4"/>
    <n v="0.1426"/>
    <x v="3"/>
    <s v="Mortgaged"/>
    <n v="19"/>
    <n v="3"/>
    <s v="Yes"/>
    <s v="Yes"/>
    <x v="3"/>
    <n v="183699"/>
    <x v="353"/>
    <x v="35"/>
    <x v="329"/>
    <x v="0"/>
    <x v="1"/>
    <x v="0"/>
  </r>
  <r>
    <x v="354"/>
    <s v="Ryan Anderson"/>
    <x v="10"/>
    <x v="0"/>
    <x v="3"/>
    <s v="PhD"/>
    <x v="0"/>
    <n v="124301"/>
    <n v="755"/>
    <n v="38857"/>
    <x v="4"/>
    <n v="8.900000000000001E-2"/>
    <x v="1"/>
    <s v="Mortgaged"/>
    <n v="2"/>
    <n v="0"/>
    <s v="Yes"/>
    <s v="Yes"/>
    <x v="1"/>
    <n v="4061"/>
    <x v="354"/>
    <x v="57"/>
    <x v="330"/>
    <x v="1"/>
    <x v="1"/>
    <x v="0"/>
  </r>
  <r>
    <x v="355"/>
    <s v="Cindy Hartman"/>
    <x v="16"/>
    <x v="0"/>
    <x v="2"/>
    <s v="Postgraduate"/>
    <x v="2"/>
    <n v="52940"/>
    <n v="754"/>
    <n v="5923"/>
    <x v="3"/>
    <n v="0.16870000000000002"/>
    <x v="3"/>
    <s v="Mortgaged"/>
    <n v="10"/>
    <n v="3"/>
    <s v="No"/>
    <s v="No"/>
    <x v="2"/>
    <n v="139128"/>
    <x v="355"/>
    <x v="7"/>
    <x v="331"/>
    <x v="0"/>
    <x v="1"/>
    <x v="0"/>
  </r>
  <r>
    <x v="356"/>
    <s v="Jessica Hamilton"/>
    <x v="4"/>
    <x v="0"/>
    <x v="1"/>
    <s v="Postgraduate"/>
    <x v="2"/>
    <n v="63454"/>
    <n v="754"/>
    <n v="48114"/>
    <x v="3"/>
    <n v="0.183"/>
    <x v="0"/>
    <s v="Owned"/>
    <n v="21"/>
    <n v="3"/>
    <s v="No"/>
    <s v="Yes"/>
    <x v="3"/>
    <n v="195340"/>
    <x v="356"/>
    <x v="44"/>
    <x v="332"/>
    <x v="0"/>
    <x v="0"/>
    <x v="0"/>
  </r>
  <r>
    <x v="357"/>
    <s v="Sherry Thompson"/>
    <x v="20"/>
    <x v="1"/>
    <x v="2"/>
    <s v="High School"/>
    <x v="0"/>
    <n v="106486"/>
    <n v="754"/>
    <n v="49080"/>
    <x v="3"/>
    <n v="0.13650000000000001"/>
    <x v="4"/>
    <s v="Mortgaged"/>
    <n v="23"/>
    <n v="3"/>
    <s v="No"/>
    <s v="No"/>
    <x v="3"/>
    <n v="181810"/>
    <x v="357"/>
    <x v="13"/>
    <x v="105"/>
    <x v="1"/>
    <x v="0"/>
    <x v="0"/>
  </r>
  <r>
    <x v="358"/>
    <s v="Cheryl Myers"/>
    <x v="20"/>
    <x v="0"/>
    <x v="0"/>
    <s v="Graduate"/>
    <x v="0"/>
    <n v="97658"/>
    <n v="754"/>
    <n v="25686"/>
    <x v="2"/>
    <n v="7.4700000000000003E-2"/>
    <x v="0"/>
    <s v="Owned"/>
    <n v="16"/>
    <n v="2"/>
    <s v="No"/>
    <s v="No"/>
    <x v="4"/>
    <n v="20656"/>
    <x v="358"/>
    <x v="69"/>
    <x v="78"/>
    <x v="1"/>
    <x v="0"/>
    <x v="0"/>
  </r>
  <r>
    <x v="359"/>
    <s v="Aimee Diaz"/>
    <x v="31"/>
    <x v="1"/>
    <x v="1"/>
    <s v="Postgraduate"/>
    <x v="1"/>
    <n v="127293"/>
    <n v="754"/>
    <n v="42476"/>
    <x v="3"/>
    <n v="9.4499999999999987E-2"/>
    <x v="5"/>
    <s v="Owned"/>
    <n v="25"/>
    <n v="2"/>
    <s v="No"/>
    <s v="No"/>
    <x v="1"/>
    <n v="197323"/>
    <x v="359"/>
    <x v="3"/>
    <x v="333"/>
    <x v="0"/>
    <x v="0"/>
    <x v="0"/>
  </r>
  <r>
    <x v="360"/>
    <s v="Anne Grant"/>
    <x v="23"/>
    <x v="1"/>
    <x v="0"/>
    <s v="High School"/>
    <x v="3"/>
    <n v="47304"/>
    <n v="753"/>
    <n v="40143"/>
    <x v="1"/>
    <n v="0.12710000000000002"/>
    <x v="2"/>
    <s v="Rented"/>
    <n v="15"/>
    <n v="0"/>
    <s v="Yes"/>
    <s v="No"/>
    <x v="0"/>
    <n v="131460"/>
    <x v="360"/>
    <x v="60"/>
    <x v="334"/>
    <x v="1"/>
    <x v="0"/>
    <x v="0"/>
  </r>
  <r>
    <x v="361"/>
    <s v="Zachary Bailey"/>
    <x v="25"/>
    <x v="0"/>
    <x v="2"/>
    <s v="PhD"/>
    <x v="0"/>
    <n v="63074"/>
    <n v="753"/>
    <n v="7765"/>
    <x v="4"/>
    <n v="9.4800000000000009E-2"/>
    <x v="4"/>
    <s v="Owned"/>
    <n v="9"/>
    <n v="2"/>
    <s v="No"/>
    <s v="No"/>
    <x v="3"/>
    <n v="97643"/>
    <x v="361"/>
    <x v="83"/>
    <x v="335"/>
    <x v="1"/>
    <x v="0"/>
    <x v="0"/>
  </r>
  <r>
    <x v="362"/>
    <s v="Nathan Holland"/>
    <x v="34"/>
    <x v="1"/>
    <x v="2"/>
    <s v="Postgraduate"/>
    <x v="3"/>
    <n v="145342"/>
    <n v="753"/>
    <n v="27199"/>
    <x v="1"/>
    <n v="5.4100000000000002E-2"/>
    <x v="1"/>
    <s v="Owned"/>
    <n v="6"/>
    <n v="1"/>
    <s v="Yes"/>
    <s v="Yes"/>
    <x v="0"/>
    <n v="173614"/>
    <x v="362"/>
    <x v="27"/>
    <x v="336"/>
    <x v="0"/>
    <x v="0"/>
    <x v="0"/>
  </r>
  <r>
    <x v="363"/>
    <s v="Cindy Diaz"/>
    <x v="4"/>
    <x v="0"/>
    <x v="1"/>
    <s v="PhD"/>
    <x v="0"/>
    <n v="112118"/>
    <n v="753"/>
    <n v="16203"/>
    <x v="3"/>
    <n v="0.17149999999999999"/>
    <x v="0"/>
    <s v="Mortgaged"/>
    <n v="22"/>
    <n v="4"/>
    <s v="Yes"/>
    <s v="Yes"/>
    <x v="1"/>
    <n v="149078"/>
    <x v="363"/>
    <x v="61"/>
    <x v="337"/>
    <x v="1"/>
    <x v="1"/>
    <x v="0"/>
  </r>
  <r>
    <x v="364"/>
    <s v="Sandra Smith"/>
    <x v="0"/>
    <x v="1"/>
    <x v="2"/>
    <s v="PhD"/>
    <x v="2"/>
    <n v="45022"/>
    <n v="752"/>
    <n v="11265"/>
    <x v="4"/>
    <n v="0.10490000000000001"/>
    <x v="3"/>
    <s v="Mortgaged"/>
    <n v="26"/>
    <n v="4"/>
    <s v="No"/>
    <s v="Yes"/>
    <x v="3"/>
    <n v="112133"/>
    <x v="364"/>
    <x v="7"/>
    <x v="338"/>
    <x v="1"/>
    <x v="1"/>
    <x v="0"/>
  </r>
  <r>
    <x v="365"/>
    <s v="Sharon Bell"/>
    <x v="34"/>
    <x v="1"/>
    <x v="3"/>
    <s v="High School"/>
    <x v="0"/>
    <n v="87838"/>
    <n v="752"/>
    <n v="14782"/>
    <x v="4"/>
    <n v="0.16870000000000002"/>
    <x v="5"/>
    <s v="Rented"/>
    <n v="20"/>
    <n v="1"/>
    <s v="No"/>
    <s v="No"/>
    <x v="4"/>
    <n v="9554"/>
    <x v="365"/>
    <x v="24"/>
    <x v="339"/>
    <x v="1"/>
    <x v="1"/>
    <x v="0"/>
  </r>
  <r>
    <x v="366"/>
    <s v="Peggy Jackson"/>
    <x v="32"/>
    <x v="1"/>
    <x v="3"/>
    <s v="PhD"/>
    <x v="3"/>
    <n v="77836"/>
    <n v="751"/>
    <n v="24092"/>
    <x v="1"/>
    <n v="0.1956"/>
    <x v="0"/>
    <s v="Mortgaged"/>
    <n v="16"/>
    <n v="4"/>
    <s v="No"/>
    <s v="Yes"/>
    <x v="1"/>
    <n v="26515"/>
    <x v="366"/>
    <x v="53"/>
    <x v="236"/>
    <x v="1"/>
    <x v="1"/>
    <x v="0"/>
  </r>
  <r>
    <x v="367"/>
    <s v="Alexandra Mcclure"/>
    <x v="38"/>
    <x v="0"/>
    <x v="0"/>
    <s v="PhD"/>
    <x v="3"/>
    <n v="135074"/>
    <n v="751"/>
    <n v="8444"/>
    <x v="1"/>
    <n v="0.16980000000000001"/>
    <x v="5"/>
    <s v="Owned"/>
    <n v="22"/>
    <n v="1"/>
    <s v="No"/>
    <s v="No"/>
    <x v="0"/>
    <n v="120340"/>
    <x v="367"/>
    <x v="26"/>
    <x v="340"/>
    <x v="1"/>
    <x v="0"/>
    <x v="0"/>
  </r>
  <r>
    <x v="368"/>
    <s v="Melissa Mendoza"/>
    <x v="11"/>
    <x v="1"/>
    <x v="1"/>
    <s v="Graduate"/>
    <x v="2"/>
    <n v="131958"/>
    <n v="751"/>
    <n v="26976"/>
    <x v="1"/>
    <n v="5.2400000000000002E-2"/>
    <x v="1"/>
    <s v="Rented"/>
    <n v="12"/>
    <n v="0"/>
    <s v="No"/>
    <s v="Yes"/>
    <x v="0"/>
    <n v="38343"/>
    <x v="368"/>
    <x v="52"/>
    <x v="341"/>
    <x v="1"/>
    <x v="0"/>
    <x v="0"/>
  </r>
  <r>
    <x v="369"/>
    <s v="Erin Turner"/>
    <x v="19"/>
    <x v="0"/>
    <x v="2"/>
    <s v="PhD"/>
    <x v="3"/>
    <n v="147408"/>
    <n v="751"/>
    <n v="29687"/>
    <x v="1"/>
    <n v="0.18140000000000001"/>
    <x v="4"/>
    <s v="Owned"/>
    <n v="4"/>
    <n v="1"/>
    <s v="Yes"/>
    <s v="No"/>
    <x v="1"/>
    <n v="170419"/>
    <x v="369"/>
    <x v="77"/>
    <x v="342"/>
    <x v="0"/>
    <x v="0"/>
    <x v="0"/>
  </r>
  <r>
    <x v="370"/>
    <s v="Michael Noble"/>
    <x v="8"/>
    <x v="1"/>
    <x v="2"/>
    <s v="PhD"/>
    <x v="3"/>
    <n v="55507"/>
    <n v="750"/>
    <n v="29180"/>
    <x v="0"/>
    <n v="5.0599999999999999E-2"/>
    <x v="4"/>
    <s v="Mortgaged"/>
    <n v="1"/>
    <n v="3"/>
    <s v="No"/>
    <s v="No"/>
    <x v="3"/>
    <n v="607"/>
    <x v="370"/>
    <x v="23"/>
    <x v="343"/>
    <x v="0"/>
    <x v="1"/>
    <x v="0"/>
  </r>
  <r>
    <x v="371"/>
    <s v="Ricky Huffman"/>
    <x v="17"/>
    <x v="1"/>
    <x v="2"/>
    <s v="Graduate"/>
    <x v="0"/>
    <n v="120304"/>
    <n v="749"/>
    <n v="31866"/>
    <x v="0"/>
    <n v="9.3599999999999989E-2"/>
    <x v="5"/>
    <s v="Owned"/>
    <n v="22"/>
    <n v="1"/>
    <s v="No"/>
    <s v="Yes"/>
    <x v="4"/>
    <n v="26222"/>
    <x v="371"/>
    <x v="87"/>
    <x v="344"/>
    <x v="0"/>
    <x v="0"/>
    <x v="0"/>
  </r>
  <r>
    <x v="372"/>
    <s v="Robert Williamson"/>
    <x v="39"/>
    <x v="1"/>
    <x v="2"/>
    <s v="Graduate"/>
    <x v="0"/>
    <n v="87136"/>
    <n v="749"/>
    <n v="22795"/>
    <x v="0"/>
    <n v="0.14029999999999998"/>
    <x v="0"/>
    <s v="Mortgaged"/>
    <n v="4"/>
    <n v="0"/>
    <s v="Yes"/>
    <s v="No"/>
    <x v="3"/>
    <n v="45820"/>
    <x v="372"/>
    <x v="87"/>
    <x v="345"/>
    <x v="0"/>
    <x v="0"/>
    <x v="0"/>
  </r>
  <r>
    <x v="373"/>
    <s v="Evan Woods"/>
    <x v="43"/>
    <x v="1"/>
    <x v="3"/>
    <s v="PhD"/>
    <x v="1"/>
    <n v="79635"/>
    <n v="749"/>
    <n v="49681"/>
    <x v="2"/>
    <n v="8.7899999999999992E-2"/>
    <x v="1"/>
    <s v="Mortgaged"/>
    <n v="20"/>
    <n v="4"/>
    <s v="No"/>
    <s v="No"/>
    <x v="2"/>
    <n v="31604"/>
    <x v="373"/>
    <x v="37"/>
    <x v="346"/>
    <x v="0"/>
    <x v="1"/>
    <x v="0"/>
  </r>
  <r>
    <x v="374"/>
    <s v="Patrick Owens"/>
    <x v="7"/>
    <x v="1"/>
    <x v="3"/>
    <s v="High School"/>
    <x v="1"/>
    <n v="118865"/>
    <n v="749"/>
    <n v="45415"/>
    <x v="4"/>
    <n v="0.16879999999999998"/>
    <x v="0"/>
    <s v="Rented"/>
    <n v="4"/>
    <n v="3"/>
    <s v="Yes"/>
    <s v="Yes"/>
    <x v="0"/>
    <n v="138313"/>
    <x v="374"/>
    <x v="6"/>
    <x v="347"/>
    <x v="0"/>
    <x v="1"/>
    <x v="0"/>
  </r>
  <r>
    <x v="375"/>
    <s v="Laura Edwards"/>
    <x v="39"/>
    <x v="1"/>
    <x v="0"/>
    <s v="High School"/>
    <x v="3"/>
    <n v="144297"/>
    <n v="749"/>
    <n v="39055"/>
    <x v="2"/>
    <n v="9.8699999999999996E-2"/>
    <x v="3"/>
    <s v="Mortgaged"/>
    <n v="3"/>
    <n v="3"/>
    <s v="No"/>
    <s v="Yes"/>
    <x v="1"/>
    <n v="68833"/>
    <x v="375"/>
    <x v="67"/>
    <x v="348"/>
    <x v="0"/>
    <x v="0"/>
    <x v="0"/>
  </r>
  <r>
    <x v="376"/>
    <s v="Tristan Pena"/>
    <x v="22"/>
    <x v="1"/>
    <x v="0"/>
    <s v="Graduate"/>
    <x v="3"/>
    <n v="80102"/>
    <n v="748"/>
    <n v="40551"/>
    <x v="0"/>
    <n v="0.1331"/>
    <x v="2"/>
    <s v="Mortgaged"/>
    <n v="10"/>
    <n v="4"/>
    <s v="No"/>
    <s v="Yes"/>
    <x v="1"/>
    <n v="190376"/>
    <x v="376"/>
    <x v="3"/>
    <x v="349"/>
    <x v="0"/>
    <x v="0"/>
    <x v="0"/>
  </r>
  <r>
    <x v="377"/>
    <s v="Traci Johnson"/>
    <x v="12"/>
    <x v="1"/>
    <x v="3"/>
    <s v="Graduate"/>
    <x v="2"/>
    <n v="21524"/>
    <n v="748"/>
    <n v="37572"/>
    <x v="2"/>
    <n v="6.0100000000000001E-2"/>
    <x v="5"/>
    <s v="Mortgaged"/>
    <n v="18"/>
    <n v="2"/>
    <s v="No"/>
    <s v="No"/>
    <x v="1"/>
    <n v="156202"/>
    <x v="377"/>
    <x v="86"/>
    <x v="350"/>
    <x v="0"/>
    <x v="0"/>
    <x v="0"/>
  </r>
  <r>
    <x v="378"/>
    <s v="Christian Cross"/>
    <x v="27"/>
    <x v="1"/>
    <x v="2"/>
    <s v="High School"/>
    <x v="2"/>
    <n v="87560"/>
    <n v="748"/>
    <n v="17979"/>
    <x v="0"/>
    <n v="9.6199999999999994E-2"/>
    <x v="0"/>
    <s v="Rented"/>
    <n v="27"/>
    <n v="1"/>
    <s v="No"/>
    <s v="Yes"/>
    <x v="0"/>
    <n v="18825"/>
    <x v="378"/>
    <x v="41"/>
    <x v="66"/>
    <x v="0"/>
    <x v="0"/>
    <x v="0"/>
  </r>
  <r>
    <x v="379"/>
    <s v="David Lopez"/>
    <x v="35"/>
    <x v="1"/>
    <x v="1"/>
    <s v="PhD"/>
    <x v="1"/>
    <n v="119244"/>
    <n v="748"/>
    <n v="49791"/>
    <x v="4"/>
    <n v="8.9099999999999999E-2"/>
    <x v="3"/>
    <s v="Mortgaged"/>
    <n v="18"/>
    <n v="0"/>
    <s v="Yes"/>
    <s v="Yes"/>
    <x v="3"/>
    <n v="37386"/>
    <x v="379"/>
    <x v="86"/>
    <x v="351"/>
    <x v="1"/>
    <x v="0"/>
    <x v="0"/>
  </r>
  <r>
    <x v="380"/>
    <s v="Leslie Williams"/>
    <x v="2"/>
    <x v="1"/>
    <x v="1"/>
    <s v="High School"/>
    <x v="1"/>
    <n v="108290"/>
    <n v="748"/>
    <n v="29133"/>
    <x v="2"/>
    <n v="0.15259999999999999"/>
    <x v="5"/>
    <s v="Owned"/>
    <n v="27"/>
    <n v="3"/>
    <s v="Yes"/>
    <s v="Yes"/>
    <x v="3"/>
    <n v="96060"/>
    <x v="380"/>
    <x v="13"/>
    <x v="352"/>
    <x v="0"/>
    <x v="0"/>
    <x v="0"/>
  </r>
  <r>
    <x v="381"/>
    <s v="April Williams"/>
    <x v="8"/>
    <x v="0"/>
    <x v="3"/>
    <s v="Postgraduate"/>
    <x v="0"/>
    <n v="126843"/>
    <n v="748"/>
    <n v="22246"/>
    <x v="1"/>
    <n v="0.17180000000000001"/>
    <x v="1"/>
    <s v="Owned"/>
    <n v="14"/>
    <n v="0"/>
    <s v="No"/>
    <s v="No"/>
    <x v="2"/>
    <n v="183975"/>
    <x v="381"/>
    <x v="2"/>
    <x v="353"/>
    <x v="1"/>
    <x v="0"/>
    <x v="0"/>
  </r>
  <r>
    <x v="382"/>
    <s v="Teresa Haney"/>
    <x v="29"/>
    <x v="1"/>
    <x v="1"/>
    <s v="Postgraduate"/>
    <x v="1"/>
    <n v="93313"/>
    <n v="747"/>
    <n v="2041"/>
    <x v="0"/>
    <n v="6.6699999999999995E-2"/>
    <x v="0"/>
    <s v="Mortgaged"/>
    <n v="2"/>
    <n v="3"/>
    <s v="Yes"/>
    <s v="Yes"/>
    <x v="2"/>
    <n v="28130"/>
    <x v="382"/>
    <x v="53"/>
    <x v="354"/>
    <x v="1"/>
    <x v="0"/>
    <x v="0"/>
  </r>
  <r>
    <x v="383"/>
    <s v="Donna Torres"/>
    <x v="18"/>
    <x v="0"/>
    <x v="2"/>
    <s v="PhD"/>
    <x v="1"/>
    <n v="108534"/>
    <n v="747"/>
    <n v="36017"/>
    <x v="1"/>
    <n v="0.1789"/>
    <x v="3"/>
    <s v="Owned"/>
    <n v="2"/>
    <n v="3"/>
    <s v="No"/>
    <s v="No"/>
    <x v="4"/>
    <n v="4567"/>
    <x v="383"/>
    <x v="60"/>
    <x v="355"/>
    <x v="1"/>
    <x v="0"/>
    <x v="0"/>
  </r>
  <r>
    <x v="384"/>
    <s v="William Williams"/>
    <x v="6"/>
    <x v="0"/>
    <x v="3"/>
    <s v="PhD"/>
    <x v="1"/>
    <n v="101099"/>
    <n v="747"/>
    <n v="26936"/>
    <x v="4"/>
    <n v="0.17319999999999999"/>
    <x v="5"/>
    <s v="Owned"/>
    <n v="1"/>
    <n v="3"/>
    <s v="Yes"/>
    <s v="No"/>
    <x v="2"/>
    <n v="157883"/>
    <x v="384"/>
    <x v="22"/>
    <x v="356"/>
    <x v="1"/>
    <x v="0"/>
    <x v="0"/>
  </r>
  <r>
    <x v="385"/>
    <s v="Zachary Brandt"/>
    <x v="43"/>
    <x v="1"/>
    <x v="0"/>
    <s v="Graduate"/>
    <x v="1"/>
    <n v="129236"/>
    <n v="746"/>
    <n v="47628"/>
    <x v="3"/>
    <n v="0.1825"/>
    <x v="3"/>
    <s v="Owned"/>
    <n v="5"/>
    <n v="3"/>
    <s v="Yes"/>
    <s v="No"/>
    <x v="3"/>
    <n v="139223"/>
    <x v="385"/>
    <x v="2"/>
    <x v="357"/>
    <x v="0"/>
    <x v="1"/>
    <x v="0"/>
  </r>
  <r>
    <x v="386"/>
    <s v="Benjamin Perez"/>
    <x v="28"/>
    <x v="1"/>
    <x v="0"/>
    <s v="Graduate"/>
    <x v="1"/>
    <n v="127611"/>
    <n v="746"/>
    <n v="41747"/>
    <x v="0"/>
    <n v="6.6000000000000003E-2"/>
    <x v="5"/>
    <s v="Rented"/>
    <n v="4"/>
    <n v="4"/>
    <s v="No"/>
    <s v="No"/>
    <x v="2"/>
    <n v="40643"/>
    <x v="386"/>
    <x v="38"/>
    <x v="161"/>
    <x v="1"/>
    <x v="0"/>
    <x v="0"/>
  </r>
  <r>
    <x v="387"/>
    <s v="Stacey Martinez"/>
    <x v="5"/>
    <x v="0"/>
    <x v="1"/>
    <s v="High School"/>
    <x v="2"/>
    <n v="93548"/>
    <n v="746"/>
    <n v="19185"/>
    <x v="2"/>
    <n v="0.13619999999999999"/>
    <x v="4"/>
    <s v="Rented"/>
    <n v="15"/>
    <n v="0"/>
    <s v="No"/>
    <s v="Yes"/>
    <x v="2"/>
    <n v="143994"/>
    <x v="387"/>
    <x v="88"/>
    <x v="358"/>
    <x v="0"/>
    <x v="0"/>
    <x v="0"/>
  </r>
  <r>
    <x v="388"/>
    <s v="Marilyn Foster"/>
    <x v="14"/>
    <x v="0"/>
    <x v="2"/>
    <s v="Graduate"/>
    <x v="0"/>
    <n v="28593"/>
    <n v="746"/>
    <n v="18443"/>
    <x v="4"/>
    <n v="0.12939999999999999"/>
    <x v="1"/>
    <s v="Owned"/>
    <n v="19"/>
    <n v="1"/>
    <s v="No"/>
    <s v="No"/>
    <x v="2"/>
    <n v="118078"/>
    <x v="388"/>
    <x v="50"/>
    <x v="359"/>
    <x v="1"/>
    <x v="0"/>
    <x v="0"/>
  </r>
  <r>
    <x v="389"/>
    <s v="Pamela Roach"/>
    <x v="5"/>
    <x v="1"/>
    <x v="3"/>
    <s v="PhD"/>
    <x v="3"/>
    <n v="138724"/>
    <n v="746"/>
    <n v="38317"/>
    <x v="4"/>
    <n v="0.1845"/>
    <x v="1"/>
    <s v="Owned"/>
    <n v="28"/>
    <n v="4"/>
    <s v="Yes"/>
    <s v="No"/>
    <x v="3"/>
    <n v="76981"/>
    <x v="389"/>
    <x v="18"/>
    <x v="360"/>
    <x v="1"/>
    <x v="0"/>
    <x v="0"/>
  </r>
  <r>
    <x v="390"/>
    <s v="Ruth Marshall"/>
    <x v="28"/>
    <x v="1"/>
    <x v="0"/>
    <s v="Graduate"/>
    <x v="2"/>
    <n v="128574"/>
    <n v="745"/>
    <n v="6790"/>
    <x v="0"/>
    <n v="7.5800000000000006E-2"/>
    <x v="3"/>
    <s v="Owned"/>
    <n v="4"/>
    <n v="0"/>
    <s v="Yes"/>
    <s v="Yes"/>
    <x v="3"/>
    <n v="49239"/>
    <x v="390"/>
    <x v="0"/>
    <x v="361"/>
    <x v="0"/>
    <x v="0"/>
    <x v="0"/>
  </r>
  <r>
    <x v="391"/>
    <s v="Rebecca Lopez"/>
    <x v="7"/>
    <x v="1"/>
    <x v="1"/>
    <s v="High School"/>
    <x v="0"/>
    <n v="21849"/>
    <n v="745"/>
    <n v="4439"/>
    <x v="3"/>
    <n v="0.13769999999999999"/>
    <x v="1"/>
    <s v="Owned"/>
    <n v="15"/>
    <n v="0"/>
    <s v="No"/>
    <s v="No"/>
    <x v="1"/>
    <n v="190790"/>
    <x v="391"/>
    <x v="61"/>
    <x v="246"/>
    <x v="1"/>
    <x v="0"/>
    <x v="0"/>
  </r>
  <r>
    <x v="392"/>
    <s v="Nicholas Williams"/>
    <x v="7"/>
    <x v="1"/>
    <x v="2"/>
    <s v="Graduate"/>
    <x v="2"/>
    <n v="110201"/>
    <n v="745"/>
    <n v="18769"/>
    <x v="4"/>
    <n v="7.9500000000000001E-2"/>
    <x v="1"/>
    <s v="Mortgaged"/>
    <n v="10"/>
    <n v="0"/>
    <s v="No"/>
    <s v="Yes"/>
    <x v="2"/>
    <n v="60850"/>
    <x v="392"/>
    <x v="40"/>
    <x v="362"/>
    <x v="0"/>
    <x v="0"/>
    <x v="0"/>
  </r>
  <r>
    <x v="393"/>
    <s v="Thomas Collins"/>
    <x v="18"/>
    <x v="0"/>
    <x v="0"/>
    <s v="High School"/>
    <x v="3"/>
    <n v="40982"/>
    <n v="745"/>
    <n v="31383"/>
    <x v="3"/>
    <n v="0.17749999999999999"/>
    <x v="3"/>
    <s v="Rented"/>
    <n v="28"/>
    <n v="1"/>
    <s v="Yes"/>
    <s v="No"/>
    <x v="0"/>
    <n v="12464"/>
    <x v="393"/>
    <x v="17"/>
    <x v="363"/>
    <x v="1"/>
    <x v="0"/>
    <x v="0"/>
  </r>
  <r>
    <x v="394"/>
    <s v="Stephanie Baker"/>
    <x v="0"/>
    <x v="1"/>
    <x v="3"/>
    <s v="PhD"/>
    <x v="0"/>
    <n v="98929"/>
    <n v="744"/>
    <n v="35964"/>
    <x v="2"/>
    <n v="0.18010000000000001"/>
    <x v="4"/>
    <s v="Mortgaged"/>
    <n v="21"/>
    <n v="1"/>
    <s v="No"/>
    <s v="Yes"/>
    <x v="3"/>
    <n v="150013"/>
    <x v="394"/>
    <x v="19"/>
    <x v="364"/>
    <x v="0"/>
    <x v="0"/>
    <x v="0"/>
  </r>
  <r>
    <x v="395"/>
    <s v="Madison Oliver"/>
    <x v="20"/>
    <x v="0"/>
    <x v="1"/>
    <s v="High School"/>
    <x v="3"/>
    <n v="89206"/>
    <n v="744"/>
    <n v="37234"/>
    <x v="4"/>
    <n v="9.9900000000000003E-2"/>
    <x v="3"/>
    <s v="Rented"/>
    <n v="23"/>
    <n v="3"/>
    <s v="No"/>
    <s v="No"/>
    <x v="2"/>
    <n v="156091"/>
    <x v="395"/>
    <x v="33"/>
    <x v="365"/>
    <x v="0"/>
    <x v="0"/>
    <x v="0"/>
  </r>
  <r>
    <x v="396"/>
    <s v="Christina Young"/>
    <x v="34"/>
    <x v="0"/>
    <x v="3"/>
    <s v="PhD"/>
    <x v="1"/>
    <n v="61954"/>
    <n v="744"/>
    <n v="14056"/>
    <x v="3"/>
    <n v="9.4399999999999998E-2"/>
    <x v="4"/>
    <s v="Owned"/>
    <n v="4"/>
    <n v="1"/>
    <s v="Yes"/>
    <s v="Yes"/>
    <x v="2"/>
    <n v="130920"/>
    <x v="396"/>
    <x v="89"/>
    <x v="290"/>
    <x v="0"/>
    <x v="0"/>
    <x v="0"/>
  </r>
  <r>
    <x v="397"/>
    <s v="Amy Sosa"/>
    <x v="29"/>
    <x v="1"/>
    <x v="1"/>
    <s v="Postgraduate"/>
    <x v="3"/>
    <n v="76247"/>
    <n v="744"/>
    <n v="16256"/>
    <x v="1"/>
    <n v="6.25E-2"/>
    <x v="1"/>
    <s v="Owned"/>
    <n v="27"/>
    <n v="0"/>
    <s v="Yes"/>
    <s v="No"/>
    <x v="2"/>
    <n v="83442"/>
    <x v="397"/>
    <x v="24"/>
    <x v="366"/>
    <x v="1"/>
    <x v="1"/>
    <x v="0"/>
  </r>
  <r>
    <x v="398"/>
    <s v="Catherine Harris"/>
    <x v="16"/>
    <x v="0"/>
    <x v="1"/>
    <s v="Graduate"/>
    <x v="0"/>
    <n v="64013"/>
    <n v="744"/>
    <n v="9062"/>
    <x v="4"/>
    <n v="0.14419999999999999"/>
    <x v="4"/>
    <s v="Owned"/>
    <n v="14"/>
    <n v="3"/>
    <s v="Yes"/>
    <s v="No"/>
    <x v="1"/>
    <n v="9547"/>
    <x v="398"/>
    <x v="42"/>
    <x v="163"/>
    <x v="0"/>
    <x v="0"/>
    <x v="0"/>
  </r>
  <r>
    <x v="399"/>
    <s v="Mrs. Elizabeth Vargas"/>
    <x v="2"/>
    <x v="0"/>
    <x v="1"/>
    <s v="PhD"/>
    <x v="3"/>
    <n v="35762"/>
    <n v="744"/>
    <n v="36183"/>
    <x v="1"/>
    <n v="0.15039999999999998"/>
    <x v="2"/>
    <s v="Rented"/>
    <n v="7"/>
    <n v="1"/>
    <s v="Yes"/>
    <s v="No"/>
    <x v="1"/>
    <n v="87411"/>
    <x v="399"/>
    <x v="13"/>
    <x v="367"/>
    <x v="1"/>
    <x v="0"/>
    <x v="0"/>
  </r>
  <r>
    <x v="400"/>
    <s v="James Schroeder"/>
    <x v="4"/>
    <x v="1"/>
    <x v="0"/>
    <s v="PhD"/>
    <x v="1"/>
    <n v="86745"/>
    <n v="743"/>
    <n v="10862"/>
    <x v="3"/>
    <n v="0.182"/>
    <x v="1"/>
    <s v="Owned"/>
    <n v="15"/>
    <n v="4"/>
    <s v="Yes"/>
    <s v="Yes"/>
    <x v="2"/>
    <n v="74457"/>
    <x v="400"/>
    <x v="62"/>
    <x v="97"/>
    <x v="0"/>
    <x v="0"/>
    <x v="0"/>
  </r>
  <r>
    <x v="401"/>
    <s v="Bradley Schaefer"/>
    <x v="15"/>
    <x v="0"/>
    <x v="2"/>
    <s v="High School"/>
    <x v="2"/>
    <n v="47472"/>
    <n v="743"/>
    <n v="25796"/>
    <x v="0"/>
    <n v="0.16899999999999998"/>
    <x v="2"/>
    <s v="Owned"/>
    <n v="4"/>
    <n v="1"/>
    <s v="No"/>
    <s v="No"/>
    <x v="4"/>
    <n v="120527"/>
    <x v="401"/>
    <x v="44"/>
    <x v="50"/>
    <x v="1"/>
    <x v="0"/>
    <x v="0"/>
  </r>
  <r>
    <x v="402"/>
    <s v="Timothy Morgan"/>
    <x v="40"/>
    <x v="1"/>
    <x v="3"/>
    <s v="PhD"/>
    <x v="0"/>
    <n v="65809"/>
    <n v="742"/>
    <n v="34529"/>
    <x v="4"/>
    <n v="0.17620000000000002"/>
    <x v="1"/>
    <s v="Rented"/>
    <n v="8"/>
    <n v="1"/>
    <s v="No"/>
    <s v="Yes"/>
    <x v="1"/>
    <n v="65446"/>
    <x v="402"/>
    <x v="10"/>
    <x v="368"/>
    <x v="1"/>
    <x v="0"/>
    <x v="0"/>
  </r>
  <r>
    <x v="403"/>
    <s v="Julie Douglas"/>
    <x v="42"/>
    <x v="1"/>
    <x v="2"/>
    <s v="High School"/>
    <x v="1"/>
    <n v="95282"/>
    <n v="742"/>
    <n v="31276"/>
    <x v="1"/>
    <n v="0.14980000000000002"/>
    <x v="1"/>
    <s v="Mortgaged"/>
    <n v="18"/>
    <n v="4"/>
    <s v="Yes"/>
    <s v="Yes"/>
    <x v="4"/>
    <n v="157247"/>
    <x v="403"/>
    <x v="59"/>
    <x v="369"/>
    <x v="0"/>
    <x v="0"/>
    <x v="0"/>
  </r>
  <r>
    <x v="404"/>
    <s v="Christopher Hooper"/>
    <x v="31"/>
    <x v="1"/>
    <x v="2"/>
    <s v="High School"/>
    <x v="3"/>
    <n v="50348"/>
    <n v="742"/>
    <n v="2081"/>
    <x v="3"/>
    <n v="7.2599999999999998E-2"/>
    <x v="1"/>
    <s v="Mortgaged"/>
    <n v="18"/>
    <n v="4"/>
    <s v="No"/>
    <s v="No"/>
    <x v="0"/>
    <n v="127748"/>
    <x v="404"/>
    <x v="23"/>
    <x v="123"/>
    <x v="0"/>
    <x v="0"/>
    <x v="0"/>
  </r>
  <r>
    <x v="405"/>
    <s v="Emily Hall"/>
    <x v="6"/>
    <x v="1"/>
    <x v="0"/>
    <s v="Graduate"/>
    <x v="1"/>
    <n v="98177"/>
    <n v="742"/>
    <n v="47365"/>
    <x v="3"/>
    <n v="7.2000000000000008E-2"/>
    <x v="3"/>
    <s v="Rented"/>
    <n v="12"/>
    <n v="4"/>
    <s v="Yes"/>
    <s v="No"/>
    <x v="2"/>
    <n v="89841"/>
    <x v="405"/>
    <x v="40"/>
    <x v="370"/>
    <x v="1"/>
    <x v="0"/>
    <x v="0"/>
  </r>
  <r>
    <x v="406"/>
    <s v="Matthew Watson"/>
    <x v="9"/>
    <x v="0"/>
    <x v="3"/>
    <s v="Postgraduate"/>
    <x v="1"/>
    <n v="30860"/>
    <n v="742"/>
    <n v="13262"/>
    <x v="1"/>
    <n v="0.1464"/>
    <x v="0"/>
    <s v="Owned"/>
    <n v="14"/>
    <n v="4"/>
    <s v="Yes"/>
    <s v="Yes"/>
    <x v="0"/>
    <n v="19856"/>
    <x v="406"/>
    <x v="20"/>
    <x v="371"/>
    <x v="1"/>
    <x v="1"/>
    <x v="0"/>
  </r>
  <r>
    <x v="407"/>
    <s v="Robert Frost"/>
    <x v="30"/>
    <x v="0"/>
    <x v="2"/>
    <s v="Postgraduate"/>
    <x v="0"/>
    <n v="108916"/>
    <n v="741"/>
    <n v="7158"/>
    <x v="0"/>
    <n v="6.1600000000000002E-2"/>
    <x v="4"/>
    <s v="Mortgaged"/>
    <n v="7"/>
    <n v="1"/>
    <s v="Yes"/>
    <s v="Yes"/>
    <x v="4"/>
    <n v="142263"/>
    <x v="407"/>
    <x v="81"/>
    <x v="162"/>
    <x v="1"/>
    <x v="1"/>
    <x v="0"/>
  </r>
  <r>
    <x v="408"/>
    <s v="Dylan Kaiser"/>
    <x v="21"/>
    <x v="0"/>
    <x v="3"/>
    <s v="Postgraduate"/>
    <x v="1"/>
    <n v="70508"/>
    <n v="741"/>
    <n v="10465"/>
    <x v="3"/>
    <n v="0.1298"/>
    <x v="4"/>
    <s v="Rented"/>
    <n v="22"/>
    <n v="4"/>
    <s v="Yes"/>
    <s v="Yes"/>
    <x v="1"/>
    <n v="170439"/>
    <x v="408"/>
    <x v="15"/>
    <x v="372"/>
    <x v="1"/>
    <x v="0"/>
    <x v="0"/>
  </r>
  <r>
    <x v="409"/>
    <s v="Angela Jackson"/>
    <x v="3"/>
    <x v="1"/>
    <x v="0"/>
    <s v="Postgraduate"/>
    <x v="2"/>
    <n v="133451"/>
    <n v="741"/>
    <n v="22686"/>
    <x v="2"/>
    <n v="5.4800000000000001E-2"/>
    <x v="0"/>
    <s v="Rented"/>
    <n v="20"/>
    <n v="4"/>
    <s v="No"/>
    <s v="Yes"/>
    <x v="3"/>
    <n v="15373"/>
    <x v="409"/>
    <x v="4"/>
    <x v="373"/>
    <x v="0"/>
    <x v="0"/>
    <x v="0"/>
  </r>
  <r>
    <x v="410"/>
    <s v="Courtney Sims"/>
    <x v="22"/>
    <x v="1"/>
    <x v="3"/>
    <s v="PhD"/>
    <x v="0"/>
    <n v="32305"/>
    <n v="741"/>
    <n v="34894"/>
    <x v="3"/>
    <n v="0.1714"/>
    <x v="1"/>
    <s v="Rented"/>
    <n v="1"/>
    <n v="0"/>
    <s v="Yes"/>
    <s v="No"/>
    <x v="1"/>
    <n v="137845"/>
    <x v="410"/>
    <x v="53"/>
    <x v="21"/>
    <x v="0"/>
    <x v="0"/>
    <x v="0"/>
  </r>
  <r>
    <x v="411"/>
    <s v="Bradley Williams"/>
    <x v="1"/>
    <x v="0"/>
    <x v="1"/>
    <s v="Graduate"/>
    <x v="2"/>
    <n v="73693"/>
    <n v="741"/>
    <n v="27179"/>
    <x v="0"/>
    <n v="0.16639999999999999"/>
    <x v="4"/>
    <s v="Rented"/>
    <n v="17"/>
    <n v="4"/>
    <s v="No"/>
    <s v="No"/>
    <x v="2"/>
    <n v="187924"/>
    <x v="411"/>
    <x v="38"/>
    <x v="374"/>
    <x v="0"/>
    <x v="1"/>
    <x v="0"/>
  </r>
  <r>
    <x v="412"/>
    <s v="Jorge Tyler"/>
    <x v="16"/>
    <x v="1"/>
    <x v="2"/>
    <s v="High School"/>
    <x v="0"/>
    <n v="87084"/>
    <n v="740"/>
    <n v="15294"/>
    <x v="2"/>
    <n v="0.17519999999999999"/>
    <x v="4"/>
    <s v="Rented"/>
    <n v="5"/>
    <n v="4"/>
    <s v="Yes"/>
    <s v="No"/>
    <x v="4"/>
    <n v="55674"/>
    <x v="412"/>
    <x v="27"/>
    <x v="375"/>
    <x v="0"/>
    <x v="1"/>
    <x v="0"/>
  </r>
  <r>
    <x v="413"/>
    <s v="Kathy Salinas"/>
    <x v="31"/>
    <x v="0"/>
    <x v="0"/>
    <s v="Graduate"/>
    <x v="3"/>
    <n v="106373"/>
    <n v="740"/>
    <n v="36268"/>
    <x v="0"/>
    <n v="0.19269999999999998"/>
    <x v="4"/>
    <s v="Owned"/>
    <n v="17"/>
    <n v="0"/>
    <s v="No"/>
    <s v="No"/>
    <x v="3"/>
    <n v="7825"/>
    <x v="413"/>
    <x v="16"/>
    <x v="127"/>
    <x v="1"/>
    <x v="1"/>
    <x v="0"/>
  </r>
  <r>
    <x v="414"/>
    <s v="Robert Ferguson"/>
    <x v="20"/>
    <x v="0"/>
    <x v="3"/>
    <s v="Postgraduate"/>
    <x v="3"/>
    <n v="66228"/>
    <n v="740"/>
    <n v="9730"/>
    <x v="2"/>
    <n v="0.10869999999999999"/>
    <x v="1"/>
    <s v="Owned"/>
    <n v="17"/>
    <n v="3"/>
    <s v="Yes"/>
    <s v="Yes"/>
    <x v="4"/>
    <n v="182833"/>
    <x v="414"/>
    <x v="25"/>
    <x v="119"/>
    <x v="1"/>
    <x v="0"/>
    <x v="0"/>
  </r>
  <r>
    <x v="415"/>
    <s v="Tonya Parker"/>
    <x v="16"/>
    <x v="1"/>
    <x v="2"/>
    <s v="PhD"/>
    <x v="2"/>
    <n v="40539"/>
    <n v="739"/>
    <n v="23320"/>
    <x v="1"/>
    <n v="0.14400000000000002"/>
    <x v="1"/>
    <s v="Mortgaged"/>
    <n v="16"/>
    <n v="0"/>
    <s v="Yes"/>
    <s v="Yes"/>
    <x v="2"/>
    <n v="84622"/>
    <x v="415"/>
    <x v="3"/>
    <x v="84"/>
    <x v="1"/>
    <x v="0"/>
    <x v="0"/>
  </r>
  <r>
    <x v="416"/>
    <s v="Craig Lewis"/>
    <x v="1"/>
    <x v="1"/>
    <x v="0"/>
    <s v="Graduate"/>
    <x v="1"/>
    <n v="114731"/>
    <n v="739"/>
    <n v="14397"/>
    <x v="2"/>
    <n v="0.1242"/>
    <x v="5"/>
    <s v="Rented"/>
    <n v="13"/>
    <n v="3"/>
    <s v="Yes"/>
    <s v="No"/>
    <x v="2"/>
    <n v="9646"/>
    <x v="416"/>
    <x v="88"/>
    <x v="376"/>
    <x v="0"/>
    <x v="0"/>
    <x v="0"/>
  </r>
  <r>
    <x v="417"/>
    <s v="Jennifer Wolfe"/>
    <x v="12"/>
    <x v="1"/>
    <x v="3"/>
    <s v="Postgraduate"/>
    <x v="3"/>
    <n v="106339"/>
    <n v="739"/>
    <n v="24457"/>
    <x v="3"/>
    <n v="0.1298"/>
    <x v="0"/>
    <s v="Mortgaged"/>
    <n v="23"/>
    <n v="0"/>
    <s v="No"/>
    <s v="Yes"/>
    <x v="2"/>
    <n v="195219"/>
    <x v="417"/>
    <x v="11"/>
    <x v="84"/>
    <x v="1"/>
    <x v="0"/>
    <x v="0"/>
  </r>
  <r>
    <x v="418"/>
    <s v="Brandi Alvarez"/>
    <x v="23"/>
    <x v="0"/>
    <x v="2"/>
    <s v="PhD"/>
    <x v="3"/>
    <n v="52312"/>
    <n v="739"/>
    <n v="44023"/>
    <x v="4"/>
    <n v="6.1500000000000006E-2"/>
    <x v="0"/>
    <s v="Rented"/>
    <n v="12"/>
    <n v="0"/>
    <s v="No"/>
    <s v="No"/>
    <x v="0"/>
    <n v="182069"/>
    <x v="418"/>
    <x v="45"/>
    <x v="377"/>
    <x v="1"/>
    <x v="0"/>
    <x v="0"/>
  </r>
  <r>
    <x v="419"/>
    <s v="Stacy Robinson"/>
    <x v="15"/>
    <x v="0"/>
    <x v="0"/>
    <s v="Postgraduate"/>
    <x v="3"/>
    <n v="94353"/>
    <n v="739"/>
    <n v="9599"/>
    <x v="0"/>
    <n v="0.1565"/>
    <x v="4"/>
    <s v="Rented"/>
    <n v="29"/>
    <n v="2"/>
    <s v="No"/>
    <s v="No"/>
    <x v="1"/>
    <n v="133488"/>
    <x v="419"/>
    <x v="17"/>
    <x v="116"/>
    <x v="0"/>
    <x v="0"/>
    <x v="0"/>
  </r>
  <r>
    <x v="420"/>
    <s v="Belinda Hogan"/>
    <x v="41"/>
    <x v="1"/>
    <x v="1"/>
    <s v="High School"/>
    <x v="1"/>
    <n v="89526"/>
    <n v="738"/>
    <n v="19164"/>
    <x v="0"/>
    <n v="9.1600000000000001E-2"/>
    <x v="2"/>
    <s v="Owned"/>
    <n v="25"/>
    <n v="2"/>
    <s v="Yes"/>
    <s v="Yes"/>
    <x v="3"/>
    <n v="177327"/>
    <x v="420"/>
    <x v="1"/>
    <x v="89"/>
    <x v="1"/>
    <x v="0"/>
    <x v="0"/>
  </r>
  <r>
    <x v="421"/>
    <s v="Robert Harper"/>
    <x v="27"/>
    <x v="0"/>
    <x v="3"/>
    <s v="Graduate"/>
    <x v="1"/>
    <n v="40002"/>
    <n v="738"/>
    <n v="13342"/>
    <x v="1"/>
    <n v="0.15990000000000001"/>
    <x v="3"/>
    <s v="Rented"/>
    <n v="20"/>
    <n v="0"/>
    <s v="Yes"/>
    <s v="No"/>
    <x v="0"/>
    <n v="186195"/>
    <x v="421"/>
    <x v="45"/>
    <x v="378"/>
    <x v="1"/>
    <x v="1"/>
    <x v="0"/>
  </r>
  <r>
    <x v="422"/>
    <s v="Thomas Diaz"/>
    <x v="33"/>
    <x v="0"/>
    <x v="2"/>
    <s v="PhD"/>
    <x v="1"/>
    <n v="122795"/>
    <n v="738"/>
    <n v="24171"/>
    <x v="0"/>
    <n v="0.13140000000000002"/>
    <x v="2"/>
    <s v="Mortgaged"/>
    <n v="9"/>
    <n v="0"/>
    <s v="Yes"/>
    <s v="No"/>
    <x v="4"/>
    <n v="166488"/>
    <x v="422"/>
    <x v="83"/>
    <x v="379"/>
    <x v="1"/>
    <x v="0"/>
    <x v="0"/>
  </r>
  <r>
    <x v="423"/>
    <s v="Joseph Graham"/>
    <x v="29"/>
    <x v="1"/>
    <x v="1"/>
    <s v="High School"/>
    <x v="3"/>
    <n v="119096"/>
    <n v="738"/>
    <n v="35721"/>
    <x v="0"/>
    <n v="0.18629999999999999"/>
    <x v="3"/>
    <s v="Owned"/>
    <n v="27"/>
    <n v="3"/>
    <s v="Yes"/>
    <s v="Yes"/>
    <x v="1"/>
    <n v="151808"/>
    <x v="423"/>
    <x v="13"/>
    <x v="380"/>
    <x v="1"/>
    <x v="0"/>
    <x v="0"/>
  </r>
  <r>
    <x v="424"/>
    <s v="Jack Wells"/>
    <x v="2"/>
    <x v="0"/>
    <x v="1"/>
    <s v="Postgraduate"/>
    <x v="0"/>
    <n v="149638"/>
    <n v="737"/>
    <n v="43471"/>
    <x v="4"/>
    <n v="0.1358"/>
    <x v="0"/>
    <s v="Owned"/>
    <n v="9"/>
    <n v="3"/>
    <s v="Yes"/>
    <s v="Yes"/>
    <x v="3"/>
    <n v="158625"/>
    <x v="424"/>
    <x v="82"/>
    <x v="368"/>
    <x v="1"/>
    <x v="0"/>
    <x v="0"/>
  </r>
  <r>
    <x v="425"/>
    <s v="Bruce Valdez"/>
    <x v="8"/>
    <x v="1"/>
    <x v="2"/>
    <s v="Postgraduate"/>
    <x v="0"/>
    <n v="114533"/>
    <n v="737"/>
    <n v="11060"/>
    <x v="3"/>
    <n v="0.1439"/>
    <x v="0"/>
    <s v="Mortgaged"/>
    <n v="7"/>
    <n v="2"/>
    <s v="No"/>
    <s v="No"/>
    <x v="2"/>
    <n v="127799"/>
    <x v="425"/>
    <x v="28"/>
    <x v="381"/>
    <x v="0"/>
    <x v="0"/>
    <x v="0"/>
  </r>
  <r>
    <x v="426"/>
    <s v="Autumn Hill"/>
    <x v="11"/>
    <x v="0"/>
    <x v="0"/>
    <s v="Postgraduate"/>
    <x v="0"/>
    <n v="140811"/>
    <n v="737"/>
    <n v="4925"/>
    <x v="2"/>
    <n v="0.1946"/>
    <x v="4"/>
    <s v="Owned"/>
    <n v="12"/>
    <n v="2"/>
    <s v="Yes"/>
    <s v="No"/>
    <x v="4"/>
    <n v="134191"/>
    <x v="426"/>
    <x v="78"/>
    <x v="382"/>
    <x v="0"/>
    <x v="0"/>
    <x v="0"/>
  </r>
  <r>
    <x v="427"/>
    <s v="Jennifer Soto"/>
    <x v="8"/>
    <x v="1"/>
    <x v="1"/>
    <s v="Graduate"/>
    <x v="3"/>
    <n v="129934"/>
    <n v="737"/>
    <n v="16660"/>
    <x v="3"/>
    <n v="6.7799999999999999E-2"/>
    <x v="0"/>
    <s v="Mortgaged"/>
    <n v="27"/>
    <n v="4"/>
    <s v="Yes"/>
    <s v="No"/>
    <x v="4"/>
    <n v="5258"/>
    <x v="427"/>
    <x v="8"/>
    <x v="383"/>
    <x v="1"/>
    <x v="0"/>
    <x v="0"/>
  </r>
  <r>
    <x v="428"/>
    <s v="Joshua Wallace"/>
    <x v="11"/>
    <x v="0"/>
    <x v="0"/>
    <s v="Graduate"/>
    <x v="1"/>
    <n v="76325"/>
    <n v="737"/>
    <n v="43703"/>
    <x v="4"/>
    <n v="0.1384"/>
    <x v="1"/>
    <s v="Owned"/>
    <n v="16"/>
    <n v="0"/>
    <s v="No"/>
    <s v="No"/>
    <x v="0"/>
    <n v="175407"/>
    <x v="428"/>
    <x v="70"/>
    <x v="35"/>
    <x v="1"/>
    <x v="0"/>
    <x v="0"/>
  </r>
  <r>
    <x v="429"/>
    <s v="Jason Berry"/>
    <x v="42"/>
    <x v="0"/>
    <x v="3"/>
    <s v="Graduate"/>
    <x v="0"/>
    <n v="43769"/>
    <n v="736"/>
    <n v="5781"/>
    <x v="0"/>
    <n v="0.1678"/>
    <x v="0"/>
    <s v="Mortgaged"/>
    <n v="5"/>
    <n v="2"/>
    <s v="Yes"/>
    <s v="Yes"/>
    <x v="3"/>
    <n v="41715"/>
    <x v="429"/>
    <x v="44"/>
    <x v="384"/>
    <x v="0"/>
    <x v="1"/>
    <x v="0"/>
  </r>
  <r>
    <x v="430"/>
    <s v="Jacqueline Jenkins"/>
    <x v="39"/>
    <x v="1"/>
    <x v="1"/>
    <s v="PhD"/>
    <x v="1"/>
    <n v="48205"/>
    <n v="736"/>
    <n v="38436"/>
    <x v="2"/>
    <n v="0.15179999999999999"/>
    <x v="0"/>
    <s v="Rented"/>
    <n v="29"/>
    <n v="0"/>
    <s v="No"/>
    <s v="No"/>
    <x v="3"/>
    <n v="26414"/>
    <x v="430"/>
    <x v="44"/>
    <x v="45"/>
    <x v="0"/>
    <x v="0"/>
    <x v="0"/>
  </r>
  <r>
    <x v="431"/>
    <s v="Andrea Perez"/>
    <x v="17"/>
    <x v="1"/>
    <x v="1"/>
    <s v="PhD"/>
    <x v="2"/>
    <n v="107908"/>
    <n v="735"/>
    <n v="49127"/>
    <x v="2"/>
    <n v="0.14510000000000001"/>
    <x v="0"/>
    <s v="Rented"/>
    <n v="11"/>
    <n v="1"/>
    <s v="No"/>
    <s v="Yes"/>
    <x v="0"/>
    <n v="57454"/>
    <x v="431"/>
    <x v="47"/>
    <x v="385"/>
    <x v="1"/>
    <x v="0"/>
    <x v="0"/>
  </r>
  <r>
    <x v="432"/>
    <s v="Charlotte Fuller"/>
    <x v="29"/>
    <x v="0"/>
    <x v="1"/>
    <s v="High School"/>
    <x v="0"/>
    <n v="74469"/>
    <n v="735"/>
    <n v="25578"/>
    <x v="3"/>
    <n v="0.11609999999999999"/>
    <x v="4"/>
    <s v="Rented"/>
    <n v="14"/>
    <n v="0"/>
    <s v="Yes"/>
    <s v="Yes"/>
    <x v="1"/>
    <n v="55119"/>
    <x v="432"/>
    <x v="84"/>
    <x v="386"/>
    <x v="1"/>
    <x v="0"/>
    <x v="0"/>
  </r>
  <r>
    <x v="433"/>
    <s v="Stacie Park"/>
    <x v="37"/>
    <x v="0"/>
    <x v="2"/>
    <s v="Postgraduate"/>
    <x v="0"/>
    <n v="123863"/>
    <n v="735"/>
    <n v="39796"/>
    <x v="1"/>
    <n v="0.18729999999999999"/>
    <x v="1"/>
    <s v="Mortgaged"/>
    <n v="22"/>
    <n v="2"/>
    <s v="Yes"/>
    <s v="Yes"/>
    <x v="0"/>
    <n v="32116"/>
    <x v="433"/>
    <x v="0"/>
    <x v="387"/>
    <x v="0"/>
    <x v="0"/>
    <x v="0"/>
  </r>
  <r>
    <x v="434"/>
    <s v="James Kim"/>
    <x v="17"/>
    <x v="1"/>
    <x v="1"/>
    <s v="PhD"/>
    <x v="2"/>
    <n v="116583"/>
    <n v="735"/>
    <n v="19161"/>
    <x v="1"/>
    <n v="0.18379999999999999"/>
    <x v="3"/>
    <s v="Rented"/>
    <n v="1"/>
    <n v="0"/>
    <s v="Yes"/>
    <s v="No"/>
    <x v="0"/>
    <n v="48067"/>
    <x v="434"/>
    <x v="15"/>
    <x v="388"/>
    <x v="0"/>
    <x v="0"/>
    <x v="0"/>
  </r>
  <r>
    <x v="435"/>
    <s v="Mr. Jeffrey Harrison"/>
    <x v="37"/>
    <x v="0"/>
    <x v="1"/>
    <s v="Graduate"/>
    <x v="0"/>
    <n v="70281"/>
    <n v="734"/>
    <n v="10228"/>
    <x v="0"/>
    <n v="7.8399999999999997E-2"/>
    <x v="1"/>
    <s v="Rented"/>
    <n v="2"/>
    <n v="4"/>
    <s v="Yes"/>
    <s v="Yes"/>
    <x v="4"/>
    <n v="60631"/>
    <x v="435"/>
    <x v="46"/>
    <x v="104"/>
    <x v="0"/>
    <x v="0"/>
    <x v="0"/>
  </r>
  <r>
    <x v="436"/>
    <s v="Linda Rodriguez"/>
    <x v="21"/>
    <x v="1"/>
    <x v="2"/>
    <s v="Postgraduate"/>
    <x v="1"/>
    <n v="72389"/>
    <n v="734"/>
    <n v="10470"/>
    <x v="4"/>
    <n v="0.16269999999999998"/>
    <x v="4"/>
    <s v="Rented"/>
    <n v="10"/>
    <n v="2"/>
    <s v="No"/>
    <s v="No"/>
    <x v="4"/>
    <n v="148315"/>
    <x v="436"/>
    <x v="13"/>
    <x v="389"/>
    <x v="0"/>
    <x v="0"/>
    <x v="0"/>
  </r>
  <r>
    <x v="437"/>
    <s v="Michael Howell"/>
    <x v="36"/>
    <x v="0"/>
    <x v="1"/>
    <s v="Postgraduate"/>
    <x v="2"/>
    <n v="42784"/>
    <n v="734"/>
    <n v="24490"/>
    <x v="0"/>
    <n v="0.1449"/>
    <x v="1"/>
    <s v="Rented"/>
    <n v="26"/>
    <n v="4"/>
    <s v="Yes"/>
    <s v="No"/>
    <x v="0"/>
    <n v="64618"/>
    <x v="437"/>
    <x v="45"/>
    <x v="390"/>
    <x v="0"/>
    <x v="0"/>
    <x v="0"/>
  </r>
  <r>
    <x v="438"/>
    <s v="Melinda Beasley"/>
    <x v="29"/>
    <x v="1"/>
    <x v="0"/>
    <s v="Postgraduate"/>
    <x v="1"/>
    <n v="30683"/>
    <n v="734"/>
    <n v="31810"/>
    <x v="3"/>
    <n v="0.159"/>
    <x v="3"/>
    <s v="Mortgaged"/>
    <n v="26"/>
    <n v="2"/>
    <s v="Yes"/>
    <s v="No"/>
    <x v="3"/>
    <n v="2221"/>
    <x v="438"/>
    <x v="59"/>
    <x v="391"/>
    <x v="0"/>
    <x v="0"/>
    <x v="0"/>
  </r>
  <r>
    <x v="439"/>
    <s v="David Hammond"/>
    <x v="1"/>
    <x v="1"/>
    <x v="0"/>
    <s v="Postgraduate"/>
    <x v="0"/>
    <n v="69508"/>
    <n v="734"/>
    <n v="44262"/>
    <x v="2"/>
    <n v="6.9699999999999998E-2"/>
    <x v="2"/>
    <s v="Owned"/>
    <n v="19"/>
    <n v="4"/>
    <s v="Yes"/>
    <s v="Yes"/>
    <x v="0"/>
    <n v="124322"/>
    <x v="439"/>
    <x v="79"/>
    <x v="324"/>
    <x v="1"/>
    <x v="0"/>
    <x v="0"/>
  </r>
  <r>
    <x v="440"/>
    <s v="Pamela Webb"/>
    <x v="1"/>
    <x v="0"/>
    <x v="2"/>
    <s v="Graduate"/>
    <x v="0"/>
    <n v="51932"/>
    <n v="733"/>
    <n v="33844"/>
    <x v="2"/>
    <n v="0.1042"/>
    <x v="1"/>
    <s v="Rented"/>
    <n v="18"/>
    <n v="1"/>
    <s v="No"/>
    <s v="Yes"/>
    <x v="4"/>
    <n v="113120"/>
    <x v="440"/>
    <x v="32"/>
    <x v="392"/>
    <x v="0"/>
    <x v="0"/>
    <x v="0"/>
  </r>
  <r>
    <x v="441"/>
    <s v="Alex Ross"/>
    <x v="16"/>
    <x v="0"/>
    <x v="3"/>
    <s v="Graduate"/>
    <x v="2"/>
    <n v="20074"/>
    <n v="733"/>
    <n v="45654"/>
    <x v="3"/>
    <n v="0.14949999999999999"/>
    <x v="5"/>
    <s v="Mortgaged"/>
    <n v="6"/>
    <n v="3"/>
    <s v="Yes"/>
    <s v="Yes"/>
    <x v="1"/>
    <n v="68752"/>
    <x v="441"/>
    <x v="43"/>
    <x v="393"/>
    <x v="1"/>
    <x v="0"/>
    <x v="0"/>
  </r>
  <r>
    <x v="442"/>
    <s v="Stacey Campbell"/>
    <x v="14"/>
    <x v="1"/>
    <x v="2"/>
    <s v="High School"/>
    <x v="0"/>
    <n v="111009"/>
    <n v="733"/>
    <n v="12552"/>
    <x v="3"/>
    <n v="5.5899999999999998E-2"/>
    <x v="1"/>
    <s v="Mortgaged"/>
    <n v="25"/>
    <n v="4"/>
    <s v="No"/>
    <s v="Yes"/>
    <x v="4"/>
    <n v="187553"/>
    <x v="442"/>
    <x v="40"/>
    <x v="394"/>
    <x v="0"/>
    <x v="0"/>
    <x v="0"/>
  </r>
  <r>
    <x v="443"/>
    <s v="Sydney Morrow"/>
    <x v="7"/>
    <x v="1"/>
    <x v="2"/>
    <s v="Postgraduate"/>
    <x v="3"/>
    <n v="57921"/>
    <n v="733"/>
    <n v="39299"/>
    <x v="1"/>
    <n v="0.12659999999999999"/>
    <x v="4"/>
    <s v="Mortgaged"/>
    <n v="19"/>
    <n v="0"/>
    <s v="No"/>
    <s v="Yes"/>
    <x v="3"/>
    <n v="69885"/>
    <x v="443"/>
    <x v="68"/>
    <x v="395"/>
    <x v="0"/>
    <x v="0"/>
    <x v="0"/>
  </r>
  <r>
    <x v="444"/>
    <s v="Wayne Nelson"/>
    <x v="39"/>
    <x v="1"/>
    <x v="2"/>
    <s v="Graduate"/>
    <x v="1"/>
    <n v="35357"/>
    <n v="733"/>
    <n v="48805"/>
    <x v="2"/>
    <n v="8.0299999999999996E-2"/>
    <x v="1"/>
    <s v="Rented"/>
    <n v="4"/>
    <n v="4"/>
    <s v="No"/>
    <s v="Yes"/>
    <x v="2"/>
    <n v="36497"/>
    <x v="444"/>
    <x v="19"/>
    <x v="311"/>
    <x v="0"/>
    <x v="0"/>
    <x v="0"/>
  </r>
  <r>
    <x v="445"/>
    <s v="Mr. Jared Cook"/>
    <x v="25"/>
    <x v="0"/>
    <x v="2"/>
    <s v="High School"/>
    <x v="1"/>
    <n v="58098"/>
    <n v="733"/>
    <n v="38895"/>
    <x v="4"/>
    <n v="8.3199999999999996E-2"/>
    <x v="3"/>
    <s v="Owned"/>
    <n v="9"/>
    <n v="2"/>
    <s v="No"/>
    <s v="Yes"/>
    <x v="4"/>
    <n v="143036"/>
    <x v="445"/>
    <x v="7"/>
    <x v="396"/>
    <x v="0"/>
    <x v="0"/>
    <x v="0"/>
  </r>
  <r>
    <x v="446"/>
    <s v="Ashley Brown"/>
    <x v="33"/>
    <x v="1"/>
    <x v="3"/>
    <s v="Postgraduate"/>
    <x v="1"/>
    <n v="26862"/>
    <n v="732"/>
    <n v="12085"/>
    <x v="1"/>
    <n v="0.16930000000000001"/>
    <x v="3"/>
    <s v="Owned"/>
    <n v="7"/>
    <n v="2"/>
    <s v="No"/>
    <s v="Yes"/>
    <x v="2"/>
    <n v="84727"/>
    <x v="446"/>
    <x v="71"/>
    <x v="397"/>
    <x v="1"/>
    <x v="0"/>
    <x v="0"/>
  </r>
  <r>
    <x v="447"/>
    <s v="Amanda Foster"/>
    <x v="34"/>
    <x v="0"/>
    <x v="3"/>
    <s v="Graduate"/>
    <x v="1"/>
    <n v="139238"/>
    <n v="732"/>
    <n v="44132"/>
    <x v="4"/>
    <n v="0.1198"/>
    <x v="0"/>
    <s v="Owned"/>
    <n v="22"/>
    <n v="0"/>
    <s v="No"/>
    <s v="Yes"/>
    <x v="3"/>
    <n v="183746"/>
    <x v="447"/>
    <x v="7"/>
    <x v="398"/>
    <x v="0"/>
    <x v="1"/>
    <x v="0"/>
  </r>
  <r>
    <x v="448"/>
    <s v="Pamela Stone"/>
    <x v="43"/>
    <x v="0"/>
    <x v="1"/>
    <s v="High School"/>
    <x v="0"/>
    <n v="36984"/>
    <n v="732"/>
    <n v="21133"/>
    <x v="1"/>
    <n v="0.17749999999999999"/>
    <x v="3"/>
    <s v="Rented"/>
    <n v="29"/>
    <n v="1"/>
    <s v="Yes"/>
    <s v="No"/>
    <x v="3"/>
    <n v="36880"/>
    <x v="448"/>
    <x v="58"/>
    <x v="399"/>
    <x v="1"/>
    <x v="0"/>
    <x v="0"/>
  </r>
  <r>
    <x v="449"/>
    <s v="Ashlee Austin"/>
    <x v="0"/>
    <x v="0"/>
    <x v="2"/>
    <s v="Graduate"/>
    <x v="3"/>
    <n v="97707"/>
    <n v="732"/>
    <n v="2999"/>
    <x v="4"/>
    <n v="0.19039999999999999"/>
    <x v="4"/>
    <s v="Owned"/>
    <n v="16"/>
    <n v="4"/>
    <s v="Yes"/>
    <s v="Yes"/>
    <x v="2"/>
    <n v="122207"/>
    <x v="449"/>
    <x v="55"/>
    <x v="400"/>
    <x v="1"/>
    <x v="0"/>
    <x v="0"/>
  </r>
  <r>
    <x v="450"/>
    <s v="Kyle Lewis"/>
    <x v="7"/>
    <x v="1"/>
    <x v="1"/>
    <s v="Graduate"/>
    <x v="0"/>
    <n v="41577"/>
    <n v="732"/>
    <n v="40023"/>
    <x v="3"/>
    <n v="0.17579999999999998"/>
    <x v="2"/>
    <s v="Mortgaged"/>
    <n v="11"/>
    <n v="2"/>
    <s v="Yes"/>
    <s v="Yes"/>
    <x v="4"/>
    <n v="86379"/>
    <x v="450"/>
    <x v="3"/>
    <x v="101"/>
    <x v="1"/>
    <x v="0"/>
    <x v="0"/>
  </r>
  <r>
    <x v="451"/>
    <s v="John Chambers"/>
    <x v="2"/>
    <x v="1"/>
    <x v="3"/>
    <s v="High School"/>
    <x v="2"/>
    <n v="117352"/>
    <n v="731"/>
    <n v="16186"/>
    <x v="4"/>
    <n v="9.1199999999999989E-2"/>
    <x v="2"/>
    <s v="Mortgaged"/>
    <n v="2"/>
    <n v="1"/>
    <s v="Yes"/>
    <s v="No"/>
    <x v="0"/>
    <n v="136065"/>
    <x v="451"/>
    <x v="90"/>
    <x v="401"/>
    <x v="0"/>
    <x v="0"/>
    <x v="0"/>
  </r>
  <r>
    <x v="452"/>
    <s v="Kimberly Mccormick"/>
    <x v="16"/>
    <x v="0"/>
    <x v="0"/>
    <s v="Postgraduate"/>
    <x v="2"/>
    <n v="21313"/>
    <n v="731"/>
    <n v="32481"/>
    <x v="2"/>
    <n v="0.12369999999999999"/>
    <x v="1"/>
    <s v="Mortgaged"/>
    <n v="24"/>
    <n v="1"/>
    <s v="Yes"/>
    <s v="Yes"/>
    <x v="2"/>
    <n v="170167"/>
    <x v="452"/>
    <x v="59"/>
    <x v="402"/>
    <x v="0"/>
    <x v="0"/>
    <x v="0"/>
  </r>
  <r>
    <x v="453"/>
    <s v="David Barnes"/>
    <x v="37"/>
    <x v="1"/>
    <x v="3"/>
    <s v="PhD"/>
    <x v="3"/>
    <n v="119273"/>
    <n v="730"/>
    <n v="48968"/>
    <x v="0"/>
    <n v="0.12189999999999999"/>
    <x v="5"/>
    <s v="Rented"/>
    <n v="5"/>
    <n v="4"/>
    <s v="No"/>
    <s v="No"/>
    <x v="3"/>
    <n v="140406"/>
    <x v="453"/>
    <x v="43"/>
    <x v="403"/>
    <x v="0"/>
    <x v="0"/>
    <x v="0"/>
  </r>
  <r>
    <x v="454"/>
    <s v="Phillip Vargas"/>
    <x v="31"/>
    <x v="1"/>
    <x v="1"/>
    <s v="PhD"/>
    <x v="1"/>
    <n v="97597"/>
    <n v="730"/>
    <n v="45197"/>
    <x v="4"/>
    <n v="0.19370000000000001"/>
    <x v="3"/>
    <s v="Mortgaged"/>
    <n v="28"/>
    <n v="1"/>
    <s v="Yes"/>
    <s v="Yes"/>
    <x v="1"/>
    <n v="59484"/>
    <x v="454"/>
    <x v="17"/>
    <x v="370"/>
    <x v="0"/>
    <x v="0"/>
    <x v="0"/>
  </r>
  <r>
    <x v="455"/>
    <s v="Tracy Huber"/>
    <x v="36"/>
    <x v="1"/>
    <x v="0"/>
    <s v="Graduate"/>
    <x v="3"/>
    <n v="83248"/>
    <n v="730"/>
    <n v="26765"/>
    <x v="2"/>
    <n v="0.19010000000000002"/>
    <x v="3"/>
    <s v="Owned"/>
    <n v="22"/>
    <n v="3"/>
    <s v="Yes"/>
    <s v="No"/>
    <x v="0"/>
    <n v="11106"/>
    <x v="455"/>
    <x v="64"/>
    <x v="404"/>
    <x v="0"/>
    <x v="0"/>
    <x v="0"/>
  </r>
  <r>
    <x v="456"/>
    <s v="Susan Gordon"/>
    <x v="27"/>
    <x v="0"/>
    <x v="1"/>
    <s v="Postgraduate"/>
    <x v="1"/>
    <n v="145580"/>
    <n v="730"/>
    <n v="48253"/>
    <x v="2"/>
    <n v="0.1033"/>
    <x v="1"/>
    <s v="Rented"/>
    <n v="10"/>
    <n v="2"/>
    <s v="No"/>
    <s v="No"/>
    <x v="2"/>
    <n v="60109"/>
    <x v="456"/>
    <x v="16"/>
    <x v="143"/>
    <x v="0"/>
    <x v="1"/>
    <x v="0"/>
  </r>
  <r>
    <x v="457"/>
    <s v="Julie Stewart"/>
    <x v="41"/>
    <x v="1"/>
    <x v="0"/>
    <s v="High School"/>
    <x v="0"/>
    <n v="52376"/>
    <n v="730"/>
    <n v="14733"/>
    <x v="0"/>
    <n v="0.1318"/>
    <x v="1"/>
    <s v="Mortgaged"/>
    <n v="8"/>
    <n v="4"/>
    <s v="Yes"/>
    <s v="Yes"/>
    <x v="4"/>
    <n v="107396"/>
    <x v="457"/>
    <x v="2"/>
    <x v="405"/>
    <x v="1"/>
    <x v="0"/>
    <x v="0"/>
  </r>
  <r>
    <x v="458"/>
    <s v="Marcus Miller"/>
    <x v="22"/>
    <x v="0"/>
    <x v="0"/>
    <s v="Graduate"/>
    <x v="1"/>
    <n v="143798"/>
    <n v="728"/>
    <n v="32876"/>
    <x v="1"/>
    <n v="0.16269999999999998"/>
    <x v="3"/>
    <s v="Owned"/>
    <n v="18"/>
    <n v="1"/>
    <s v="No"/>
    <s v="Yes"/>
    <x v="3"/>
    <n v="82475"/>
    <x v="458"/>
    <x v="28"/>
    <x v="406"/>
    <x v="0"/>
    <x v="0"/>
    <x v="0"/>
  </r>
  <r>
    <x v="459"/>
    <s v="Nathan Anderson"/>
    <x v="0"/>
    <x v="1"/>
    <x v="1"/>
    <s v="Postgraduate"/>
    <x v="3"/>
    <n v="94123"/>
    <n v="728"/>
    <n v="48217"/>
    <x v="3"/>
    <n v="0.17030000000000001"/>
    <x v="4"/>
    <s v="Owned"/>
    <n v="1"/>
    <n v="4"/>
    <s v="No"/>
    <s v="No"/>
    <x v="1"/>
    <n v="52692"/>
    <x v="459"/>
    <x v="43"/>
    <x v="407"/>
    <x v="1"/>
    <x v="1"/>
    <x v="0"/>
  </r>
  <r>
    <x v="460"/>
    <s v="Anna Wolfe"/>
    <x v="4"/>
    <x v="1"/>
    <x v="2"/>
    <s v="High School"/>
    <x v="0"/>
    <n v="106489"/>
    <n v="727"/>
    <n v="44339"/>
    <x v="2"/>
    <n v="0.1065"/>
    <x v="1"/>
    <s v="Rented"/>
    <n v="10"/>
    <n v="1"/>
    <s v="Yes"/>
    <s v="No"/>
    <x v="4"/>
    <n v="132424"/>
    <x v="460"/>
    <x v="38"/>
    <x v="408"/>
    <x v="0"/>
    <x v="1"/>
    <x v="0"/>
  </r>
  <r>
    <x v="461"/>
    <s v="Jessica Taylor"/>
    <x v="1"/>
    <x v="1"/>
    <x v="0"/>
    <s v="PhD"/>
    <x v="0"/>
    <n v="143178"/>
    <n v="727"/>
    <n v="34746"/>
    <x v="2"/>
    <n v="9.3399999999999997E-2"/>
    <x v="0"/>
    <s v="Rented"/>
    <n v="14"/>
    <n v="3"/>
    <s v="No"/>
    <s v="No"/>
    <x v="3"/>
    <n v="92811"/>
    <x v="461"/>
    <x v="43"/>
    <x v="409"/>
    <x v="0"/>
    <x v="1"/>
    <x v="0"/>
  </r>
  <r>
    <x v="462"/>
    <s v="Shelley Harper"/>
    <x v="40"/>
    <x v="0"/>
    <x v="2"/>
    <s v="Graduate"/>
    <x v="0"/>
    <n v="55281"/>
    <n v="727"/>
    <n v="38997"/>
    <x v="3"/>
    <n v="9.7699999999999995E-2"/>
    <x v="5"/>
    <s v="Mortgaged"/>
    <n v="23"/>
    <n v="3"/>
    <s v="Yes"/>
    <s v="No"/>
    <x v="3"/>
    <n v="131531"/>
    <x v="462"/>
    <x v="79"/>
    <x v="410"/>
    <x v="1"/>
    <x v="0"/>
    <x v="0"/>
  </r>
  <r>
    <x v="463"/>
    <s v="Angela Huff"/>
    <x v="35"/>
    <x v="0"/>
    <x v="3"/>
    <s v="PhD"/>
    <x v="2"/>
    <n v="124143"/>
    <n v="726"/>
    <n v="1730"/>
    <x v="3"/>
    <n v="0.12029999999999999"/>
    <x v="4"/>
    <s v="Owned"/>
    <n v="4"/>
    <n v="2"/>
    <s v="No"/>
    <s v="No"/>
    <x v="4"/>
    <n v="132089"/>
    <x v="463"/>
    <x v="14"/>
    <x v="411"/>
    <x v="0"/>
    <x v="0"/>
    <x v="0"/>
  </r>
  <r>
    <x v="464"/>
    <s v="Nicole Davis"/>
    <x v="41"/>
    <x v="0"/>
    <x v="3"/>
    <s v="High School"/>
    <x v="2"/>
    <n v="85054"/>
    <n v="726"/>
    <n v="34525"/>
    <x v="3"/>
    <n v="5.1900000000000002E-2"/>
    <x v="4"/>
    <s v="Mortgaged"/>
    <n v="27"/>
    <n v="1"/>
    <s v="No"/>
    <s v="No"/>
    <x v="4"/>
    <n v="105695"/>
    <x v="464"/>
    <x v="12"/>
    <x v="412"/>
    <x v="1"/>
    <x v="0"/>
    <x v="0"/>
  </r>
  <r>
    <x v="465"/>
    <s v="Michelle Gonzalez"/>
    <x v="20"/>
    <x v="0"/>
    <x v="2"/>
    <s v="PhD"/>
    <x v="0"/>
    <n v="93396"/>
    <n v="726"/>
    <n v="23959"/>
    <x v="3"/>
    <n v="0.18440000000000001"/>
    <x v="2"/>
    <s v="Rented"/>
    <n v="1"/>
    <n v="0"/>
    <s v="Yes"/>
    <s v="No"/>
    <x v="2"/>
    <n v="125101"/>
    <x v="465"/>
    <x v="85"/>
    <x v="100"/>
    <x v="1"/>
    <x v="0"/>
    <x v="0"/>
  </r>
  <r>
    <x v="466"/>
    <s v="Paul Weaver"/>
    <x v="26"/>
    <x v="1"/>
    <x v="2"/>
    <s v="PhD"/>
    <x v="2"/>
    <n v="62719"/>
    <n v="726"/>
    <n v="10429"/>
    <x v="0"/>
    <n v="0.15839999999999999"/>
    <x v="4"/>
    <s v="Rented"/>
    <n v="19"/>
    <n v="3"/>
    <s v="Yes"/>
    <s v="No"/>
    <x v="4"/>
    <n v="134822"/>
    <x v="466"/>
    <x v="68"/>
    <x v="413"/>
    <x v="1"/>
    <x v="0"/>
    <x v="0"/>
  </r>
  <r>
    <x v="467"/>
    <s v="Bradley Valdez"/>
    <x v="14"/>
    <x v="1"/>
    <x v="0"/>
    <s v="High School"/>
    <x v="2"/>
    <n v="46393"/>
    <n v="726"/>
    <n v="25146"/>
    <x v="2"/>
    <n v="7.3800000000000004E-2"/>
    <x v="0"/>
    <s v="Owned"/>
    <n v="18"/>
    <n v="3"/>
    <s v="No"/>
    <s v="Yes"/>
    <x v="2"/>
    <n v="152884"/>
    <x v="467"/>
    <x v="79"/>
    <x v="414"/>
    <x v="0"/>
    <x v="0"/>
    <x v="0"/>
  </r>
  <r>
    <x v="468"/>
    <s v="Kayla Jones"/>
    <x v="24"/>
    <x v="0"/>
    <x v="0"/>
    <s v="Graduate"/>
    <x v="1"/>
    <n v="112005"/>
    <n v="726"/>
    <n v="38177"/>
    <x v="2"/>
    <n v="8.7899999999999992E-2"/>
    <x v="5"/>
    <s v="Owned"/>
    <n v="15"/>
    <n v="0"/>
    <s v="Yes"/>
    <s v="No"/>
    <x v="4"/>
    <n v="145138"/>
    <x v="468"/>
    <x v="76"/>
    <x v="248"/>
    <x v="1"/>
    <x v="0"/>
    <x v="0"/>
  </r>
  <r>
    <x v="469"/>
    <s v="Thomas Ramirez"/>
    <x v="3"/>
    <x v="0"/>
    <x v="0"/>
    <s v="PhD"/>
    <x v="3"/>
    <n v="121128"/>
    <n v="725"/>
    <n v="10107"/>
    <x v="1"/>
    <n v="0.1638"/>
    <x v="2"/>
    <s v="Rented"/>
    <n v="9"/>
    <n v="4"/>
    <s v="Yes"/>
    <s v="Yes"/>
    <x v="3"/>
    <n v="156199"/>
    <x v="469"/>
    <x v="74"/>
    <x v="415"/>
    <x v="0"/>
    <x v="1"/>
    <x v="0"/>
  </r>
  <r>
    <x v="470"/>
    <s v="Bob Rocha"/>
    <x v="10"/>
    <x v="0"/>
    <x v="3"/>
    <s v="Postgraduate"/>
    <x v="2"/>
    <n v="142863"/>
    <n v="725"/>
    <n v="26792"/>
    <x v="2"/>
    <n v="6.2E-2"/>
    <x v="3"/>
    <s v="Mortgaged"/>
    <n v="19"/>
    <n v="4"/>
    <s v="Yes"/>
    <s v="Yes"/>
    <x v="4"/>
    <n v="37018"/>
    <x v="470"/>
    <x v="3"/>
    <x v="416"/>
    <x v="0"/>
    <x v="0"/>
    <x v="0"/>
  </r>
  <r>
    <x v="471"/>
    <s v="John Edwards"/>
    <x v="4"/>
    <x v="0"/>
    <x v="0"/>
    <s v="High School"/>
    <x v="1"/>
    <n v="98572"/>
    <n v="725"/>
    <n v="45498"/>
    <x v="4"/>
    <n v="5.2699999999999997E-2"/>
    <x v="5"/>
    <s v="Mortgaged"/>
    <n v="26"/>
    <n v="1"/>
    <s v="Yes"/>
    <s v="Yes"/>
    <x v="1"/>
    <n v="9550"/>
    <x v="471"/>
    <x v="14"/>
    <x v="417"/>
    <x v="0"/>
    <x v="0"/>
    <x v="0"/>
  </r>
  <r>
    <x v="472"/>
    <s v="Nathan Dawson"/>
    <x v="8"/>
    <x v="0"/>
    <x v="1"/>
    <s v="PhD"/>
    <x v="0"/>
    <n v="75182"/>
    <n v="724"/>
    <n v="46210"/>
    <x v="4"/>
    <n v="6.7900000000000002E-2"/>
    <x v="5"/>
    <s v="Owned"/>
    <n v="14"/>
    <n v="1"/>
    <s v="Yes"/>
    <s v="No"/>
    <x v="3"/>
    <n v="87367"/>
    <x v="472"/>
    <x v="8"/>
    <x v="418"/>
    <x v="0"/>
    <x v="0"/>
    <x v="0"/>
  </r>
  <r>
    <x v="473"/>
    <s v="Kimberly Erickson"/>
    <x v="4"/>
    <x v="1"/>
    <x v="1"/>
    <s v="Postgraduate"/>
    <x v="2"/>
    <n v="91055"/>
    <n v="724"/>
    <n v="19242"/>
    <x v="3"/>
    <n v="0.13720000000000002"/>
    <x v="1"/>
    <s v="Rented"/>
    <n v="29"/>
    <n v="4"/>
    <s v="Yes"/>
    <s v="Yes"/>
    <x v="4"/>
    <n v="144877"/>
    <x v="473"/>
    <x v="11"/>
    <x v="360"/>
    <x v="0"/>
    <x v="1"/>
    <x v="0"/>
  </r>
  <r>
    <x v="474"/>
    <s v="Whitney Stevens"/>
    <x v="34"/>
    <x v="0"/>
    <x v="1"/>
    <s v="Postgraduate"/>
    <x v="0"/>
    <n v="20769"/>
    <n v="724"/>
    <n v="38367"/>
    <x v="1"/>
    <n v="9.64E-2"/>
    <x v="1"/>
    <s v="Rented"/>
    <n v="15"/>
    <n v="1"/>
    <s v="Yes"/>
    <s v="No"/>
    <x v="3"/>
    <n v="66469"/>
    <x v="474"/>
    <x v="48"/>
    <x v="419"/>
    <x v="0"/>
    <x v="0"/>
    <x v="0"/>
  </r>
  <r>
    <x v="475"/>
    <s v="Alicia Harris"/>
    <x v="34"/>
    <x v="1"/>
    <x v="1"/>
    <s v="Postgraduate"/>
    <x v="3"/>
    <n v="48074"/>
    <n v="723"/>
    <n v="23733"/>
    <x v="4"/>
    <n v="0.1449"/>
    <x v="4"/>
    <s v="Rented"/>
    <n v="25"/>
    <n v="4"/>
    <s v="No"/>
    <s v="No"/>
    <x v="3"/>
    <n v="60814"/>
    <x v="475"/>
    <x v="31"/>
    <x v="227"/>
    <x v="1"/>
    <x v="0"/>
    <x v="0"/>
  </r>
  <r>
    <x v="476"/>
    <s v="Erin White"/>
    <x v="28"/>
    <x v="1"/>
    <x v="3"/>
    <s v="PhD"/>
    <x v="2"/>
    <n v="46505"/>
    <n v="722"/>
    <n v="17991"/>
    <x v="4"/>
    <n v="8.8499999999999995E-2"/>
    <x v="3"/>
    <s v="Owned"/>
    <n v="27"/>
    <n v="3"/>
    <s v="No"/>
    <s v="Yes"/>
    <x v="4"/>
    <n v="18808"/>
    <x v="476"/>
    <x v="53"/>
    <x v="420"/>
    <x v="0"/>
    <x v="0"/>
    <x v="0"/>
  </r>
  <r>
    <x v="477"/>
    <s v="Joel Dawson"/>
    <x v="12"/>
    <x v="0"/>
    <x v="0"/>
    <s v="High School"/>
    <x v="2"/>
    <n v="20453"/>
    <n v="722"/>
    <n v="2919"/>
    <x v="3"/>
    <n v="9.0500000000000011E-2"/>
    <x v="4"/>
    <s v="Mortgaged"/>
    <n v="17"/>
    <n v="4"/>
    <s v="Yes"/>
    <s v="Yes"/>
    <x v="3"/>
    <n v="193932"/>
    <x v="477"/>
    <x v="70"/>
    <x v="421"/>
    <x v="0"/>
    <x v="1"/>
    <x v="0"/>
  </r>
  <r>
    <x v="478"/>
    <s v="Jacob Leblanc"/>
    <x v="19"/>
    <x v="0"/>
    <x v="2"/>
    <s v="Postgraduate"/>
    <x v="1"/>
    <n v="142984"/>
    <n v="722"/>
    <n v="31104"/>
    <x v="1"/>
    <n v="9.2899999999999996E-2"/>
    <x v="2"/>
    <s v="Mortgaged"/>
    <n v="2"/>
    <n v="3"/>
    <s v="Yes"/>
    <s v="No"/>
    <x v="0"/>
    <n v="189592"/>
    <x v="478"/>
    <x v="27"/>
    <x v="422"/>
    <x v="1"/>
    <x v="0"/>
    <x v="0"/>
  </r>
  <r>
    <x v="479"/>
    <s v="Terrence Robertson"/>
    <x v="6"/>
    <x v="1"/>
    <x v="3"/>
    <s v="Graduate"/>
    <x v="2"/>
    <n v="106338"/>
    <n v="722"/>
    <n v="22675"/>
    <x v="1"/>
    <n v="0.18100000000000002"/>
    <x v="5"/>
    <s v="Rented"/>
    <n v="19"/>
    <n v="3"/>
    <s v="No"/>
    <s v="Yes"/>
    <x v="4"/>
    <n v="56813"/>
    <x v="47"/>
    <x v="11"/>
    <x v="423"/>
    <x v="0"/>
    <x v="0"/>
    <x v="0"/>
  </r>
  <r>
    <x v="480"/>
    <s v="Rose Wilson"/>
    <x v="33"/>
    <x v="1"/>
    <x v="0"/>
    <s v="Graduate"/>
    <x v="2"/>
    <n v="67997"/>
    <n v="721"/>
    <n v="1784"/>
    <x v="1"/>
    <n v="5.6500000000000002E-2"/>
    <x v="2"/>
    <s v="Owned"/>
    <n v="26"/>
    <n v="3"/>
    <s v="No"/>
    <s v="Yes"/>
    <x v="3"/>
    <n v="89705"/>
    <x v="479"/>
    <x v="88"/>
    <x v="424"/>
    <x v="0"/>
    <x v="0"/>
    <x v="0"/>
  </r>
  <r>
    <x v="481"/>
    <s v="Michael Bennett"/>
    <x v="36"/>
    <x v="1"/>
    <x v="2"/>
    <s v="High School"/>
    <x v="3"/>
    <n v="125514"/>
    <n v="721"/>
    <n v="49884"/>
    <x v="2"/>
    <n v="0.12520000000000001"/>
    <x v="2"/>
    <s v="Owned"/>
    <n v="21"/>
    <n v="3"/>
    <s v="Yes"/>
    <s v="Yes"/>
    <x v="1"/>
    <n v="149651"/>
    <x v="480"/>
    <x v="38"/>
    <x v="425"/>
    <x v="0"/>
    <x v="0"/>
    <x v="0"/>
  </r>
  <r>
    <x v="482"/>
    <s v="Patricia Velasquez"/>
    <x v="2"/>
    <x v="0"/>
    <x v="3"/>
    <s v="High School"/>
    <x v="3"/>
    <n v="145463"/>
    <n v="720"/>
    <n v="18718"/>
    <x v="2"/>
    <n v="0.11349999999999999"/>
    <x v="1"/>
    <s v="Owned"/>
    <n v="19"/>
    <n v="4"/>
    <s v="Yes"/>
    <s v="No"/>
    <x v="3"/>
    <n v="103293"/>
    <x v="481"/>
    <x v="58"/>
    <x v="63"/>
    <x v="0"/>
    <x v="0"/>
    <x v="0"/>
  </r>
  <r>
    <x v="483"/>
    <s v="Joseph Hodges"/>
    <x v="29"/>
    <x v="1"/>
    <x v="3"/>
    <s v="Postgraduate"/>
    <x v="0"/>
    <n v="144745"/>
    <n v="720"/>
    <n v="1056"/>
    <x v="3"/>
    <n v="0.19839999999999999"/>
    <x v="4"/>
    <s v="Mortgaged"/>
    <n v="27"/>
    <n v="3"/>
    <s v="Yes"/>
    <s v="No"/>
    <x v="1"/>
    <n v="151957"/>
    <x v="482"/>
    <x v="51"/>
    <x v="426"/>
    <x v="0"/>
    <x v="0"/>
    <x v="0"/>
  </r>
  <r>
    <x v="484"/>
    <s v="Benjamin Smith"/>
    <x v="40"/>
    <x v="1"/>
    <x v="1"/>
    <s v="Graduate"/>
    <x v="2"/>
    <n v="110639"/>
    <n v="720"/>
    <n v="43145"/>
    <x v="4"/>
    <n v="0.1268"/>
    <x v="2"/>
    <s v="Rented"/>
    <n v="10"/>
    <n v="4"/>
    <s v="Yes"/>
    <s v="No"/>
    <x v="2"/>
    <n v="114647"/>
    <x v="483"/>
    <x v="68"/>
    <x v="59"/>
    <x v="1"/>
    <x v="1"/>
    <x v="0"/>
  </r>
  <r>
    <x v="485"/>
    <s v="Brittany Warner"/>
    <x v="40"/>
    <x v="0"/>
    <x v="2"/>
    <s v="Postgraduate"/>
    <x v="2"/>
    <n v="37221"/>
    <n v="720"/>
    <n v="25509"/>
    <x v="0"/>
    <n v="7.9699999999999993E-2"/>
    <x v="4"/>
    <s v="Rented"/>
    <n v="14"/>
    <n v="1"/>
    <s v="Yes"/>
    <s v="No"/>
    <x v="1"/>
    <n v="134141"/>
    <x v="484"/>
    <x v="59"/>
    <x v="427"/>
    <x v="0"/>
    <x v="1"/>
    <x v="0"/>
  </r>
  <r>
    <x v="486"/>
    <s v="Kendra Scott"/>
    <x v="6"/>
    <x v="0"/>
    <x v="1"/>
    <s v="Graduate"/>
    <x v="0"/>
    <n v="147763"/>
    <n v="719"/>
    <n v="18106"/>
    <x v="1"/>
    <n v="0.16219999999999998"/>
    <x v="0"/>
    <s v="Mortgaged"/>
    <n v="9"/>
    <n v="2"/>
    <s v="Yes"/>
    <s v="No"/>
    <x v="1"/>
    <n v="61625"/>
    <x v="485"/>
    <x v="85"/>
    <x v="428"/>
    <x v="0"/>
    <x v="0"/>
    <x v="0"/>
  </r>
  <r>
    <x v="487"/>
    <s v="Sean Cooke"/>
    <x v="24"/>
    <x v="1"/>
    <x v="0"/>
    <s v="High School"/>
    <x v="0"/>
    <n v="98636"/>
    <n v="719"/>
    <n v="43244"/>
    <x v="1"/>
    <n v="7.3499999999999996E-2"/>
    <x v="1"/>
    <s v="Mortgaged"/>
    <n v="21"/>
    <n v="1"/>
    <s v="Yes"/>
    <s v="Yes"/>
    <x v="4"/>
    <n v="167534"/>
    <x v="486"/>
    <x v="62"/>
    <x v="429"/>
    <x v="1"/>
    <x v="0"/>
    <x v="0"/>
  </r>
  <r>
    <x v="488"/>
    <s v="Brooke Sutton"/>
    <x v="17"/>
    <x v="1"/>
    <x v="1"/>
    <s v="PhD"/>
    <x v="2"/>
    <n v="33362"/>
    <n v="719"/>
    <n v="43060"/>
    <x v="4"/>
    <n v="7.0000000000000007E-2"/>
    <x v="3"/>
    <s v="Mortgaged"/>
    <n v="5"/>
    <n v="3"/>
    <s v="No"/>
    <s v="Yes"/>
    <x v="3"/>
    <n v="100108"/>
    <x v="487"/>
    <x v="58"/>
    <x v="430"/>
    <x v="0"/>
    <x v="0"/>
    <x v="0"/>
  </r>
  <r>
    <x v="489"/>
    <s v="Tammy Williams"/>
    <x v="32"/>
    <x v="1"/>
    <x v="3"/>
    <s v="Postgraduate"/>
    <x v="0"/>
    <n v="69037"/>
    <n v="719"/>
    <n v="33926"/>
    <x v="3"/>
    <n v="6.4500000000000002E-2"/>
    <x v="3"/>
    <s v="Rented"/>
    <n v="15"/>
    <n v="0"/>
    <s v="Yes"/>
    <s v="No"/>
    <x v="1"/>
    <n v="150678"/>
    <x v="488"/>
    <x v="42"/>
    <x v="431"/>
    <x v="0"/>
    <x v="0"/>
    <x v="0"/>
  </r>
  <r>
    <x v="490"/>
    <s v="Pamela Fields"/>
    <x v="34"/>
    <x v="0"/>
    <x v="1"/>
    <s v="PhD"/>
    <x v="0"/>
    <n v="21737"/>
    <n v="719"/>
    <n v="45427"/>
    <x v="2"/>
    <n v="5.7500000000000002E-2"/>
    <x v="0"/>
    <s v="Mortgaged"/>
    <n v="9"/>
    <n v="3"/>
    <s v="No"/>
    <s v="No"/>
    <x v="3"/>
    <n v="49700"/>
    <x v="489"/>
    <x v="84"/>
    <x v="432"/>
    <x v="0"/>
    <x v="0"/>
    <x v="0"/>
  </r>
  <r>
    <x v="491"/>
    <s v="Joshua Valencia"/>
    <x v="21"/>
    <x v="1"/>
    <x v="0"/>
    <s v="PhD"/>
    <x v="1"/>
    <n v="141465"/>
    <n v="719"/>
    <n v="12991"/>
    <x v="2"/>
    <n v="0.1009"/>
    <x v="0"/>
    <s v="Mortgaged"/>
    <n v="28"/>
    <n v="0"/>
    <s v="No"/>
    <s v="No"/>
    <x v="0"/>
    <n v="82741"/>
    <x v="490"/>
    <x v="0"/>
    <x v="433"/>
    <x v="0"/>
    <x v="0"/>
    <x v="0"/>
  </r>
  <r>
    <x v="492"/>
    <s v="David Daugherty"/>
    <x v="9"/>
    <x v="1"/>
    <x v="1"/>
    <s v="PhD"/>
    <x v="3"/>
    <n v="24141"/>
    <n v="718"/>
    <n v="13809"/>
    <x v="1"/>
    <n v="0.1076"/>
    <x v="3"/>
    <s v="Mortgaged"/>
    <n v="13"/>
    <n v="0"/>
    <s v="Yes"/>
    <s v="Yes"/>
    <x v="1"/>
    <n v="98794"/>
    <x v="491"/>
    <x v="14"/>
    <x v="434"/>
    <x v="1"/>
    <x v="0"/>
    <x v="0"/>
  </r>
  <r>
    <x v="493"/>
    <s v="Allison Dunlap"/>
    <x v="43"/>
    <x v="1"/>
    <x v="0"/>
    <s v="PhD"/>
    <x v="1"/>
    <n v="132394"/>
    <n v="717"/>
    <n v="30072"/>
    <x v="3"/>
    <n v="0.15529999999999999"/>
    <x v="3"/>
    <s v="Mortgaged"/>
    <n v="23"/>
    <n v="3"/>
    <s v="No"/>
    <s v="No"/>
    <x v="4"/>
    <n v="105116"/>
    <x v="492"/>
    <x v="71"/>
    <x v="435"/>
    <x v="1"/>
    <x v="0"/>
    <x v="0"/>
  </r>
  <r>
    <x v="494"/>
    <s v="Gary Bennett"/>
    <x v="36"/>
    <x v="0"/>
    <x v="3"/>
    <s v="High School"/>
    <x v="1"/>
    <n v="84824"/>
    <n v="717"/>
    <n v="29460"/>
    <x v="1"/>
    <n v="0.13239999999999999"/>
    <x v="4"/>
    <s v="Owned"/>
    <n v="15"/>
    <n v="1"/>
    <s v="No"/>
    <s v="No"/>
    <x v="4"/>
    <n v="169887"/>
    <x v="493"/>
    <x v="81"/>
    <x v="436"/>
    <x v="0"/>
    <x v="0"/>
    <x v="0"/>
  </r>
  <r>
    <x v="495"/>
    <s v="Kevin Anderson"/>
    <x v="43"/>
    <x v="1"/>
    <x v="0"/>
    <s v="PhD"/>
    <x v="0"/>
    <n v="23985"/>
    <n v="717"/>
    <n v="27673"/>
    <x v="3"/>
    <n v="5.5800000000000002E-2"/>
    <x v="1"/>
    <s v="Owned"/>
    <n v="19"/>
    <n v="4"/>
    <s v="Yes"/>
    <s v="Yes"/>
    <x v="4"/>
    <n v="14744"/>
    <x v="494"/>
    <x v="39"/>
    <x v="437"/>
    <x v="0"/>
    <x v="0"/>
    <x v="0"/>
  </r>
  <r>
    <x v="496"/>
    <s v="Ruben Garcia"/>
    <x v="3"/>
    <x v="0"/>
    <x v="0"/>
    <s v="High School"/>
    <x v="3"/>
    <n v="82532"/>
    <n v="716"/>
    <n v="32887"/>
    <x v="4"/>
    <n v="7.0400000000000004E-2"/>
    <x v="4"/>
    <s v="Mortgaged"/>
    <n v="22"/>
    <n v="4"/>
    <s v="Yes"/>
    <s v="Yes"/>
    <x v="2"/>
    <n v="188350"/>
    <x v="495"/>
    <x v="65"/>
    <x v="438"/>
    <x v="0"/>
    <x v="0"/>
    <x v="0"/>
  </r>
  <r>
    <x v="497"/>
    <s v="Crystal Smith"/>
    <x v="40"/>
    <x v="1"/>
    <x v="2"/>
    <s v="Graduate"/>
    <x v="2"/>
    <n v="29493"/>
    <n v="716"/>
    <n v="43602"/>
    <x v="2"/>
    <n v="0.12"/>
    <x v="2"/>
    <s v="Owned"/>
    <n v="7"/>
    <n v="1"/>
    <s v="No"/>
    <s v="No"/>
    <x v="3"/>
    <n v="45933"/>
    <x v="496"/>
    <x v="31"/>
    <x v="283"/>
    <x v="1"/>
    <x v="0"/>
    <x v="0"/>
  </r>
  <r>
    <x v="498"/>
    <s v="Matthew Long"/>
    <x v="27"/>
    <x v="1"/>
    <x v="0"/>
    <s v="PhD"/>
    <x v="1"/>
    <n v="129381"/>
    <n v="716"/>
    <n v="49926"/>
    <x v="3"/>
    <n v="0.10619999999999999"/>
    <x v="5"/>
    <s v="Owned"/>
    <n v="22"/>
    <n v="1"/>
    <s v="Yes"/>
    <s v="Yes"/>
    <x v="1"/>
    <n v="181796"/>
    <x v="497"/>
    <x v="37"/>
    <x v="439"/>
    <x v="1"/>
    <x v="1"/>
    <x v="0"/>
  </r>
  <r>
    <x v="499"/>
    <s v="Hector Ortega"/>
    <x v="35"/>
    <x v="0"/>
    <x v="2"/>
    <s v="Postgraduate"/>
    <x v="1"/>
    <n v="100729"/>
    <n v="716"/>
    <n v="24453"/>
    <x v="2"/>
    <n v="6.5500000000000003E-2"/>
    <x v="2"/>
    <s v="Owned"/>
    <n v="23"/>
    <n v="2"/>
    <s v="No"/>
    <s v="Yes"/>
    <x v="4"/>
    <n v="120231"/>
    <x v="498"/>
    <x v="9"/>
    <x v="440"/>
    <x v="1"/>
    <x v="0"/>
    <x v="0"/>
  </r>
  <r>
    <x v="500"/>
    <s v="Courtney White"/>
    <x v="6"/>
    <x v="1"/>
    <x v="2"/>
    <s v="Postgraduate"/>
    <x v="1"/>
    <n v="122302"/>
    <n v="716"/>
    <n v="7820"/>
    <x v="1"/>
    <n v="0.18030000000000002"/>
    <x v="3"/>
    <s v="Rented"/>
    <n v="14"/>
    <n v="1"/>
    <s v="No"/>
    <s v="No"/>
    <x v="2"/>
    <n v="106726"/>
    <x v="499"/>
    <x v="44"/>
    <x v="441"/>
    <x v="0"/>
    <x v="1"/>
    <x v="0"/>
  </r>
  <r>
    <x v="501"/>
    <s v="Cheryl Wilson"/>
    <x v="1"/>
    <x v="0"/>
    <x v="3"/>
    <s v="Postgraduate"/>
    <x v="0"/>
    <n v="67218"/>
    <n v="716"/>
    <n v="33175"/>
    <x v="3"/>
    <n v="0.16219999999999998"/>
    <x v="2"/>
    <s v="Rented"/>
    <n v="17"/>
    <n v="2"/>
    <s v="Yes"/>
    <s v="No"/>
    <x v="4"/>
    <n v="133876"/>
    <x v="500"/>
    <x v="0"/>
    <x v="442"/>
    <x v="0"/>
    <x v="0"/>
    <x v="0"/>
  </r>
  <r>
    <x v="502"/>
    <s v="Leslie York"/>
    <x v="25"/>
    <x v="1"/>
    <x v="0"/>
    <s v="PhD"/>
    <x v="1"/>
    <n v="95432"/>
    <n v="716"/>
    <n v="32171"/>
    <x v="3"/>
    <n v="0.10890000000000001"/>
    <x v="2"/>
    <s v="Rented"/>
    <n v="27"/>
    <n v="1"/>
    <s v="Yes"/>
    <s v="Yes"/>
    <x v="1"/>
    <n v="66287"/>
    <x v="501"/>
    <x v="19"/>
    <x v="127"/>
    <x v="0"/>
    <x v="1"/>
    <x v="0"/>
  </r>
  <r>
    <x v="503"/>
    <s v="Nicholas Fuller"/>
    <x v="28"/>
    <x v="1"/>
    <x v="3"/>
    <s v="Postgraduate"/>
    <x v="3"/>
    <n v="123399"/>
    <n v="716"/>
    <n v="39247"/>
    <x v="1"/>
    <n v="8.1799999999999998E-2"/>
    <x v="3"/>
    <s v="Owned"/>
    <n v="6"/>
    <n v="2"/>
    <s v="Yes"/>
    <s v="No"/>
    <x v="4"/>
    <n v="198888"/>
    <x v="502"/>
    <x v="15"/>
    <x v="443"/>
    <x v="0"/>
    <x v="0"/>
    <x v="0"/>
  </r>
  <r>
    <x v="504"/>
    <s v="Miguel Bell"/>
    <x v="16"/>
    <x v="1"/>
    <x v="2"/>
    <s v="Graduate"/>
    <x v="2"/>
    <n v="47499"/>
    <n v="716"/>
    <n v="38443"/>
    <x v="1"/>
    <n v="0.11550000000000001"/>
    <x v="1"/>
    <s v="Owned"/>
    <n v="1"/>
    <n v="3"/>
    <s v="No"/>
    <s v="No"/>
    <x v="2"/>
    <n v="115864"/>
    <x v="503"/>
    <x v="9"/>
    <x v="444"/>
    <x v="1"/>
    <x v="0"/>
    <x v="0"/>
  </r>
  <r>
    <x v="505"/>
    <s v="Mrs. Robin Buchanan"/>
    <x v="40"/>
    <x v="0"/>
    <x v="1"/>
    <s v="Graduate"/>
    <x v="0"/>
    <n v="149070"/>
    <n v="716"/>
    <n v="4098"/>
    <x v="0"/>
    <n v="0.15890000000000001"/>
    <x v="3"/>
    <s v="Rented"/>
    <n v="24"/>
    <n v="2"/>
    <s v="No"/>
    <s v="Yes"/>
    <x v="0"/>
    <n v="114047"/>
    <x v="504"/>
    <x v="10"/>
    <x v="204"/>
    <x v="0"/>
    <x v="0"/>
    <x v="0"/>
  </r>
  <r>
    <x v="506"/>
    <s v="Catherine Sanchez"/>
    <x v="8"/>
    <x v="1"/>
    <x v="2"/>
    <s v="High School"/>
    <x v="0"/>
    <n v="68521"/>
    <n v="716"/>
    <n v="48403"/>
    <x v="0"/>
    <n v="0.17480000000000001"/>
    <x v="5"/>
    <s v="Mortgaged"/>
    <n v="21"/>
    <n v="3"/>
    <s v="Yes"/>
    <s v="Yes"/>
    <x v="3"/>
    <n v="76968"/>
    <x v="505"/>
    <x v="74"/>
    <x v="179"/>
    <x v="1"/>
    <x v="0"/>
    <x v="0"/>
  </r>
  <r>
    <x v="507"/>
    <s v="Joseph Watkins"/>
    <x v="9"/>
    <x v="0"/>
    <x v="3"/>
    <s v="Graduate"/>
    <x v="2"/>
    <n v="94308"/>
    <n v="715"/>
    <n v="27519"/>
    <x v="2"/>
    <n v="0.17180000000000001"/>
    <x v="4"/>
    <s v="Mortgaged"/>
    <n v="27"/>
    <n v="1"/>
    <s v="No"/>
    <s v="Yes"/>
    <x v="2"/>
    <n v="75848"/>
    <x v="506"/>
    <x v="65"/>
    <x v="445"/>
    <x v="0"/>
    <x v="0"/>
    <x v="0"/>
  </r>
  <r>
    <x v="508"/>
    <s v="William Baker"/>
    <x v="2"/>
    <x v="1"/>
    <x v="0"/>
    <s v="Postgraduate"/>
    <x v="1"/>
    <n v="83745"/>
    <n v="715"/>
    <n v="4869"/>
    <x v="4"/>
    <n v="8.9900000000000008E-2"/>
    <x v="1"/>
    <s v="Mortgaged"/>
    <n v="4"/>
    <n v="2"/>
    <s v="No"/>
    <s v="Yes"/>
    <x v="1"/>
    <n v="167115"/>
    <x v="507"/>
    <x v="5"/>
    <x v="446"/>
    <x v="0"/>
    <x v="0"/>
    <x v="0"/>
  </r>
  <r>
    <x v="509"/>
    <s v="Carolyn Hardy"/>
    <x v="37"/>
    <x v="1"/>
    <x v="1"/>
    <s v="Postgraduate"/>
    <x v="3"/>
    <n v="95082"/>
    <n v="715"/>
    <n v="30454"/>
    <x v="2"/>
    <n v="9.5799999999999996E-2"/>
    <x v="4"/>
    <s v="Mortgaged"/>
    <n v="4"/>
    <n v="4"/>
    <s v="Yes"/>
    <s v="Yes"/>
    <x v="0"/>
    <n v="55084"/>
    <x v="508"/>
    <x v="24"/>
    <x v="390"/>
    <x v="0"/>
    <x v="0"/>
    <x v="0"/>
  </r>
  <r>
    <x v="510"/>
    <s v="Matthew Gonzalez"/>
    <x v="27"/>
    <x v="0"/>
    <x v="1"/>
    <s v="High School"/>
    <x v="1"/>
    <n v="132113"/>
    <n v="715"/>
    <n v="16419"/>
    <x v="0"/>
    <n v="8.0299999999999996E-2"/>
    <x v="0"/>
    <s v="Mortgaged"/>
    <n v="2"/>
    <n v="3"/>
    <s v="Yes"/>
    <s v="Yes"/>
    <x v="1"/>
    <n v="95324"/>
    <x v="509"/>
    <x v="89"/>
    <x v="447"/>
    <x v="0"/>
    <x v="0"/>
    <x v="0"/>
  </r>
  <r>
    <x v="511"/>
    <s v="Jonathan Pugh"/>
    <x v="3"/>
    <x v="1"/>
    <x v="3"/>
    <s v="Graduate"/>
    <x v="3"/>
    <n v="122802"/>
    <n v="715"/>
    <n v="7412"/>
    <x v="1"/>
    <n v="0.1231"/>
    <x v="1"/>
    <s v="Mortgaged"/>
    <n v="3"/>
    <n v="3"/>
    <s v="Yes"/>
    <s v="No"/>
    <x v="4"/>
    <n v="173794"/>
    <x v="510"/>
    <x v="72"/>
    <x v="448"/>
    <x v="0"/>
    <x v="0"/>
    <x v="0"/>
  </r>
  <r>
    <x v="512"/>
    <s v="Katie Glenn"/>
    <x v="0"/>
    <x v="1"/>
    <x v="0"/>
    <s v="Postgraduate"/>
    <x v="3"/>
    <n v="139547"/>
    <n v="715"/>
    <n v="8140"/>
    <x v="3"/>
    <n v="0.1358"/>
    <x v="3"/>
    <s v="Rented"/>
    <n v="2"/>
    <n v="2"/>
    <s v="No"/>
    <s v="Yes"/>
    <x v="3"/>
    <n v="91033"/>
    <x v="511"/>
    <x v="81"/>
    <x v="449"/>
    <x v="1"/>
    <x v="0"/>
    <x v="0"/>
  </r>
  <r>
    <x v="513"/>
    <s v="Lauren Kelley"/>
    <x v="38"/>
    <x v="0"/>
    <x v="3"/>
    <s v="Postgraduate"/>
    <x v="0"/>
    <n v="23190"/>
    <n v="715"/>
    <n v="36421"/>
    <x v="1"/>
    <n v="0.1802"/>
    <x v="2"/>
    <s v="Rented"/>
    <n v="11"/>
    <n v="3"/>
    <s v="No"/>
    <s v="No"/>
    <x v="2"/>
    <n v="54704"/>
    <x v="512"/>
    <x v="64"/>
    <x v="450"/>
    <x v="0"/>
    <x v="0"/>
    <x v="0"/>
  </r>
  <r>
    <x v="514"/>
    <s v="Lisa Christian"/>
    <x v="11"/>
    <x v="1"/>
    <x v="3"/>
    <s v="Postgraduate"/>
    <x v="2"/>
    <n v="114389"/>
    <n v="714"/>
    <n v="18502"/>
    <x v="2"/>
    <n v="0.11779999999999999"/>
    <x v="5"/>
    <s v="Mortgaged"/>
    <n v="9"/>
    <n v="3"/>
    <s v="Yes"/>
    <s v="Yes"/>
    <x v="3"/>
    <n v="158070"/>
    <x v="513"/>
    <x v="36"/>
    <x v="451"/>
    <x v="1"/>
    <x v="0"/>
    <x v="0"/>
  </r>
  <r>
    <x v="515"/>
    <s v="Sarah Reyes"/>
    <x v="18"/>
    <x v="0"/>
    <x v="1"/>
    <s v="High School"/>
    <x v="0"/>
    <n v="100986"/>
    <n v="714"/>
    <n v="32923"/>
    <x v="3"/>
    <n v="0.19409999999999999"/>
    <x v="5"/>
    <s v="Owned"/>
    <n v="29"/>
    <n v="1"/>
    <s v="No"/>
    <s v="No"/>
    <x v="1"/>
    <n v="161297"/>
    <x v="514"/>
    <x v="56"/>
    <x v="452"/>
    <x v="0"/>
    <x v="0"/>
    <x v="0"/>
  </r>
  <r>
    <x v="516"/>
    <s v="Jessica Keller"/>
    <x v="26"/>
    <x v="0"/>
    <x v="2"/>
    <s v="High School"/>
    <x v="1"/>
    <n v="145695"/>
    <n v="714"/>
    <n v="41724"/>
    <x v="1"/>
    <n v="0.1399"/>
    <x v="3"/>
    <s v="Owned"/>
    <n v="24"/>
    <n v="1"/>
    <s v="No"/>
    <s v="No"/>
    <x v="2"/>
    <n v="159827"/>
    <x v="515"/>
    <x v="11"/>
    <x v="270"/>
    <x v="0"/>
    <x v="0"/>
    <x v="0"/>
  </r>
  <r>
    <x v="517"/>
    <s v="David Yang"/>
    <x v="11"/>
    <x v="1"/>
    <x v="2"/>
    <s v="Graduate"/>
    <x v="3"/>
    <n v="127853"/>
    <n v="714"/>
    <n v="5098"/>
    <x v="3"/>
    <n v="0.1167"/>
    <x v="2"/>
    <s v="Rented"/>
    <n v="19"/>
    <n v="2"/>
    <s v="Yes"/>
    <s v="Yes"/>
    <x v="3"/>
    <n v="63976"/>
    <x v="516"/>
    <x v="12"/>
    <x v="453"/>
    <x v="0"/>
    <x v="0"/>
    <x v="0"/>
  </r>
  <r>
    <x v="518"/>
    <s v="Joseph Wells"/>
    <x v="40"/>
    <x v="1"/>
    <x v="3"/>
    <s v="PhD"/>
    <x v="2"/>
    <n v="29583"/>
    <n v="713"/>
    <n v="15497"/>
    <x v="2"/>
    <n v="0.11710000000000001"/>
    <x v="2"/>
    <s v="Mortgaged"/>
    <n v="26"/>
    <n v="2"/>
    <s v="No"/>
    <s v="Yes"/>
    <x v="1"/>
    <n v="137046"/>
    <x v="517"/>
    <x v="55"/>
    <x v="454"/>
    <x v="1"/>
    <x v="0"/>
    <x v="0"/>
  </r>
  <r>
    <x v="519"/>
    <s v="Steven Jackson"/>
    <x v="43"/>
    <x v="0"/>
    <x v="0"/>
    <s v="High School"/>
    <x v="2"/>
    <n v="42340"/>
    <n v="713"/>
    <n v="5646"/>
    <x v="1"/>
    <n v="8.3299999999999999E-2"/>
    <x v="5"/>
    <s v="Owned"/>
    <n v="24"/>
    <n v="3"/>
    <s v="Yes"/>
    <s v="Yes"/>
    <x v="1"/>
    <n v="91396"/>
    <x v="518"/>
    <x v="10"/>
    <x v="455"/>
    <x v="0"/>
    <x v="0"/>
    <x v="0"/>
  </r>
  <r>
    <x v="520"/>
    <s v="Jeremy Greene"/>
    <x v="2"/>
    <x v="1"/>
    <x v="3"/>
    <s v="PhD"/>
    <x v="3"/>
    <n v="66182"/>
    <n v="713"/>
    <n v="20726"/>
    <x v="2"/>
    <n v="5.2699999999999997E-2"/>
    <x v="5"/>
    <s v="Mortgaged"/>
    <n v="22"/>
    <n v="2"/>
    <s v="No"/>
    <s v="Yes"/>
    <x v="0"/>
    <n v="68919"/>
    <x v="519"/>
    <x v="82"/>
    <x v="456"/>
    <x v="1"/>
    <x v="1"/>
    <x v="0"/>
  </r>
  <r>
    <x v="521"/>
    <s v="Eugene Smith"/>
    <x v="42"/>
    <x v="0"/>
    <x v="3"/>
    <s v="Graduate"/>
    <x v="2"/>
    <n v="123712"/>
    <n v="712"/>
    <n v="16536"/>
    <x v="2"/>
    <n v="0.11019999999999999"/>
    <x v="0"/>
    <s v="Mortgaged"/>
    <n v="8"/>
    <n v="1"/>
    <s v="No"/>
    <s v="Yes"/>
    <x v="2"/>
    <n v="15930"/>
    <x v="520"/>
    <x v="86"/>
    <x v="457"/>
    <x v="0"/>
    <x v="0"/>
    <x v="0"/>
  </r>
  <r>
    <x v="522"/>
    <s v="Rebecca Carter"/>
    <x v="10"/>
    <x v="1"/>
    <x v="0"/>
    <s v="High School"/>
    <x v="1"/>
    <n v="55891"/>
    <n v="712"/>
    <n v="30203"/>
    <x v="3"/>
    <n v="0.1643"/>
    <x v="2"/>
    <s v="Owned"/>
    <n v="27"/>
    <n v="4"/>
    <s v="Yes"/>
    <s v="Yes"/>
    <x v="4"/>
    <n v="86861"/>
    <x v="521"/>
    <x v="73"/>
    <x v="458"/>
    <x v="0"/>
    <x v="0"/>
    <x v="0"/>
  </r>
  <r>
    <x v="523"/>
    <s v="Ryan Paul"/>
    <x v="29"/>
    <x v="0"/>
    <x v="1"/>
    <s v="Postgraduate"/>
    <x v="1"/>
    <n v="106335"/>
    <n v="712"/>
    <n v="14526"/>
    <x v="3"/>
    <n v="6.2800000000000009E-2"/>
    <x v="0"/>
    <s v="Rented"/>
    <n v="4"/>
    <n v="1"/>
    <s v="No"/>
    <s v="Yes"/>
    <x v="2"/>
    <n v="7160"/>
    <x v="522"/>
    <x v="78"/>
    <x v="279"/>
    <x v="0"/>
    <x v="0"/>
    <x v="0"/>
  </r>
  <r>
    <x v="524"/>
    <s v="Laura Hardy"/>
    <x v="17"/>
    <x v="0"/>
    <x v="1"/>
    <s v="Graduate"/>
    <x v="1"/>
    <n v="52214"/>
    <n v="712"/>
    <n v="17005"/>
    <x v="1"/>
    <n v="9.0200000000000002E-2"/>
    <x v="2"/>
    <s v="Rented"/>
    <n v="13"/>
    <n v="2"/>
    <s v="Yes"/>
    <s v="Yes"/>
    <x v="3"/>
    <n v="174897"/>
    <x v="523"/>
    <x v="16"/>
    <x v="189"/>
    <x v="0"/>
    <x v="0"/>
    <x v="0"/>
  </r>
  <r>
    <x v="525"/>
    <s v="Keith Johnson"/>
    <x v="21"/>
    <x v="0"/>
    <x v="0"/>
    <s v="Postgraduate"/>
    <x v="0"/>
    <n v="109494"/>
    <n v="712"/>
    <n v="18729"/>
    <x v="4"/>
    <n v="0.13730000000000001"/>
    <x v="3"/>
    <s v="Rented"/>
    <n v="5"/>
    <n v="2"/>
    <s v="Yes"/>
    <s v="Yes"/>
    <x v="1"/>
    <n v="141820"/>
    <x v="524"/>
    <x v="66"/>
    <x v="459"/>
    <x v="1"/>
    <x v="1"/>
    <x v="0"/>
  </r>
  <r>
    <x v="526"/>
    <s v="Elizabeth Griffith"/>
    <x v="38"/>
    <x v="0"/>
    <x v="0"/>
    <s v="High School"/>
    <x v="2"/>
    <n v="92377"/>
    <n v="711"/>
    <n v="7998"/>
    <x v="3"/>
    <n v="0.14510000000000001"/>
    <x v="0"/>
    <s v="Rented"/>
    <n v="8"/>
    <n v="3"/>
    <s v="Yes"/>
    <s v="No"/>
    <x v="1"/>
    <n v="121359"/>
    <x v="525"/>
    <x v="69"/>
    <x v="460"/>
    <x v="0"/>
    <x v="0"/>
    <x v="0"/>
  </r>
  <r>
    <x v="527"/>
    <s v="Kathleen Burton"/>
    <x v="32"/>
    <x v="0"/>
    <x v="3"/>
    <s v="PhD"/>
    <x v="1"/>
    <n v="109647"/>
    <n v="711"/>
    <n v="15849"/>
    <x v="1"/>
    <n v="0.14990000000000001"/>
    <x v="3"/>
    <s v="Owned"/>
    <n v="17"/>
    <n v="4"/>
    <s v="Yes"/>
    <s v="Yes"/>
    <x v="2"/>
    <n v="102987"/>
    <x v="526"/>
    <x v="1"/>
    <x v="461"/>
    <x v="0"/>
    <x v="0"/>
    <x v="0"/>
  </r>
  <r>
    <x v="528"/>
    <s v="Lisa Hunter"/>
    <x v="1"/>
    <x v="0"/>
    <x v="2"/>
    <s v="High School"/>
    <x v="0"/>
    <n v="37358"/>
    <n v="711"/>
    <n v="33250"/>
    <x v="4"/>
    <n v="5.1500000000000004E-2"/>
    <x v="2"/>
    <s v="Owned"/>
    <n v="10"/>
    <n v="4"/>
    <s v="Yes"/>
    <s v="Yes"/>
    <x v="2"/>
    <n v="6577"/>
    <x v="527"/>
    <x v="47"/>
    <x v="360"/>
    <x v="0"/>
    <x v="0"/>
    <x v="0"/>
  </r>
  <r>
    <x v="529"/>
    <s v="Ashley Shelton"/>
    <x v="6"/>
    <x v="1"/>
    <x v="2"/>
    <s v="PhD"/>
    <x v="3"/>
    <n v="143711"/>
    <n v="710"/>
    <n v="41412"/>
    <x v="4"/>
    <n v="0.1313"/>
    <x v="5"/>
    <s v="Owned"/>
    <n v="13"/>
    <n v="1"/>
    <s v="No"/>
    <s v="Yes"/>
    <x v="1"/>
    <n v="167983"/>
    <x v="528"/>
    <x v="8"/>
    <x v="152"/>
    <x v="1"/>
    <x v="0"/>
    <x v="0"/>
  </r>
  <r>
    <x v="530"/>
    <s v="Mary Howell"/>
    <x v="3"/>
    <x v="1"/>
    <x v="3"/>
    <s v="High School"/>
    <x v="3"/>
    <n v="135229"/>
    <n v="710"/>
    <n v="28452"/>
    <x v="1"/>
    <n v="0.17100000000000001"/>
    <x v="3"/>
    <s v="Mortgaged"/>
    <n v="13"/>
    <n v="4"/>
    <s v="Yes"/>
    <s v="No"/>
    <x v="4"/>
    <n v="14245"/>
    <x v="529"/>
    <x v="45"/>
    <x v="462"/>
    <x v="1"/>
    <x v="0"/>
    <x v="0"/>
  </r>
  <r>
    <x v="531"/>
    <s v="Gregory Johnson"/>
    <x v="11"/>
    <x v="1"/>
    <x v="0"/>
    <s v="Postgraduate"/>
    <x v="1"/>
    <n v="29215"/>
    <n v="710"/>
    <n v="28025"/>
    <x v="4"/>
    <n v="9.6699999999999994E-2"/>
    <x v="5"/>
    <s v="Mortgaged"/>
    <n v="16"/>
    <n v="3"/>
    <s v="No"/>
    <s v="Yes"/>
    <x v="1"/>
    <n v="42666"/>
    <x v="530"/>
    <x v="50"/>
    <x v="219"/>
    <x v="0"/>
    <x v="0"/>
    <x v="0"/>
  </r>
  <r>
    <x v="532"/>
    <s v="Jessica Harris"/>
    <x v="12"/>
    <x v="0"/>
    <x v="2"/>
    <s v="Graduate"/>
    <x v="2"/>
    <n v="86273"/>
    <n v="710"/>
    <n v="18942"/>
    <x v="1"/>
    <n v="0.15890000000000001"/>
    <x v="2"/>
    <s v="Mortgaged"/>
    <n v="14"/>
    <n v="4"/>
    <s v="No"/>
    <s v="No"/>
    <x v="0"/>
    <n v="45238"/>
    <x v="531"/>
    <x v="54"/>
    <x v="84"/>
    <x v="0"/>
    <x v="0"/>
    <x v="0"/>
  </r>
  <r>
    <x v="533"/>
    <s v="Dustin Hunt"/>
    <x v="33"/>
    <x v="0"/>
    <x v="1"/>
    <s v="Graduate"/>
    <x v="3"/>
    <n v="74646"/>
    <n v="710"/>
    <n v="37303"/>
    <x v="1"/>
    <n v="0.1043"/>
    <x v="3"/>
    <s v="Owned"/>
    <n v="13"/>
    <n v="0"/>
    <s v="Yes"/>
    <s v="No"/>
    <x v="4"/>
    <n v="117949"/>
    <x v="532"/>
    <x v="11"/>
    <x v="426"/>
    <x v="1"/>
    <x v="0"/>
    <x v="0"/>
  </r>
  <r>
    <x v="534"/>
    <s v="Latoya Smith"/>
    <x v="30"/>
    <x v="1"/>
    <x v="1"/>
    <s v="High School"/>
    <x v="0"/>
    <n v="38051"/>
    <n v="709"/>
    <n v="34642"/>
    <x v="1"/>
    <n v="0.1042"/>
    <x v="1"/>
    <s v="Mortgaged"/>
    <n v="25"/>
    <n v="4"/>
    <s v="Yes"/>
    <s v="Yes"/>
    <x v="0"/>
    <n v="131623"/>
    <x v="533"/>
    <x v="37"/>
    <x v="463"/>
    <x v="0"/>
    <x v="0"/>
    <x v="0"/>
  </r>
  <r>
    <x v="535"/>
    <s v="Anthony Taylor"/>
    <x v="13"/>
    <x v="1"/>
    <x v="0"/>
    <s v="High School"/>
    <x v="0"/>
    <n v="78466"/>
    <n v="709"/>
    <n v="24930"/>
    <x v="0"/>
    <n v="9.9600000000000008E-2"/>
    <x v="4"/>
    <s v="Owned"/>
    <n v="22"/>
    <n v="0"/>
    <s v="Yes"/>
    <s v="Yes"/>
    <x v="3"/>
    <n v="49864"/>
    <x v="534"/>
    <x v="29"/>
    <x v="464"/>
    <x v="1"/>
    <x v="0"/>
    <x v="0"/>
  </r>
  <r>
    <x v="536"/>
    <s v="Alexandra Rodriguez"/>
    <x v="22"/>
    <x v="1"/>
    <x v="2"/>
    <s v="PhD"/>
    <x v="3"/>
    <n v="67819"/>
    <n v="709"/>
    <n v="29190"/>
    <x v="4"/>
    <n v="0.1852"/>
    <x v="5"/>
    <s v="Rented"/>
    <n v="22"/>
    <n v="2"/>
    <s v="Yes"/>
    <s v="Yes"/>
    <x v="4"/>
    <n v="19673"/>
    <x v="535"/>
    <x v="42"/>
    <x v="465"/>
    <x v="0"/>
    <x v="0"/>
    <x v="0"/>
  </r>
  <r>
    <x v="537"/>
    <s v="Ashley Ewing"/>
    <x v="2"/>
    <x v="1"/>
    <x v="1"/>
    <s v="Graduate"/>
    <x v="2"/>
    <n v="48365"/>
    <n v="709"/>
    <n v="16977"/>
    <x v="0"/>
    <n v="0.19690000000000002"/>
    <x v="2"/>
    <s v="Rented"/>
    <n v="2"/>
    <n v="4"/>
    <s v="No"/>
    <s v="Yes"/>
    <x v="3"/>
    <n v="196317"/>
    <x v="536"/>
    <x v="22"/>
    <x v="410"/>
    <x v="0"/>
    <x v="0"/>
    <x v="0"/>
  </r>
  <r>
    <x v="538"/>
    <s v="David Fuller"/>
    <x v="17"/>
    <x v="1"/>
    <x v="0"/>
    <s v="PhD"/>
    <x v="3"/>
    <n v="106296"/>
    <n v="708"/>
    <n v="48334"/>
    <x v="0"/>
    <n v="8.4000000000000005E-2"/>
    <x v="3"/>
    <s v="Mortgaged"/>
    <n v="27"/>
    <n v="3"/>
    <s v="No"/>
    <s v="No"/>
    <x v="4"/>
    <n v="55958"/>
    <x v="537"/>
    <x v="64"/>
    <x v="466"/>
    <x v="0"/>
    <x v="0"/>
    <x v="0"/>
  </r>
  <r>
    <x v="539"/>
    <s v="Donald Anderson"/>
    <x v="1"/>
    <x v="1"/>
    <x v="0"/>
    <s v="PhD"/>
    <x v="3"/>
    <n v="146686"/>
    <n v="708"/>
    <n v="28956"/>
    <x v="1"/>
    <n v="0.129"/>
    <x v="1"/>
    <s v="Rented"/>
    <n v="17"/>
    <n v="4"/>
    <s v="No"/>
    <s v="Yes"/>
    <x v="2"/>
    <n v="189241"/>
    <x v="538"/>
    <x v="18"/>
    <x v="467"/>
    <x v="0"/>
    <x v="0"/>
    <x v="0"/>
  </r>
  <r>
    <x v="540"/>
    <s v="Andrew Buchanan"/>
    <x v="6"/>
    <x v="0"/>
    <x v="0"/>
    <s v="Postgraduate"/>
    <x v="2"/>
    <n v="54268"/>
    <n v="708"/>
    <n v="18131"/>
    <x v="1"/>
    <n v="5.7800000000000004E-2"/>
    <x v="2"/>
    <s v="Rented"/>
    <n v="27"/>
    <n v="2"/>
    <s v="Yes"/>
    <s v="Yes"/>
    <x v="2"/>
    <n v="138442"/>
    <x v="539"/>
    <x v="38"/>
    <x v="227"/>
    <x v="1"/>
    <x v="0"/>
    <x v="0"/>
  </r>
  <r>
    <x v="541"/>
    <s v="Sherri Johnson"/>
    <x v="3"/>
    <x v="0"/>
    <x v="3"/>
    <s v="Graduate"/>
    <x v="2"/>
    <n v="41359"/>
    <n v="707"/>
    <n v="39041"/>
    <x v="1"/>
    <n v="0.1023"/>
    <x v="0"/>
    <s v="Mortgaged"/>
    <n v="12"/>
    <n v="3"/>
    <s v="No"/>
    <s v="Yes"/>
    <x v="2"/>
    <n v="196532"/>
    <x v="540"/>
    <x v="79"/>
    <x v="468"/>
    <x v="0"/>
    <x v="0"/>
    <x v="0"/>
  </r>
  <r>
    <x v="542"/>
    <s v="Lindsey Barnett"/>
    <x v="4"/>
    <x v="1"/>
    <x v="2"/>
    <s v="PhD"/>
    <x v="3"/>
    <n v="46336"/>
    <n v="706"/>
    <n v="18881"/>
    <x v="4"/>
    <n v="0.1736"/>
    <x v="2"/>
    <s v="Owned"/>
    <n v="17"/>
    <n v="0"/>
    <s v="No"/>
    <s v="Yes"/>
    <x v="1"/>
    <n v="12022"/>
    <x v="541"/>
    <x v="47"/>
    <x v="469"/>
    <x v="1"/>
    <x v="0"/>
    <x v="0"/>
  </r>
  <r>
    <x v="543"/>
    <s v="Patrick Hunt"/>
    <x v="4"/>
    <x v="0"/>
    <x v="0"/>
    <s v="Graduate"/>
    <x v="1"/>
    <n v="53123"/>
    <n v="705"/>
    <n v="38132"/>
    <x v="1"/>
    <n v="0.107"/>
    <x v="3"/>
    <s v="Mortgaged"/>
    <n v="25"/>
    <n v="1"/>
    <s v="No"/>
    <s v="Yes"/>
    <x v="0"/>
    <n v="90230"/>
    <x v="542"/>
    <x v="9"/>
    <x v="470"/>
    <x v="1"/>
    <x v="0"/>
    <x v="0"/>
  </r>
  <r>
    <x v="544"/>
    <s v="Michael Waters"/>
    <x v="26"/>
    <x v="1"/>
    <x v="2"/>
    <s v="Postgraduate"/>
    <x v="1"/>
    <n v="56713"/>
    <n v="704"/>
    <n v="23553"/>
    <x v="0"/>
    <n v="0.11689999999999999"/>
    <x v="2"/>
    <s v="Rented"/>
    <n v="27"/>
    <n v="1"/>
    <s v="Yes"/>
    <s v="Yes"/>
    <x v="0"/>
    <n v="186708"/>
    <x v="543"/>
    <x v="8"/>
    <x v="471"/>
    <x v="0"/>
    <x v="0"/>
    <x v="0"/>
  </r>
  <r>
    <x v="545"/>
    <s v="Yesenia Lang"/>
    <x v="26"/>
    <x v="1"/>
    <x v="0"/>
    <s v="High School"/>
    <x v="2"/>
    <n v="62012"/>
    <n v="704"/>
    <n v="30714"/>
    <x v="2"/>
    <n v="7.3700000000000002E-2"/>
    <x v="3"/>
    <s v="Owned"/>
    <n v="23"/>
    <n v="4"/>
    <s v="No"/>
    <s v="No"/>
    <x v="1"/>
    <n v="59951"/>
    <x v="544"/>
    <x v="85"/>
    <x v="472"/>
    <x v="1"/>
    <x v="0"/>
    <x v="0"/>
  </r>
  <r>
    <x v="546"/>
    <s v="Jason Diaz"/>
    <x v="31"/>
    <x v="1"/>
    <x v="2"/>
    <s v="Postgraduate"/>
    <x v="2"/>
    <n v="68291"/>
    <n v="703"/>
    <n v="11564"/>
    <x v="4"/>
    <n v="0.1391"/>
    <x v="4"/>
    <s v="Mortgaged"/>
    <n v="17"/>
    <n v="4"/>
    <s v="Yes"/>
    <s v="Yes"/>
    <x v="4"/>
    <n v="167230"/>
    <x v="545"/>
    <x v="27"/>
    <x v="473"/>
    <x v="0"/>
    <x v="0"/>
    <x v="0"/>
  </r>
  <r>
    <x v="547"/>
    <s v="Isaac Jackson"/>
    <x v="25"/>
    <x v="1"/>
    <x v="2"/>
    <s v="PhD"/>
    <x v="2"/>
    <n v="128777"/>
    <n v="702"/>
    <n v="26653"/>
    <x v="2"/>
    <n v="0.1865"/>
    <x v="2"/>
    <s v="Owned"/>
    <n v="15"/>
    <n v="1"/>
    <s v="No"/>
    <s v="No"/>
    <x v="1"/>
    <n v="42369"/>
    <x v="546"/>
    <x v="29"/>
    <x v="474"/>
    <x v="1"/>
    <x v="0"/>
    <x v="0"/>
  </r>
  <r>
    <x v="548"/>
    <s v="Alicia Vargas"/>
    <x v="27"/>
    <x v="0"/>
    <x v="3"/>
    <s v="Postgraduate"/>
    <x v="2"/>
    <n v="99553"/>
    <n v="702"/>
    <n v="34071"/>
    <x v="0"/>
    <n v="8.7599999999999997E-2"/>
    <x v="3"/>
    <s v="Mortgaged"/>
    <n v="18"/>
    <n v="2"/>
    <s v="Yes"/>
    <s v="No"/>
    <x v="0"/>
    <n v="131807"/>
    <x v="547"/>
    <x v="10"/>
    <x v="163"/>
    <x v="0"/>
    <x v="0"/>
    <x v="0"/>
  </r>
  <r>
    <x v="549"/>
    <s v="Cassandra Hamilton"/>
    <x v="30"/>
    <x v="0"/>
    <x v="1"/>
    <s v="Postgraduate"/>
    <x v="0"/>
    <n v="52980"/>
    <n v="702"/>
    <n v="46215"/>
    <x v="2"/>
    <n v="0.18770000000000001"/>
    <x v="2"/>
    <s v="Mortgaged"/>
    <n v="10"/>
    <n v="2"/>
    <s v="Yes"/>
    <s v="No"/>
    <x v="0"/>
    <n v="175302"/>
    <x v="548"/>
    <x v="33"/>
    <x v="475"/>
    <x v="0"/>
    <x v="0"/>
    <x v="0"/>
  </r>
  <r>
    <x v="550"/>
    <s v="Ronald Moody"/>
    <x v="40"/>
    <x v="1"/>
    <x v="1"/>
    <s v="Postgraduate"/>
    <x v="3"/>
    <n v="85557"/>
    <n v="702"/>
    <n v="23106"/>
    <x v="1"/>
    <n v="0.1966"/>
    <x v="2"/>
    <s v="Mortgaged"/>
    <n v="4"/>
    <n v="2"/>
    <s v="Yes"/>
    <s v="Yes"/>
    <x v="0"/>
    <n v="172450"/>
    <x v="549"/>
    <x v="11"/>
    <x v="476"/>
    <x v="1"/>
    <x v="1"/>
    <x v="0"/>
  </r>
  <r>
    <x v="551"/>
    <s v="Travis James MD"/>
    <x v="3"/>
    <x v="0"/>
    <x v="3"/>
    <s v="Postgraduate"/>
    <x v="2"/>
    <n v="103276"/>
    <n v="702"/>
    <n v="33535"/>
    <x v="4"/>
    <n v="0.12050000000000001"/>
    <x v="5"/>
    <s v="Mortgaged"/>
    <n v="18"/>
    <n v="0"/>
    <s v="Yes"/>
    <s v="No"/>
    <x v="2"/>
    <n v="33405"/>
    <x v="550"/>
    <x v="22"/>
    <x v="477"/>
    <x v="1"/>
    <x v="1"/>
    <x v="0"/>
  </r>
  <r>
    <x v="552"/>
    <s v="Kelly Sanchez"/>
    <x v="37"/>
    <x v="0"/>
    <x v="1"/>
    <s v="Graduate"/>
    <x v="0"/>
    <n v="112906"/>
    <n v="701"/>
    <n v="47045"/>
    <x v="4"/>
    <n v="0.18280000000000002"/>
    <x v="1"/>
    <s v="Rented"/>
    <n v="5"/>
    <n v="0"/>
    <s v="No"/>
    <s v="No"/>
    <x v="4"/>
    <n v="192830"/>
    <x v="551"/>
    <x v="47"/>
    <x v="478"/>
    <x v="1"/>
    <x v="0"/>
    <x v="0"/>
  </r>
  <r>
    <x v="553"/>
    <s v="Isaiah Kennedy"/>
    <x v="25"/>
    <x v="1"/>
    <x v="3"/>
    <s v="PhD"/>
    <x v="0"/>
    <n v="94233"/>
    <n v="701"/>
    <n v="34333"/>
    <x v="4"/>
    <n v="8.9200000000000002E-2"/>
    <x v="0"/>
    <s v="Rented"/>
    <n v="9"/>
    <n v="1"/>
    <s v="Yes"/>
    <s v="No"/>
    <x v="3"/>
    <n v="144446"/>
    <x v="552"/>
    <x v="90"/>
    <x v="479"/>
    <x v="1"/>
    <x v="1"/>
    <x v="0"/>
  </r>
  <r>
    <x v="554"/>
    <s v="Allison White"/>
    <x v="35"/>
    <x v="0"/>
    <x v="3"/>
    <s v="Graduate"/>
    <x v="1"/>
    <n v="122499"/>
    <n v="701"/>
    <n v="2245"/>
    <x v="4"/>
    <n v="9.9399999999999988E-2"/>
    <x v="2"/>
    <s v="Rented"/>
    <n v="22"/>
    <n v="3"/>
    <s v="Yes"/>
    <s v="Yes"/>
    <x v="0"/>
    <n v="137482"/>
    <x v="553"/>
    <x v="34"/>
    <x v="480"/>
    <x v="0"/>
    <x v="0"/>
    <x v="0"/>
  </r>
  <r>
    <x v="555"/>
    <s v="Ronald Wright"/>
    <x v="10"/>
    <x v="0"/>
    <x v="3"/>
    <s v="Postgraduate"/>
    <x v="2"/>
    <n v="123579"/>
    <n v="701"/>
    <n v="33911"/>
    <x v="2"/>
    <n v="7.980000000000001E-2"/>
    <x v="5"/>
    <s v="Mortgaged"/>
    <n v="16"/>
    <n v="2"/>
    <s v="Yes"/>
    <s v="Yes"/>
    <x v="4"/>
    <n v="142178"/>
    <x v="554"/>
    <x v="24"/>
    <x v="481"/>
    <x v="0"/>
    <x v="0"/>
    <x v="0"/>
  </r>
  <r>
    <x v="556"/>
    <s v="Anthony Finley"/>
    <x v="17"/>
    <x v="1"/>
    <x v="1"/>
    <s v="PhD"/>
    <x v="3"/>
    <n v="60828"/>
    <n v="700"/>
    <n v="6914"/>
    <x v="2"/>
    <n v="9.01E-2"/>
    <x v="4"/>
    <s v="Rented"/>
    <n v="4"/>
    <n v="2"/>
    <s v="No"/>
    <s v="No"/>
    <x v="1"/>
    <n v="50217"/>
    <x v="555"/>
    <x v="86"/>
    <x v="282"/>
    <x v="1"/>
    <x v="0"/>
    <x v="0"/>
  </r>
  <r>
    <x v="557"/>
    <s v="Kimberly Hodges"/>
    <x v="17"/>
    <x v="0"/>
    <x v="1"/>
    <s v="Graduate"/>
    <x v="2"/>
    <n v="46639"/>
    <n v="700"/>
    <n v="17498"/>
    <x v="3"/>
    <n v="7.0499999999999993E-2"/>
    <x v="0"/>
    <s v="Mortgaged"/>
    <n v="1"/>
    <n v="0"/>
    <s v="No"/>
    <s v="Yes"/>
    <x v="4"/>
    <n v="32905"/>
    <x v="556"/>
    <x v="53"/>
    <x v="482"/>
    <x v="0"/>
    <x v="1"/>
    <x v="0"/>
  </r>
  <r>
    <x v="558"/>
    <s v="Joseph Mendez"/>
    <x v="37"/>
    <x v="0"/>
    <x v="0"/>
    <s v="PhD"/>
    <x v="1"/>
    <n v="38705"/>
    <n v="700"/>
    <n v="10751"/>
    <x v="0"/>
    <n v="0.16159999999999999"/>
    <x v="1"/>
    <s v="Rented"/>
    <n v="19"/>
    <n v="1"/>
    <s v="Yes"/>
    <s v="No"/>
    <x v="3"/>
    <n v="38095"/>
    <x v="557"/>
    <x v="84"/>
    <x v="483"/>
    <x v="0"/>
    <x v="0"/>
    <x v="0"/>
  </r>
  <r>
    <x v="559"/>
    <s v="Tonya Young"/>
    <x v="36"/>
    <x v="1"/>
    <x v="3"/>
    <s v="Graduate"/>
    <x v="1"/>
    <n v="43932"/>
    <n v="700"/>
    <n v="10814"/>
    <x v="4"/>
    <n v="0.12509999999999999"/>
    <x v="3"/>
    <s v="Owned"/>
    <n v="3"/>
    <n v="4"/>
    <s v="No"/>
    <s v="No"/>
    <x v="3"/>
    <n v="114200"/>
    <x v="558"/>
    <x v="3"/>
    <x v="484"/>
    <x v="1"/>
    <x v="0"/>
    <x v="0"/>
  </r>
  <r>
    <x v="560"/>
    <s v="Julia Reyes"/>
    <x v="20"/>
    <x v="1"/>
    <x v="3"/>
    <s v="Graduate"/>
    <x v="1"/>
    <n v="44845"/>
    <n v="699"/>
    <n v="17788"/>
    <x v="2"/>
    <n v="0.12770000000000001"/>
    <x v="4"/>
    <s v="Owned"/>
    <n v="2"/>
    <n v="4"/>
    <s v="Yes"/>
    <s v="Yes"/>
    <x v="1"/>
    <n v="95948"/>
    <x v="559"/>
    <x v="56"/>
    <x v="299"/>
    <x v="0"/>
    <x v="0"/>
    <x v="0"/>
  </r>
  <r>
    <x v="561"/>
    <s v="Bruce Graham"/>
    <x v="12"/>
    <x v="0"/>
    <x v="1"/>
    <s v="High School"/>
    <x v="3"/>
    <n v="120453"/>
    <n v="699"/>
    <n v="22101"/>
    <x v="2"/>
    <n v="0.1118"/>
    <x v="0"/>
    <s v="Rented"/>
    <n v="13"/>
    <n v="0"/>
    <s v="No"/>
    <s v="Yes"/>
    <x v="2"/>
    <n v="149417"/>
    <x v="560"/>
    <x v="10"/>
    <x v="485"/>
    <x v="0"/>
    <x v="0"/>
    <x v="0"/>
  </r>
  <r>
    <x v="562"/>
    <s v="Jeffrey Sloan"/>
    <x v="11"/>
    <x v="1"/>
    <x v="0"/>
    <s v="Graduate"/>
    <x v="2"/>
    <n v="117469"/>
    <n v="699"/>
    <n v="34405"/>
    <x v="1"/>
    <n v="0.1009"/>
    <x v="5"/>
    <s v="Owned"/>
    <n v="28"/>
    <n v="0"/>
    <s v="No"/>
    <s v="No"/>
    <x v="0"/>
    <n v="102733"/>
    <x v="561"/>
    <x v="87"/>
    <x v="486"/>
    <x v="0"/>
    <x v="0"/>
    <x v="0"/>
  </r>
  <r>
    <x v="563"/>
    <s v="Lynn Munoz"/>
    <x v="23"/>
    <x v="1"/>
    <x v="3"/>
    <s v="High School"/>
    <x v="3"/>
    <n v="93994"/>
    <n v="699"/>
    <n v="18131"/>
    <x v="2"/>
    <n v="0.13320000000000001"/>
    <x v="0"/>
    <s v="Rented"/>
    <n v="12"/>
    <n v="3"/>
    <s v="Yes"/>
    <s v="No"/>
    <x v="4"/>
    <n v="113214"/>
    <x v="562"/>
    <x v="4"/>
    <x v="487"/>
    <x v="1"/>
    <x v="0"/>
    <x v="0"/>
  </r>
  <r>
    <x v="564"/>
    <s v="Charles Chen"/>
    <x v="10"/>
    <x v="1"/>
    <x v="0"/>
    <s v="High School"/>
    <x v="1"/>
    <n v="122511"/>
    <n v="698"/>
    <n v="8035"/>
    <x v="3"/>
    <n v="0.19510000000000002"/>
    <x v="3"/>
    <s v="Owned"/>
    <n v="4"/>
    <n v="3"/>
    <s v="No"/>
    <s v="No"/>
    <x v="4"/>
    <n v="19628"/>
    <x v="563"/>
    <x v="74"/>
    <x v="488"/>
    <x v="0"/>
    <x v="0"/>
    <x v="0"/>
  </r>
  <r>
    <x v="565"/>
    <s v="Benjamin Barnett"/>
    <x v="32"/>
    <x v="0"/>
    <x v="1"/>
    <s v="High School"/>
    <x v="3"/>
    <n v="122795"/>
    <n v="698"/>
    <n v="5841"/>
    <x v="0"/>
    <n v="9.0800000000000006E-2"/>
    <x v="5"/>
    <s v="Mortgaged"/>
    <n v="8"/>
    <n v="1"/>
    <s v="No"/>
    <s v="Yes"/>
    <x v="4"/>
    <n v="25592"/>
    <x v="564"/>
    <x v="68"/>
    <x v="489"/>
    <x v="0"/>
    <x v="0"/>
    <x v="0"/>
  </r>
  <r>
    <x v="566"/>
    <s v="Annette Griffin"/>
    <x v="43"/>
    <x v="1"/>
    <x v="1"/>
    <s v="High School"/>
    <x v="3"/>
    <n v="100771"/>
    <n v="697"/>
    <n v="8965"/>
    <x v="2"/>
    <n v="0.1784"/>
    <x v="2"/>
    <s v="Owned"/>
    <n v="14"/>
    <n v="3"/>
    <s v="Yes"/>
    <s v="Yes"/>
    <x v="2"/>
    <n v="74838"/>
    <x v="565"/>
    <x v="86"/>
    <x v="490"/>
    <x v="1"/>
    <x v="1"/>
    <x v="0"/>
  </r>
  <r>
    <x v="567"/>
    <s v="Marie Martin"/>
    <x v="39"/>
    <x v="0"/>
    <x v="3"/>
    <s v="Graduate"/>
    <x v="2"/>
    <n v="79010"/>
    <n v="697"/>
    <n v="17101"/>
    <x v="3"/>
    <n v="6.8900000000000003E-2"/>
    <x v="2"/>
    <s v="Mortgaged"/>
    <n v="3"/>
    <n v="4"/>
    <s v="Yes"/>
    <s v="No"/>
    <x v="2"/>
    <n v="175874"/>
    <x v="566"/>
    <x v="74"/>
    <x v="491"/>
    <x v="0"/>
    <x v="0"/>
    <x v="0"/>
  </r>
  <r>
    <x v="568"/>
    <s v="Jeff Ford"/>
    <x v="17"/>
    <x v="0"/>
    <x v="2"/>
    <s v="High School"/>
    <x v="1"/>
    <n v="63052"/>
    <n v="697"/>
    <n v="18156"/>
    <x v="2"/>
    <n v="7.7499999999999999E-2"/>
    <x v="5"/>
    <s v="Mortgaged"/>
    <n v="20"/>
    <n v="4"/>
    <s v="No"/>
    <s v="No"/>
    <x v="1"/>
    <n v="162227"/>
    <x v="567"/>
    <x v="41"/>
    <x v="492"/>
    <x v="1"/>
    <x v="0"/>
    <x v="0"/>
  </r>
  <r>
    <x v="569"/>
    <s v="Jennifer Johnson"/>
    <x v="30"/>
    <x v="0"/>
    <x v="2"/>
    <s v="PhD"/>
    <x v="3"/>
    <n v="82435"/>
    <n v="697"/>
    <n v="21138"/>
    <x v="2"/>
    <n v="6.54E-2"/>
    <x v="4"/>
    <s v="Mortgaged"/>
    <n v="10"/>
    <n v="2"/>
    <s v="Yes"/>
    <s v="Yes"/>
    <x v="4"/>
    <n v="168292"/>
    <x v="568"/>
    <x v="34"/>
    <x v="493"/>
    <x v="1"/>
    <x v="0"/>
    <x v="0"/>
  </r>
  <r>
    <x v="570"/>
    <s v="Lauren Sexton"/>
    <x v="10"/>
    <x v="1"/>
    <x v="3"/>
    <s v="Graduate"/>
    <x v="2"/>
    <n v="35605"/>
    <n v="696"/>
    <n v="8145"/>
    <x v="2"/>
    <n v="0.12380000000000001"/>
    <x v="0"/>
    <s v="Owned"/>
    <n v="18"/>
    <n v="2"/>
    <s v="No"/>
    <s v="No"/>
    <x v="4"/>
    <n v="199979"/>
    <x v="569"/>
    <x v="16"/>
    <x v="494"/>
    <x v="0"/>
    <x v="0"/>
    <x v="0"/>
  </r>
  <r>
    <x v="571"/>
    <s v="Shannon Whitehead"/>
    <x v="28"/>
    <x v="1"/>
    <x v="3"/>
    <s v="Postgraduate"/>
    <x v="2"/>
    <n v="109031"/>
    <n v="696"/>
    <n v="29287"/>
    <x v="1"/>
    <n v="0.17180000000000001"/>
    <x v="0"/>
    <s v="Mortgaged"/>
    <n v="16"/>
    <n v="2"/>
    <s v="No"/>
    <s v="No"/>
    <x v="1"/>
    <n v="131603"/>
    <x v="570"/>
    <x v="31"/>
    <x v="495"/>
    <x v="0"/>
    <x v="0"/>
    <x v="0"/>
  </r>
  <r>
    <x v="572"/>
    <s v="Samuel Ramos"/>
    <x v="0"/>
    <x v="1"/>
    <x v="3"/>
    <s v="PhD"/>
    <x v="2"/>
    <n v="23407"/>
    <n v="695"/>
    <n v="48650"/>
    <x v="2"/>
    <n v="0.17679999999999998"/>
    <x v="3"/>
    <s v="Mortgaged"/>
    <n v="18"/>
    <n v="1"/>
    <s v="No"/>
    <s v="Yes"/>
    <x v="3"/>
    <n v="65121"/>
    <x v="571"/>
    <x v="4"/>
    <x v="496"/>
    <x v="0"/>
    <x v="0"/>
    <x v="0"/>
  </r>
  <r>
    <x v="573"/>
    <s v="Andrew Wilson"/>
    <x v="16"/>
    <x v="0"/>
    <x v="3"/>
    <s v="Postgraduate"/>
    <x v="0"/>
    <n v="149626"/>
    <n v="695"/>
    <n v="4598"/>
    <x v="1"/>
    <n v="0.1016"/>
    <x v="2"/>
    <s v="Rented"/>
    <n v="26"/>
    <n v="3"/>
    <s v="No"/>
    <s v="No"/>
    <x v="2"/>
    <n v="128500"/>
    <x v="572"/>
    <x v="79"/>
    <x v="497"/>
    <x v="0"/>
    <x v="0"/>
    <x v="0"/>
  </r>
  <r>
    <x v="574"/>
    <s v="Tracey Allen"/>
    <x v="42"/>
    <x v="1"/>
    <x v="3"/>
    <s v="PhD"/>
    <x v="0"/>
    <n v="54831"/>
    <n v="695"/>
    <n v="43832"/>
    <x v="2"/>
    <n v="0.1996"/>
    <x v="0"/>
    <s v="Rented"/>
    <n v="3"/>
    <n v="1"/>
    <s v="Yes"/>
    <s v="Yes"/>
    <x v="4"/>
    <n v="106094"/>
    <x v="573"/>
    <x v="31"/>
    <x v="498"/>
    <x v="0"/>
    <x v="0"/>
    <x v="0"/>
  </r>
  <r>
    <x v="575"/>
    <s v="David Bailey"/>
    <x v="41"/>
    <x v="0"/>
    <x v="3"/>
    <s v="Graduate"/>
    <x v="3"/>
    <n v="62616"/>
    <n v="695"/>
    <n v="39515"/>
    <x v="4"/>
    <n v="6.8099999999999994E-2"/>
    <x v="5"/>
    <s v="Rented"/>
    <n v="22"/>
    <n v="4"/>
    <s v="Yes"/>
    <s v="Yes"/>
    <x v="2"/>
    <n v="22943"/>
    <x v="574"/>
    <x v="8"/>
    <x v="499"/>
    <x v="0"/>
    <x v="0"/>
    <x v="0"/>
  </r>
  <r>
    <x v="576"/>
    <s v="Mr. Miguel Carter"/>
    <x v="40"/>
    <x v="0"/>
    <x v="2"/>
    <s v="High School"/>
    <x v="2"/>
    <n v="29505"/>
    <n v="695"/>
    <n v="10759"/>
    <x v="3"/>
    <n v="0.11169999999999999"/>
    <x v="1"/>
    <s v="Mortgaged"/>
    <n v="13"/>
    <n v="1"/>
    <s v="No"/>
    <s v="No"/>
    <x v="2"/>
    <n v="112898"/>
    <x v="575"/>
    <x v="44"/>
    <x v="500"/>
    <x v="1"/>
    <x v="0"/>
    <x v="0"/>
  </r>
  <r>
    <x v="577"/>
    <s v="John Bell"/>
    <x v="12"/>
    <x v="0"/>
    <x v="0"/>
    <s v="Graduate"/>
    <x v="0"/>
    <n v="21893"/>
    <n v="694"/>
    <n v="32921"/>
    <x v="4"/>
    <n v="0.12869999999999998"/>
    <x v="3"/>
    <s v="Rented"/>
    <n v="6"/>
    <n v="2"/>
    <s v="Yes"/>
    <s v="No"/>
    <x v="2"/>
    <n v="35495"/>
    <x v="576"/>
    <x v="48"/>
    <x v="501"/>
    <x v="0"/>
    <x v="0"/>
    <x v="0"/>
  </r>
  <r>
    <x v="578"/>
    <s v="Angela Rodriguez"/>
    <x v="27"/>
    <x v="1"/>
    <x v="2"/>
    <s v="Graduate"/>
    <x v="3"/>
    <n v="81313"/>
    <n v="694"/>
    <n v="4093"/>
    <x v="0"/>
    <n v="5.7999999999999996E-2"/>
    <x v="2"/>
    <s v="Rented"/>
    <n v="22"/>
    <n v="2"/>
    <s v="Yes"/>
    <s v="Yes"/>
    <x v="2"/>
    <n v="80214"/>
    <x v="577"/>
    <x v="64"/>
    <x v="445"/>
    <x v="0"/>
    <x v="0"/>
    <x v="0"/>
  </r>
  <r>
    <x v="579"/>
    <s v="Brian Cooper"/>
    <x v="21"/>
    <x v="1"/>
    <x v="2"/>
    <s v="Postgraduate"/>
    <x v="1"/>
    <n v="74712"/>
    <n v="694"/>
    <n v="26188"/>
    <x v="3"/>
    <n v="7.3099999999999998E-2"/>
    <x v="0"/>
    <s v="Rented"/>
    <n v="11"/>
    <n v="2"/>
    <s v="No"/>
    <s v="No"/>
    <x v="2"/>
    <n v="166537"/>
    <x v="578"/>
    <x v="52"/>
    <x v="502"/>
    <x v="0"/>
    <x v="1"/>
    <x v="0"/>
  </r>
  <r>
    <x v="580"/>
    <s v="Joe Valdez"/>
    <x v="21"/>
    <x v="0"/>
    <x v="1"/>
    <s v="Graduate"/>
    <x v="3"/>
    <n v="132313"/>
    <n v="693"/>
    <n v="27309"/>
    <x v="2"/>
    <n v="8.7799999999999989E-2"/>
    <x v="0"/>
    <s v="Rented"/>
    <n v="24"/>
    <n v="4"/>
    <s v="Yes"/>
    <s v="No"/>
    <x v="1"/>
    <n v="85731"/>
    <x v="579"/>
    <x v="74"/>
    <x v="229"/>
    <x v="1"/>
    <x v="0"/>
    <x v="0"/>
  </r>
  <r>
    <x v="581"/>
    <s v="Clifford Avila"/>
    <x v="25"/>
    <x v="0"/>
    <x v="1"/>
    <s v="Postgraduate"/>
    <x v="2"/>
    <n v="101653"/>
    <n v="693"/>
    <n v="3016"/>
    <x v="2"/>
    <n v="5.7500000000000002E-2"/>
    <x v="0"/>
    <s v="Rented"/>
    <n v="25"/>
    <n v="1"/>
    <s v="No"/>
    <s v="Yes"/>
    <x v="4"/>
    <n v="44956"/>
    <x v="580"/>
    <x v="65"/>
    <x v="503"/>
    <x v="1"/>
    <x v="0"/>
    <x v="0"/>
  </r>
  <r>
    <x v="582"/>
    <s v="Allison Whitehead"/>
    <x v="0"/>
    <x v="1"/>
    <x v="3"/>
    <s v="PhD"/>
    <x v="2"/>
    <n v="136082"/>
    <n v="693"/>
    <n v="20830"/>
    <x v="0"/>
    <n v="0.14910000000000001"/>
    <x v="4"/>
    <s v="Owned"/>
    <n v="7"/>
    <n v="1"/>
    <s v="Yes"/>
    <s v="Yes"/>
    <x v="3"/>
    <n v="141724"/>
    <x v="581"/>
    <x v="73"/>
    <x v="504"/>
    <x v="1"/>
    <x v="0"/>
    <x v="0"/>
  </r>
  <r>
    <x v="583"/>
    <s v="Anna Olson"/>
    <x v="11"/>
    <x v="1"/>
    <x v="1"/>
    <s v="High School"/>
    <x v="0"/>
    <n v="112244"/>
    <n v="692"/>
    <n v="14454"/>
    <x v="3"/>
    <n v="0.19070000000000001"/>
    <x v="1"/>
    <s v="Rented"/>
    <n v="11"/>
    <n v="3"/>
    <s v="No"/>
    <s v="No"/>
    <x v="3"/>
    <n v="65881"/>
    <x v="582"/>
    <x v="78"/>
    <x v="505"/>
    <x v="0"/>
    <x v="1"/>
    <x v="0"/>
  </r>
  <r>
    <x v="584"/>
    <s v="Michelle Cooper"/>
    <x v="6"/>
    <x v="1"/>
    <x v="1"/>
    <s v="Postgraduate"/>
    <x v="0"/>
    <n v="44570"/>
    <n v="692"/>
    <n v="48723"/>
    <x v="1"/>
    <n v="0.12509999999999999"/>
    <x v="3"/>
    <s v="Rented"/>
    <n v="13"/>
    <n v="1"/>
    <s v="Yes"/>
    <s v="No"/>
    <x v="3"/>
    <n v="141483"/>
    <x v="583"/>
    <x v="36"/>
    <x v="461"/>
    <x v="0"/>
    <x v="1"/>
    <x v="0"/>
  </r>
  <r>
    <x v="585"/>
    <s v="John Graves"/>
    <x v="20"/>
    <x v="1"/>
    <x v="1"/>
    <s v="Graduate"/>
    <x v="0"/>
    <n v="88681"/>
    <n v="692"/>
    <n v="22183"/>
    <x v="4"/>
    <n v="7.5999999999999998E-2"/>
    <x v="1"/>
    <s v="Owned"/>
    <n v="6"/>
    <n v="4"/>
    <s v="Yes"/>
    <s v="No"/>
    <x v="2"/>
    <n v="59133"/>
    <x v="584"/>
    <x v="52"/>
    <x v="506"/>
    <x v="1"/>
    <x v="0"/>
    <x v="0"/>
  </r>
  <r>
    <x v="586"/>
    <s v="James Morgan"/>
    <x v="32"/>
    <x v="1"/>
    <x v="1"/>
    <s v="Graduate"/>
    <x v="0"/>
    <n v="114337"/>
    <n v="692"/>
    <n v="15456"/>
    <x v="0"/>
    <n v="0.11070000000000001"/>
    <x v="5"/>
    <s v="Owned"/>
    <n v="15"/>
    <n v="1"/>
    <s v="Yes"/>
    <s v="No"/>
    <x v="0"/>
    <n v="177429"/>
    <x v="585"/>
    <x v="53"/>
    <x v="507"/>
    <x v="1"/>
    <x v="1"/>
    <x v="0"/>
  </r>
  <r>
    <x v="587"/>
    <s v="Thomas Wood"/>
    <x v="39"/>
    <x v="0"/>
    <x v="0"/>
    <s v="PhD"/>
    <x v="0"/>
    <n v="48400"/>
    <n v="692"/>
    <n v="48842"/>
    <x v="3"/>
    <n v="0.12560000000000002"/>
    <x v="1"/>
    <s v="Owned"/>
    <n v="22"/>
    <n v="1"/>
    <s v="Yes"/>
    <s v="No"/>
    <x v="1"/>
    <n v="190779"/>
    <x v="586"/>
    <x v="19"/>
    <x v="35"/>
    <x v="0"/>
    <x v="0"/>
    <x v="0"/>
  </r>
  <r>
    <x v="588"/>
    <s v="Robert Hughes"/>
    <x v="43"/>
    <x v="1"/>
    <x v="3"/>
    <s v="PhD"/>
    <x v="3"/>
    <n v="90198"/>
    <n v="692"/>
    <n v="17350"/>
    <x v="0"/>
    <n v="0.1017"/>
    <x v="5"/>
    <s v="Rented"/>
    <n v="21"/>
    <n v="2"/>
    <s v="No"/>
    <s v="Yes"/>
    <x v="4"/>
    <n v="59962"/>
    <x v="587"/>
    <x v="33"/>
    <x v="18"/>
    <x v="0"/>
    <x v="0"/>
    <x v="0"/>
  </r>
  <r>
    <x v="589"/>
    <s v="Glen Perry"/>
    <x v="33"/>
    <x v="1"/>
    <x v="3"/>
    <s v="High School"/>
    <x v="0"/>
    <n v="70568"/>
    <n v="690"/>
    <n v="17020"/>
    <x v="2"/>
    <n v="6.3700000000000007E-2"/>
    <x v="0"/>
    <s v="Owned"/>
    <n v="6"/>
    <n v="4"/>
    <s v="No"/>
    <s v="No"/>
    <x v="1"/>
    <n v="139993"/>
    <x v="588"/>
    <x v="29"/>
    <x v="508"/>
    <x v="0"/>
    <x v="0"/>
    <x v="0"/>
  </r>
  <r>
    <x v="590"/>
    <s v="James Harris"/>
    <x v="16"/>
    <x v="1"/>
    <x v="1"/>
    <s v="Postgraduate"/>
    <x v="2"/>
    <n v="92390"/>
    <n v="690"/>
    <n v="40017"/>
    <x v="3"/>
    <n v="0.14169999999999999"/>
    <x v="4"/>
    <s v="Mortgaged"/>
    <n v="6"/>
    <n v="4"/>
    <s v="Yes"/>
    <s v="Yes"/>
    <x v="0"/>
    <n v="16684"/>
    <x v="589"/>
    <x v="28"/>
    <x v="509"/>
    <x v="1"/>
    <x v="0"/>
    <x v="0"/>
  </r>
  <r>
    <x v="591"/>
    <s v="Mark Brown"/>
    <x v="27"/>
    <x v="0"/>
    <x v="3"/>
    <s v="PhD"/>
    <x v="0"/>
    <n v="93495"/>
    <n v="689"/>
    <n v="17924"/>
    <x v="3"/>
    <n v="0.18969999999999998"/>
    <x v="3"/>
    <s v="Owned"/>
    <n v="9"/>
    <n v="1"/>
    <s v="No"/>
    <s v="No"/>
    <x v="1"/>
    <n v="100286"/>
    <x v="590"/>
    <x v="36"/>
    <x v="510"/>
    <x v="1"/>
    <x v="1"/>
    <x v="0"/>
  </r>
  <r>
    <x v="592"/>
    <s v="Stephanie Bradshaw"/>
    <x v="12"/>
    <x v="0"/>
    <x v="3"/>
    <s v="PhD"/>
    <x v="3"/>
    <n v="96298"/>
    <n v="689"/>
    <n v="47468"/>
    <x v="3"/>
    <n v="0.10099999999999999"/>
    <x v="0"/>
    <s v="Owned"/>
    <n v="19"/>
    <n v="3"/>
    <s v="Yes"/>
    <s v="No"/>
    <x v="3"/>
    <n v="58450"/>
    <x v="591"/>
    <x v="23"/>
    <x v="511"/>
    <x v="1"/>
    <x v="0"/>
    <x v="0"/>
  </r>
  <r>
    <x v="593"/>
    <s v="Rachael Peterson"/>
    <x v="24"/>
    <x v="0"/>
    <x v="2"/>
    <s v="PhD"/>
    <x v="3"/>
    <n v="121212"/>
    <n v="689"/>
    <n v="18776"/>
    <x v="2"/>
    <n v="6.7799999999999999E-2"/>
    <x v="5"/>
    <s v="Rented"/>
    <n v="28"/>
    <n v="1"/>
    <s v="No"/>
    <s v="Yes"/>
    <x v="0"/>
    <n v="123107"/>
    <x v="592"/>
    <x v="21"/>
    <x v="458"/>
    <x v="0"/>
    <x v="0"/>
    <x v="0"/>
  </r>
  <r>
    <x v="594"/>
    <s v="Julie Ramsey"/>
    <x v="9"/>
    <x v="0"/>
    <x v="3"/>
    <s v="Postgraduate"/>
    <x v="0"/>
    <n v="58328"/>
    <n v="688"/>
    <n v="13511"/>
    <x v="0"/>
    <n v="0.11470000000000001"/>
    <x v="4"/>
    <s v="Owned"/>
    <n v="13"/>
    <n v="0"/>
    <s v="No"/>
    <s v="Yes"/>
    <x v="0"/>
    <n v="43639"/>
    <x v="593"/>
    <x v="9"/>
    <x v="303"/>
    <x v="0"/>
    <x v="1"/>
    <x v="0"/>
  </r>
  <r>
    <x v="595"/>
    <s v="Jennifer Adams"/>
    <x v="6"/>
    <x v="1"/>
    <x v="2"/>
    <s v="Postgraduate"/>
    <x v="2"/>
    <n v="56445"/>
    <n v="687"/>
    <n v="20095"/>
    <x v="3"/>
    <n v="0.14369999999999999"/>
    <x v="3"/>
    <s v="Mortgaged"/>
    <n v="25"/>
    <n v="2"/>
    <s v="Yes"/>
    <s v="Yes"/>
    <x v="1"/>
    <n v="73012"/>
    <x v="594"/>
    <x v="30"/>
    <x v="512"/>
    <x v="0"/>
    <x v="0"/>
    <x v="0"/>
  </r>
  <r>
    <x v="596"/>
    <s v="Debra Sanchez"/>
    <x v="33"/>
    <x v="1"/>
    <x v="0"/>
    <s v="PhD"/>
    <x v="1"/>
    <n v="139696"/>
    <n v="687"/>
    <n v="12785"/>
    <x v="4"/>
    <n v="0.14050000000000001"/>
    <x v="2"/>
    <s v="Rented"/>
    <n v="19"/>
    <n v="4"/>
    <s v="Yes"/>
    <s v="Yes"/>
    <x v="4"/>
    <n v="109086"/>
    <x v="595"/>
    <x v="16"/>
    <x v="513"/>
    <x v="0"/>
    <x v="0"/>
    <x v="0"/>
  </r>
  <r>
    <x v="597"/>
    <s v="Ashley Williams"/>
    <x v="26"/>
    <x v="0"/>
    <x v="0"/>
    <s v="PhD"/>
    <x v="2"/>
    <n v="109326"/>
    <n v="686"/>
    <n v="49268"/>
    <x v="0"/>
    <n v="0.1734"/>
    <x v="5"/>
    <s v="Mortgaged"/>
    <n v="22"/>
    <n v="2"/>
    <s v="No"/>
    <s v="Yes"/>
    <x v="1"/>
    <n v="170581"/>
    <x v="596"/>
    <x v="19"/>
    <x v="514"/>
    <x v="1"/>
    <x v="0"/>
    <x v="0"/>
  </r>
  <r>
    <x v="598"/>
    <s v="Timothy Hooper"/>
    <x v="27"/>
    <x v="1"/>
    <x v="2"/>
    <s v="Postgraduate"/>
    <x v="3"/>
    <n v="114699"/>
    <n v="686"/>
    <n v="22827"/>
    <x v="1"/>
    <n v="0.1293"/>
    <x v="3"/>
    <s v="Owned"/>
    <n v="29"/>
    <n v="3"/>
    <s v="No"/>
    <s v="No"/>
    <x v="4"/>
    <n v="113417"/>
    <x v="597"/>
    <x v="84"/>
    <x v="515"/>
    <x v="1"/>
    <x v="0"/>
    <x v="0"/>
  </r>
  <r>
    <x v="599"/>
    <s v="Lance Hill"/>
    <x v="25"/>
    <x v="0"/>
    <x v="2"/>
    <s v="Postgraduate"/>
    <x v="1"/>
    <n v="111356"/>
    <n v="686"/>
    <n v="44118"/>
    <x v="2"/>
    <n v="5.28E-2"/>
    <x v="2"/>
    <s v="Mortgaged"/>
    <n v="16"/>
    <n v="3"/>
    <s v="Yes"/>
    <s v="Yes"/>
    <x v="2"/>
    <n v="38635"/>
    <x v="598"/>
    <x v="55"/>
    <x v="516"/>
    <x v="0"/>
    <x v="0"/>
    <x v="0"/>
  </r>
  <r>
    <x v="600"/>
    <s v="Stephanie Jones"/>
    <x v="7"/>
    <x v="1"/>
    <x v="1"/>
    <s v="PhD"/>
    <x v="0"/>
    <n v="28123"/>
    <n v="686"/>
    <n v="44158"/>
    <x v="1"/>
    <n v="8.900000000000001E-2"/>
    <x v="1"/>
    <s v="Mortgaged"/>
    <n v="4"/>
    <n v="0"/>
    <s v="Yes"/>
    <s v="No"/>
    <x v="4"/>
    <n v="185668"/>
    <x v="599"/>
    <x v="77"/>
    <x v="517"/>
    <x v="1"/>
    <x v="1"/>
    <x v="0"/>
  </r>
  <r>
    <x v="601"/>
    <s v="Joseph Romero"/>
    <x v="9"/>
    <x v="0"/>
    <x v="0"/>
    <s v="Postgraduate"/>
    <x v="0"/>
    <n v="117170"/>
    <n v="686"/>
    <n v="37649"/>
    <x v="0"/>
    <n v="0.15509999999999999"/>
    <x v="0"/>
    <s v="Mortgaged"/>
    <n v="29"/>
    <n v="1"/>
    <s v="Yes"/>
    <s v="Yes"/>
    <x v="4"/>
    <n v="190581"/>
    <x v="600"/>
    <x v="89"/>
    <x v="518"/>
    <x v="0"/>
    <x v="0"/>
    <x v="0"/>
  </r>
  <r>
    <x v="602"/>
    <s v="Cynthia Bryant"/>
    <x v="7"/>
    <x v="0"/>
    <x v="2"/>
    <s v="Postgraduate"/>
    <x v="0"/>
    <n v="117247"/>
    <n v="686"/>
    <n v="47253"/>
    <x v="0"/>
    <n v="0.16719999999999999"/>
    <x v="4"/>
    <s v="Mortgaged"/>
    <n v="14"/>
    <n v="1"/>
    <s v="No"/>
    <s v="No"/>
    <x v="1"/>
    <n v="132915"/>
    <x v="601"/>
    <x v="82"/>
    <x v="519"/>
    <x v="1"/>
    <x v="1"/>
    <x v="0"/>
  </r>
  <r>
    <x v="603"/>
    <s v="Thomas Schmidt"/>
    <x v="17"/>
    <x v="1"/>
    <x v="0"/>
    <s v="High School"/>
    <x v="1"/>
    <n v="99622"/>
    <n v="686"/>
    <n v="17363"/>
    <x v="4"/>
    <n v="6.4100000000000004E-2"/>
    <x v="3"/>
    <s v="Owned"/>
    <n v="14"/>
    <n v="4"/>
    <s v="Yes"/>
    <s v="No"/>
    <x v="3"/>
    <n v="127441"/>
    <x v="602"/>
    <x v="10"/>
    <x v="520"/>
    <x v="0"/>
    <x v="1"/>
    <x v="0"/>
  </r>
  <r>
    <x v="604"/>
    <s v="Anna Graham"/>
    <x v="37"/>
    <x v="0"/>
    <x v="2"/>
    <s v="High School"/>
    <x v="3"/>
    <n v="28804"/>
    <n v="686"/>
    <n v="23574"/>
    <x v="2"/>
    <n v="0.1699"/>
    <x v="0"/>
    <s v="Rented"/>
    <n v="19"/>
    <n v="4"/>
    <s v="Yes"/>
    <s v="Yes"/>
    <x v="3"/>
    <n v="63105"/>
    <x v="603"/>
    <x v="66"/>
    <x v="240"/>
    <x v="0"/>
    <x v="0"/>
    <x v="0"/>
  </r>
  <r>
    <x v="605"/>
    <s v="Craig Jones"/>
    <x v="36"/>
    <x v="0"/>
    <x v="2"/>
    <s v="PhD"/>
    <x v="1"/>
    <n v="103848"/>
    <n v="685"/>
    <n v="17360"/>
    <x v="1"/>
    <n v="0.13200000000000001"/>
    <x v="1"/>
    <s v="Owned"/>
    <n v="26"/>
    <n v="0"/>
    <s v="Yes"/>
    <s v="Yes"/>
    <x v="4"/>
    <n v="89169"/>
    <x v="604"/>
    <x v="40"/>
    <x v="521"/>
    <x v="1"/>
    <x v="0"/>
    <x v="0"/>
  </r>
  <r>
    <x v="606"/>
    <s v="Gina Patterson"/>
    <x v="41"/>
    <x v="1"/>
    <x v="0"/>
    <s v="PhD"/>
    <x v="2"/>
    <n v="85522"/>
    <n v="685"/>
    <n v="49348"/>
    <x v="1"/>
    <n v="0.13589999999999999"/>
    <x v="5"/>
    <s v="Mortgaged"/>
    <n v="13"/>
    <n v="2"/>
    <s v="Yes"/>
    <s v="Yes"/>
    <x v="1"/>
    <n v="149980"/>
    <x v="605"/>
    <x v="50"/>
    <x v="499"/>
    <x v="0"/>
    <x v="0"/>
    <x v="0"/>
  </r>
  <r>
    <x v="607"/>
    <s v="Christina Donovan"/>
    <x v="5"/>
    <x v="0"/>
    <x v="0"/>
    <s v="Postgraduate"/>
    <x v="3"/>
    <n v="20229"/>
    <n v="684"/>
    <n v="8971"/>
    <x v="3"/>
    <n v="8.8599999999999998E-2"/>
    <x v="4"/>
    <s v="Owned"/>
    <n v="1"/>
    <n v="1"/>
    <s v="No"/>
    <s v="No"/>
    <x v="2"/>
    <n v="126230"/>
    <x v="606"/>
    <x v="32"/>
    <x v="522"/>
    <x v="0"/>
    <x v="0"/>
    <x v="0"/>
  </r>
  <r>
    <x v="608"/>
    <s v="Christine Barr"/>
    <x v="43"/>
    <x v="1"/>
    <x v="0"/>
    <s v="Postgraduate"/>
    <x v="3"/>
    <n v="135783"/>
    <n v="684"/>
    <n v="28453"/>
    <x v="1"/>
    <n v="0.1963"/>
    <x v="0"/>
    <s v="Owned"/>
    <n v="9"/>
    <n v="0"/>
    <s v="Yes"/>
    <s v="Yes"/>
    <x v="3"/>
    <n v="162326"/>
    <x v="607"/>
    <x v="56"/>
    <x v="523"/>
    <x v="0"/>
    <x v="0"/>
    <x v="0"/>
  </r>
  <r>
    <x v="609"/>
    <s v="Robert Perkins"/>
    <x v="22"/>
    <x v="0"/>
    <x v="0"/>
    <s v="PhD"/>
    <x v="1"/>
    <n v="50286"/>
    <n v="683"/>
    <n v="36367"/>
    <x v="2"/>
    <n v="0.15130000000000002"/>
    <x v="4"/>
    <s v="Rented"/>
    <n v="26"/>
    <n v="1"/>
    <s v="Yes"/>
    <s v="No"/>
    <x v="1"/>
    <n v="159506"/>
    <x v="608"/>
    <x v="71"/>
    <x v="524"/>
    <x v="1"/>
    <x v="0"/>
    <x v="0"/>
  </r>
  <r>
    <x v="610"/>
    <s v="Laura Hernandez"/>
    <x v="13"/>
    <x v="1"/>
    <x v="0"/>
    <s v="Graduate"/>
    <x v="1"/>
    <n v="42763"/>
    <n v="683"/>
    <n v="48042"/>
    <x v="0"/>
    <n v="0.18909999999999999"/>
    <x v="1"/>
    <s v="Mortgaged"/>
    <n v="29"/>
    <n v="2"/>
    <s v="No"/>
    <s v="No"/>
    <x v="4"/>
    <n v="65708"/>
    <x v="609"/>
    <x v="68"/>
    <x v="525"/>
    <x v="1"/>
    <x v="0"/>
    <x v="0"/>
  </r>
  <r>
    <x v="611"/>
    <s v="Mr. Jorge Mitchell"/>
    <x v="13"/>
    <x v="1"/>
    <x v="2"/>
    <s v="Postgraduate"/>
    <x v="0"/>
    <n v="48561"/>
    <n v="683"/>
    <n v="36079"/>
    <x v="0"/>
    <n v="6.93E-2"/>
    <x v="2"/>
    <s v="Mortgaged"/>
    <n v="23"/>
    <n v="0"/>
    <s v="No"/>
    <s v="Yes"/>
    <x v="2"/>
    <n v="144906"/>
    <x v="610"/>
    <x v="50"/>
    <x v="526"/>
    <x v="0"/>
    <x v="0"/>
    <x v="0"/>
  </r>
  <r>
    <x v="612"/>
    <s v="Eric Wilkinson"/>
    <x v="15"/>
    <x v="0"/>
    <x v="2"/>
    <s v="Graduate"/>
    <x v="3"/>
    <n v="100378"/>
    <n v="683"/>
    <n v="21425"/>
    <x v="3"/>
    <n v="0.11460000000000001"/>
    <x v="5"/>
    <s v="Rented"/>
    <n v="7"/>
    <n v="4"/>
    <s v="No"/>
    <s v="Yes"/>
    <x v="1"/>
    <n v="32150"/>
    <x v="611"/>
    <x v="86"/>
    <x v="527"/>
    <x v="1"/>
    <x v="0"/>
    <x v="0"/>
  </r>
  <r>
    <x v="613"/>
    <s v="Travis Huffman"/>
    <x v="36"/>
    <x v="1"/>
    <x v="1"/>
    <s v="Graduate"/>
    <x v="2"/>
    <n v="91318"/>
    <n v="682"/>
    <n v="33692"/>
    <x v="3"/>
    <n v="0.10039999999999999"/>
    <x v="3"/>
    <s v="Owned"/>
    <n v="25"/>
    <n v="4"/>
    <s v="No"/>
    <s v="Yes"/>
    <x v="1"/>
    <n v="7649"/>
    <x v="612"/>
    <x v="14"/>
    <x v="528"/>
    <x v="1"/>
    <x v="0"/>
    <x v="0"/>
  </r>
  <r>
    <x v="614"/>
    <s v="Veronica Rodriguez"/>
    <x v="33"/>
    <x v="0"/>
    <x v="1"/>
    <s v="High School"/>
    <x v="0"/>
    <n v="52463"/>
    <n v="682"/>
    <n v="33470"/>
    <x v="0"/>
    <n v="0.19789999999999999"/>
    <x v="0"/>
    <s v="Rented"/>
    <n v="11"/>
    <n v="1"/>
    <s v="Yes"/>
    <s v="No"/>
    <x v="4"/>
    <n v="112421"/>
    <x v="613"/>
    <x v="31"/>
    <x v="268"/>
    <x v="1"/>
    <x v="0"/>
    <x v="0"/>
  </r>
  <r>
    <x v="615"/>
    <s v="Ryan Zhang"/>
    <x v="0"/>
    <x v="1"/>
    <x v="1"/>
    <s v="Graduate"/>
    <x v="2"/>
    <n v="85747"/>
    <n v="682"/>
    <n v="4338"/>
    <x v="1"/>
    <n v="0.16870000000000002"/>
    <x v="1"/>
    <s v="Rented"/>
    <n v="24"/>
    <n v="2"/>
    <s v="No"/>
    <s v="Yes"/>
    <x v="2"/>
    <n v="134802"/>
    <x v="614"/>
    <x v="9"/>
    <x v="59"/>
    <x v="1"/>
    <x v="0"/>
    <x v="0"/>
  </r>
  <r>
    <x v="616"/>
    <s v="Steven Stevens"/>
    <x v="37"/>
    <x v="1"/>
    <x v="1"/>
    <s v="Postgraduate"/>
    <x v="1"/>
    <n v="57201"/>
    <n v="681"/>
    <n v="21598"/>
    <x v="0"/>
    <n v="0.17129999999999998"/>
    <x v="0"/>
    <s v="Mortgaged"/>
    <n v="22"/>
    <n v="1"/>
    <s v="Yes"/>
    <s v="Yes"/>
    <x v="0"/>
    <n v="115891"/>
    <x v="615"/>
    <x v="77"/>
    <x v="529"/>
    <x v="0"/>
    <x v="0"/>
    <x v="0"/>
  </r>
  <r>
    <x v="617"/>
    <s v="Brooke Sloan"/>
    <x v="27"/>
    <x v="1"/>
    <x v="3"/>
    <s v="High School"/>
    <x v="0"/>
    <n v="59451"/>
    <n v="681"/>
    <n v="47622"/>
    <x v="0"/>
    <n v="0.1174"/>
    <x v="3"/>
    <s v="Owned"/>
    <n v="23"/>
    <n v="3"/>
    <s v="No"/>
    <s v="No"/>
    <x v="0"/>
    <n v="189838"/>
    <x v="616"/>
    <x v="3"/>
    <x v="240"/>
    <x v="1"/>
    <x v="0"/>
    <x v="0"/>
  </r>
  <r>
    <x v="618"/>
    <s v="Brian Myers"/>
    <x v="13"/>
    <x v="0"/>
    <x v="0"/>
    <s v="Postgraduate"/>
    <x v="3"/>
    <n v="58967"/>
    <n v="681"/>
    <n v="22353"/>
    <x v="4"/>
    <n v="0.16850000000000001"/>
    <x v="5"/>
    <s v="Owned"/>
    <n v="2"/>
    <n v="3"/>
    <s v="No"/>
    <s v="Yes"/>
    <x v="0"/>
    <n v="56536"/>
    <x v="617"/>
    <x v="18"/>
    <x v="530"/>
    <x v="0"/>
    <x v="0"/>
    <x v="0"/>
  </r>
  <r>
    <x v="619"/>
    <s v="Breanna Walker"/>
    <x v="42"/>
    <x v="0"/>
    <x v="2"/>
    <s v="High School"/>
    <x v="1"/>
    <n v="131041"/>
    <n v="681"/>
    <n v="2137"/>
    <x v="1"/>
    <n v="0.1018"/>
    <x v="4"/>
    <s v="Mortgaged"/>
    <n v="26"/>
    <n v="3"/>
    <s v="No"/>
    <s v="No"/>
    <x v="0"/>
    <n v="126845"/>
    <x v="618"/>
    <x v="84"/>
    <x v="531"/>
    <x v="1"/>
    <x v="0"/>
    <x v="0"/>
  </r>
  <r>
    <x v="620"/>
    <s v="Christine Gutierrez"/>
    <x v="3"/>
    <x v="1"/>
    <x v="3"/>
    <s v="Graduate"/>
    <x v="3"/>
    <n v="123883"/>
    <n v="681"/>
    <n v="31204"/>
    <x v="2"/>
    <n v="0.16109999999999999"/>
    <x v="4"/>
    <s v="Owned"/>
    <n v="14"/>
    <n v="3"/>
    <s v="No"/>
    <s v="Yes"/>
    <x v="2"/>
    <n v="29227"/>
    <x v="619"/>
    <x v="1"/>
    <x v="532"/>
    <x v="1"/>
    <x v="0"/>
    <x v="0"/>
  </r>
  <r>
    <x v="621"/>
    <s v="Andrea Taylor"/>
    <x v="37"/>
    <x v="1"/>
    <x v="1"/>
    <s v="High School"/>
    <x v="0"/>
    <n v="20555"/>
    <n v="681"/>
    <n v="7907"/>
    <x v="4"/>
    <n v="0.1648"/>
    <x v="0"/>
    <s v="Owned"/>
    <n v="1"/>
    <n v="1"/>
    <s v="No"/>
    <s v="No"/>
    <x v="0"/>
    <n v="93159"/>
    <x v="620"/>
    <x v="31"/>
    <x v="533"/>
    <x v="0"/>
    <x v="0"/>
    <x v="0"/>
  </r>
  <r>
    <x v="622"/>
    <s v="Kenneth Jones"/>
    <x v="29"/>
    <x v="1"/>
    <x v="2"/>
    <s v="Postgraduate"/>
    <x v="1"/>
    <n v="25153"/>
    <n v="681"/>
    <n v="46197"/>
    <x v="3"/>
    <n v="0.18239999999999998"/>
    <x v="5"/>
    <s v="Mortgaged"/>
    <n v="15"/>
    <n v="3"/>
    <s v="Yes"/>
    <s v="Yes"/>
    <x v="2"/>
    <n v="46972"/>
    <x v="621"/>
    <x v="71"/>
    <x v="496"/>
    <x v="0"/>
    <x v="0"/>
    <x v="0"/>
  </r>
  <r>
    <x v="623"/>
    <s v="Nathan Lopez"/>
    <x v="13"/>
    <x v="0"/>
    <x v="2"/>
    <s v="PhD"/>
    <x v="2"/>
    <n v="132036"/>
    <n v="680"/>
    <n v="37724"/>
    <x v="1"/>
    <n v="0.15490000000000001"/>
    <x v="1"/>
    <s v="Owned"/>
    <n v="12"/>
    <n v="4"/>
    <s v="No"/>
    <s v="Yes"/>
    <x v="4"/>
    <n v="120603"/>
    <x v="622"/>
    <x v="16"/>
    <x v="534"/>
    <x v="0"/>
    <x v="0"/>
    <x v="0"/>
  </r>
  <r>
    <x v="624"/>
    <s v="Angela Johnson"/>
    <x v="38"/>
    <x v="1"/>
    <x v="3"/>
    <s v="Graduate"/>
    <x v="3"/>
    <n v="125473"/>
    <n v="680"/>
    <n v="49292"/>
    <x v="2"/>
    <n v="6.4699999999999994E-2"/>
    <x v="2"/>
    <s v="Owned"/>
    <n v="21"/>
    <n v="1"/>
    <s v="Yes"/>
    <s v="No"/>
    <x v="0"/>
    <n v="160451"/>
    <x v="623"/>
    <x v="50"/>
    <x v="32"/>
    <x v="0"/>
    <x v="0"/>
    <x v="0"/>
  </r>
  <r>
    <x v="625"/>
    <s v="Mindy Jefferson"/>
    <x v="41"/>
    <x v="1"/>
    <x v="3"/>
    <s v="Graduate"/>
    <x v="3"/>
    <n v="128895"/>
    <n v="680"/>
    <n v="45063"/>
    <x v="1"/>
    <n v="8.3900000000000002E-2"/>
    <x v="1"/>
    <s v="Owned"/>
    <n v="4"/>
    <n v="1"/>
    <s v="No"/>
    <s v="Yes"/>
    <x v="2"/>
    <n v="30239"/>
    <x v="624"/>
    <x v="72"/>
    <x v="535"/>
    <x v="1"/>
    <x v="1"/>
    <x v="0"/>
  </r>
  <r>
    <x v="626"/>
    <s v="Amanda Fuller"/>
    <x v="36"/>
    <x v="1"/>
    <x v="3"/>
    <s v="Postgraduate"/>
    <x v="1"/>
    <n v="45008"/>
    <n v="680"/>
    <n v="22545"/>
    <x v="4"/>
    <n v="8.7599999999999997E-2"/>
    <x v="4"/>
    <s v="Rented"/>
    <n v="24"/>
    <n v="2"/>
    <s v="No"/>
    <s v="Yes"/>
    <x v="1"/>
    <n v="190114"/>
    <x v="625"/>
    <x v="26"/>
    <x v="536"/>
    <x v="1"/>
    <x v="1"/>
    <x v="0"/>
  </r>
  <r>
    <x v="627"/>
    <s v="Mason Rodgers"/>
    <x v="1"/>
    <x v="1"/>
    <x v="1"/>
    <s v="High School"/>
    <x v="2"/>
    <n v="40991"/>
    <n v="680"/>
    <n v="22380"/>
    <x v="3"/>
    <n v="0.159"/>
    <x v="4"/>
    <s v="Mortgaged"/>
    <n v="15"/>
    <n v="1"/>
    <s v="No"/>
    <s v="Yes"/>
    <x v="4"/>
    <n v="74772"/>
    <x v="626"/>
    <x v="20"/>
    <x v="537"/>
    <x v="1"/>
    <x v="1"/>
    <x v="0"/>
  </r>
  <r>
    <x v="628"/>
    <s v="Taylor Gaines"/>
    <x v="29"/>
    <x v="1"/>
    <x v="3"/>
    <s v="High School"/>
    <x v="1"/>
    <n v="27373"/>
    <n v="680"/>
    <n v="3994"/>
    <x v="0"/>
    <n v="0.19989999999999999"/>
    <x v="4"/>
    <s v="Rented"/>
    <n v="7"/>
    <n v="4"/>
    <s v="No"/>
    <s v="Yes"/>
    <x v="0"/>
    <n v="191349"/>
    <x v="627"/>
    <x v="27"/>
    <x v="538"/>
    <x v="1"/>
    <x v="0"/>
    <x v="0"/>
  </r>
  <r>
    <x v="629"/>
    <s v="Aaron Novak"/>
    <x v="31"/>
    <x v="0"/>
    <x v="3"/>
    <s v="Graduate"/>
    <x v="2"/>
    <n v="70539"/>
    <n v="680"/>
    <n v="3128"/>
    <x v="3"/>
    <n v="0.11"/>
    <x v="1"/>
    <s v="Mortgaged"/>
    <n v="10"/>
    <n v="4"/>
    <s v="Yes"/>
    <s v="No"/>
    <x v="3"/>
    <n v="190198"/>
    <x v="628"/>
    <x v="32"/>
    <x v="539"/>
    <x v="0"/>
    <x v="0"/>
    <x v="0"/>
  </r>
  <r>
    <x v="630"/>
    <s v="Kayla Roach"/>
    <x v="24"/>
    <x v="1"/>
    <x v="3"/>
    <s v="Graduate"/>
    <x v="1"/>
    <n v="64252"/>
    <n v="680"/>
    <n v="18241"/>
    <x v="1"/>
    <n v="0.15429999999999999"/>
    <x v="4"/>
    <s v="Mortgaged"/>
    <n v="26"/>
    <n v="3"/>
    <s v="No"/>
    <s v="Yes"/>
    <x v="1"/>
    <n v="141591"/>
    <x v="629"/>
    <x v="10"/>
    <x v="540"/>
    <x v="1"/>
    <x v="0"/>
    <x v="0"/>
  </r>
  <r>
    <x v="631"/>
    <s v="Tara Brooks"/>
    <x v="28"/>
    <x v="1"/>
    <x v="1"/>
    <s v="High School"/>
    <x v="2"/>
    <n v="131957"/>
    <n v="679"/>
    <n v="1319"/>
    <x v="4"/>
    <n v="0.1797"/>
    <x v="4"/>
    <s v="Rented"/>
    <n v="20"/>
    <n v="4"/>
    <s v="Yes"/>
    <s v="Yes"/>
    <x v="2"/>
    <n v="177887"/>
    <x v="630"/>
    <x v="34"/>
    <x v="31"/>
    <x v="0"/>
    <x v="0"/>
    <x v="0"/>
  </r>
  <r>
    <x v="632"/>
    <s v="Jonathan Thompson"/>
    <x v="15"/>
    <x v="1"/>
    <x v="2"/>
    <s v="Postgraduate"/>
    <x v="3"/>
    <n v="141480"/>
    <n v="679"/>
    <n v="25278"/>
    <x v="0"/>
    <n v="8.9600000000000013E-2"/>
    <x v="5"/>
    <s v="Rented"/>
    <n v="5"/>
    <n v="1"/>
    <s v="Yes"/>
    <s v="Yes"/>
    <x v="3"/>
    <n v="11621"/>
    <x v="631"/>
    <x v="23"/>
    <x v="541"/>
    <x v="1"/>
    <x v="0"/>
    <x v="0"/>
  </r>
  <r>
    <x v="633"/>
    <s v="Michael Marshall"/>
    <x v="9"/>
    <x v="1"/>
    <x v="0"/>
    <s v="PhD"/>
    <x v="0"/>
    <n v="59643"/>
    <n v="679"/>
    <n v="21282"/>
    <x v="4"/>
    <n v="0.17050000000000001"/>
    <x v="0"/>
    <s v="Rented"/>
    <n v="12"/>
    <n v="1"/>
    <s v="Yes"/>
    <s v="Yes"/>
    <x v="4"/>
    <n v="117602"/>
    <x v="632"/>
    <x v="47"/>
    <x v="542"/>
    <x v="1"/>
    <x v="0"/>
    <x v="0"/>
  </r>
  <r>
    <x v="634"/>
    <s v="Laura Espinoza"/>
    <x v="40"/>
    <x v="0"/>
    <x v="2"/>
    <s v="Graduate"/>
    <x v="2"/>
    <n v="98972"/>
    <n v="678"/>
    <n v="44139"/>
    <x v="2"/>
    <n v="7.4299999999999991E-2"/>
    <x v="3"/>
    <s v="Owned"/>
    <n v="5"/>
    <n v="4"/>
    <s v="No"/>
    <s v="No"/>
    <x v="2"/>
    <n v="7341"/>
    <x v="633"/>
    <x v="4"/>
    <x v="543"/>
    <x v="1"/>
    <x v="1"/>
    <x v="0"/>
  </r>
  <r>
    <x v="635"/>
    <s v="Kelsey Burke"/>
    <x v="11"/>
    <x v="0"/>
    <x v="1"/>
    <s v="Graduate"/>
    <x v="3"/>
    <n v="138423"/>
    <n v="678"/>
    <n v="43161"/>
    <x v="1"/>
    <n v="0.182"/>
    <x v="0"/>
    <s v="Owned"/>
    <n v="28"/>
    <n v="2"/>
    <s v="No"/>
    <s v="No"/>
    <x v="1"/>
    <n v="186171"/>
    <x v="634"/>
    <x v="79"/>
    <x v="544"/>
    <x v="0"/>
    <x v="1"/>
    <x v="0"/>
  </r>
  <r>
    <x v="636"/>
    <s v="James Green"/>
    <x v="21"/>
    <x v="1"/>
    <x v="2"/>
    <s v="Postgraduate"/>
    <x v="1"/>
    <n v="111428"/>
    <n v="678"/>
    <n v="12939"/>
    <x v="2"/>
    <n v="0.1736"/>
    <x v="4"/>
    <s v="Owned"/>
    <n v="7"/>
    <n v="3"/>
    <s v="No"/>
    <s v="No"/>
    <x v="4"/>
    <n v="163297"/>
    <x v="635"/>
    <x v="30"/>
    <x v="545"/>
    <x v="1"/>
    <x v="0"/>
    <x v="0"/>
  </r>
  <r>
    <x v="637"/>
    <s v="Tiffany Cervantes"/>
    <x v="33"/>
    <x v="0"/>
    <x v="1"/>
    <s v="Postgraduate"/>
    <x v="3"/>
    <n v="121196"/>
    <n v="677"/>
    <n v="33009"/>
    <x v="1"/>
    <n v="0.14899999999999999"/>
    <x v="2"/>
    <s v="Owned"/>
    <n v="2"/>
    <n v="4"/>
    <s v="Yes"/>
    <s v="Yes"/>
    <x v="1"/>
    <n v="162935"/>
    <x v="636"/>
    <x v="21"/>
    <x v="546"/>
    <x v="0"/>
    <x v="1"/>
    <x v="0"/>
  </r>
  <r>
    <x v="638"/>
    <s v="Robert Miller"/>
    <x v="35"/>
    <x v="0"/>
    <x v="0"/>
    <s v="PhD"/>
    <x v="3"/>
    <n v="91820"/>
    <n v="677"/>
    <n v="27171"/>
    <x v="1"/>
    <n v="0.1361"/>
    <x v="4"/>
    <s v="Owned"/>
    <n v="8"/>
    <n v="3"/>
    <s v="Yes"/>
    <s v="Yes"/>
    <x v="1"/>
    <n v="102447"/>
    <x v="637"/>
    <x v="11"/>
    <x v="547"/>
    <x v="0"/>
    <x v="1"/>
    <x v="0"/>
  </r>
  <r>
    <x v="639"/>
    <s v="Donald Robinson"/>
    <x v="31"/>
    <x v="0"/>
    <x v="1"/>
    <s v="Graduate"/>
    <x v="2"/>
    <n v="129178"/>
    <n v="677"/>
    <n v="31121"/>
    <x v="2"/>
    <n v="8.3000000000000004E-2"/>
    <x v="4"/>
    <s v="Mortgaged"/>
    <n v="28"/>
    <n v="4"/>
    <s v="No"/>
    <s v="No"/>
    <x v="2"/>
    <n v="144836"/>
    <x v="638"/>
    <x v="28"/>
    <x v="347"/>
    <x v="1"/>
    <x v="0"/>
    <x v="0"/>
  </r>
  <r>
    <x v="640"/>
    <s v="Robert Richards"/>
    <x v="5"/>
    <x v="0"/>
    <x v="3"/>
    <s v="PhD"/>
    <x v="2"/>
    <n v="96425"/>
    <n v="676"/>
    <n v="45716"/>
    <x v="0"/>
    <n v="0.18340000000000001"/>
    <x v="2"/>
    <s v="Owned"/>
    <n v="29"/>
    <n v="2"/>
    <s v="Yes"/>
    <s v="Yes"/>
    <x v="2"/>
    <n v="145771"/>
    <x v="639"/>
    <x v="15"/>
    <x v="548"/>
    <x v="0"/>
    <x v="0"/>
    <x v="0"/>
  </r>
  <r>
    <x v="641"/>
    <s v="Steven Hayes"/>
    <x v="37"/>
    <x v="0"/>
    <x v="1"/>
    <s v="High School"/>
    <x v="0"/>
    <n v="86983"/>
    <n v="676"/>
    <n v="25945"/>
    <x v="4"/>
    <n v="0.1489"/>
    <x v="2"/>
    <s v="Owned"/>
    <n v="12"/>
    <n v="1"/>
    <s v="No"/>
    <s v="No"/>
    <x v="0"/>
    <n v="101666"/>
    <x v="640"/>
    <x v="5"/>
    <x v="549"/>
    <x v="1"/>
    <x v="0"/>
    <x v="0"/>
  </r>
  <r>
    <x v="642"/>
    <s v="Susan Williams"/>
    <x v="17"/>
    <x v="1"/>
    <x v="1"/>
    <s v="PhD"/>
    <x v="1"/>
    <n v="38653"/>
    <n v="676"/>
    <n v="46301"/>
    <x v="2"/>
    <n v="7.9000000000000001E-2"/>
    <x v="0"/>
    <s v="Mortgaged"/>
    <n v="12"/>
    <n v="0"/>
    <s v="No"/>
    <s v="Yes"/>
    <x v="0"/>
    <n v="88387"/>
    <x v="641"/>
    <x v="29"/>
    <x v="246"/>
    <x v="1"/>
    <x v="0"/>
    <x v="0"/>
  </r>
  <r>
    <x v="643"/>
    <s v="Robert Bell"/>
    <x v="34"/>
    <x v="0"/>
    <x v="0"/>
    <s v="PhD"/>
    <x v="2"/>
    <n v="84922"/>
    <n v="675"/>
    <n v="45070"/>
    <x v="4"/>
    <n v="0.12359999999999999"/>
    <x v="2"/>
    <s v="Mortgaged"/>
    <n v="9"/>
    <n v="0"/>
    <s v="No"/>
    <s v="Yes"/>
    <x v="1"/>
    <n v="127600"/>
    <x v="642"/>
    <x v="46"/>
    <x v="550"/>
    <x v="1"/>
    <x v="0"/>
    <x v="0"/>
  </r>
  <r>
    <x v="644"/>
    <s v="Amanda Castro"/>
    <x v="30"/>
    <x v="1"/>
    <x v="0"/>
    <s v="High School"/>
    <x v="2"/>
    <n v="51819"/>
    <n v="675"/>
    <n v="39108"/>
    <x v="2"/>
    <n v="0.1555"/>
    <x v="3"/>
    <s v="Rented"/>
    <n v="1"/>
    <n v="0"/>
    <s v="Yes"/>
    <s v="No"/>
    <x v="3"/>
    <n v="180174"/>
    <x v="643"/>
    <x v="73"/>
    <x v="551"/>
    <x v="1"/>
    <x v="1"/>
    <x v="0"/>
  </r>
  <r>
    <x v="645"/>
    <s v="David Hall"/>
    <x v="38"/>
    <x v="0"/>
    <x v="1"/>
    <s v="Graduate"/>
    <x v="2"/>
    <n v="120846"/>
    <n v="675"/>
    <n v="47499"/>
    <x v="4"/>
    <n v="9.7699999999999995E-2"/>
    <x v="1"/>
    <s v="Rented"/>
    <n v="21"/>
    <n v="0"/>
    <s v="No"/>
    <s v="No"/>
    <x v="1"/>
    <n v="190512"/>
    <x v="644"/>
    <x v="39"/>
    <x v="418"/>
    <x v="1"/>
    <x v="0"/>
    <x v="0"/>
  </r>
  <r>
    <x v="646"/>
    <s v="Megan Mcconnell"/>
    <x v="20"/>
    <x v="0"/>
    <x v="1"/>
    <s v="Graduate"/>
    <x v="3"/>
    <n v="28733"/>
    <n v="675"/>
    <n v="26816"/>
    <x v="3"/>
    <n v="0.16289999999999999"/>
    <x v="0"/>
    <s v="Owned"/>
    <n v="26"/>
    <n v="3"/>
    <s v="Yes"/>
    <s v="No"/>
    <x v="4"/>
    <n v="155196"/>
    <x v="645"/>
    <x v="18"/>
    <x v="552"/>
    <x v="1"/>
    <x v="0"/>
    <x v="0"/>
  </r>
  <r>
    <x v="647"/>
    <s v="Christopher Johnson MD"/>
    <x v="10"/>
    <x v="1"/>
    <x v="2"/>
    <s v="High School"/>
    <x v="2"/>
    <n v="37127"/>
    <n v="675"/>
    <n v="48889"/>
    <x v="3"/>
    <n v="0.12089999999999999"/>
    <x v="5"/>
    <s v="Owned"/>
    <n v="22"/>
    <n v="3"/>
    <s v="No"/>
    <s v="Yes"/>
    <x v="1"/>
    <n v="173419"/>
    <x v="646"/>
    <x v="55"/>
    <x v="553"/>
    <x v="0"/>
    <x v="0"/>
    <x v="0"/>
  </r>
  <r>
    <x v="648"/>
    <s v="Stephanie Smith"/>
    <x v="27"/>
    <x v="1"/>
    <x v="3"/>
    <s v="Postgraduate"/>
    <x v="2"/>
    <n v="81954"/>
    <n v="674"/>
    <n v="45134"/>
    <x v="2"/>
    <n v="9.3900000000000011E-2"/>
    <x v="4"/>
    <s v="Mortgaged"/>
    <n v="20"/>
    <n v="1"/>
    <s v="No"/>
    <s v="Yes"/>
    <x v="4"/>
    <n v="65702"/>
    <x v="647"/>
    <x v="61"/>
    <x v="553"/>
    <x v="0"/>
    <x v="0"/>
    <x v="0"/>
  </r>
  <r>
    <x v="649"/>
    <s v="Megan Baker DDS"/>
    <x v="21"/>
    <x v="0"/>
    <x v="3"/>
    <s v="High School"/>
    <x v="3"/>
    <n v="127323"/>
    <n v="674"/>
    <n v="41498"/>
    <x v="4"/>
    <n v="0.19320000000000001"/>
    <x v="5"/>
    <s v="Owned"/>
    <n v="17"/>
    <n v="3"/>
    <s v="Yes"/>
    <s v="Yes"/>
    <x v="4"/>
    <n v="186616"/>
    <x v="648"/>
    <x v="70"/>
    <x v="554"/>
    <x v="1"/>
    <x v="0"/>
    <x v="0"/>
  </r>
  <r>
    <x v="650"/>
    <s v="Christine Drake"/>
    <x v="43"/>
    <x v="0"/>
    <x v="2"/>
    <s v="High School"/>
    <x v="1"/>
    <n v="123826"/>
    <n v="673"/>
    <n v="30489"/>
    <x v="2"/>
    <n v="0.19350000000000001"/>
    <x v="3"/>
    <s v="Owned"/>
    <n v="28"/>
    <n v="2"/>
    <s v="Yes"/>
    <s v="Yes"/>
    <x v="3"/>
    <n v="32895"/>
    <x v="649"/>
    <x v="15"/>
    <x v="72"/>
    <x v="1"/>
    <x v="0"/>
    <x v="0"/>
  </r>
  <r>
    <x v="651"/>
    <s v="Angela Holland"/>
    <x v="30"/>
    <x v="1"/>
    <x v="0"/>
    <s v="High School"/>
    <x v="1"/>
    <n v="70227"/>
    <n v="672"/>
    <n v="21243"/>
    <x v="3"/>
    <n v="6.9099999999999995E-2"/>
    <x v="4"/>
    <s v="Rented"/>
    <n v="9"/>
    <n v="2"/>
    <s v="Yes"/>
    <s v="Yes"/>
    <x v="0"/>
    <n v="97100"/>
    <x v="650"/>
    <x v="49"/>
    <x v="555"/>
    <x v="0"/>
    <x v="0"/>
    <x v="0"/>
  </r>
  <r>
    <x v="652"/>
    <s v="Javier Lewis V"/>
    <x v="10"/>
    <x v="0"/>
    <x v="1"/>
    <s v="Graduate"/>
    <x v="0"/>
    <n v="90400"/>
    <n v="672"/>
    <n v="40938"/>
    <x v="3"/>
    <n v="0.1474"/>
    <x v="1"/>
    <s v="Rented"/>
    <n v="10"/>
    <n v="4"/>
    <s v="Yes"/>
    <s v="No"/>
    <x v="0"/>
    <n v="16737"/>
    <x v="651"/>
    <x v="62"/>
    <x v="380"/>
    <x v="1"/>
    <x v="1"/>
    <x v="0"/>
  </r>
  <r>
    <x v="653"/>
    <s v="Richard Young"/>
    <x v="3"/>
    <x v="1"/>
    <x v="1"/>
    <s v="Graduate"/>
    <x v="2"/>
    <n v="23641"/>
    <n v="672"/>
    <n v="2379"/>
    <x v="3"/>
    <n v="0.16489999999999999"/>
    <x v="2"/>
    <s v="Mortgaged"/>
    <n v="13"/>
    <n v="2"/>
    <s v="Yes"/>
    <s v="No"/>
    <x v="3"/>
    <n v="59222"/>
    <x v="652"/>
    <x v="46"/>
    <x v="556"/>
    <x v="1"/>
    <x v="0"/>
    <x v="0"/>
  </r>
  <r>
    <x v="654"/>
    <s v="Jorge English"/>
    <x v="36"/>
    <x v="0"/>
    <x v="2"/>
    <s v="PhD"/>
    <x v="2"/>
    <n v="46853"/>
    <n v="672"/>
    <n v="49218"/>
    <x v="1"/>
    <n v="9.7299999999999998E-2"/>
    <x v="4"/>
    <s v="Rented"/>
    <n v="11"/>
    <n v="4"/>
    <s v="Yes"/>
    <s v="No"/>
    <x v="4"/>
    <n v="136763"/>
    <x v="653"/>
    <x v="7"/>
    <x v="557"/>
    <x v="0"/>
    <x v="0"/>
    <x v="0"/>
  </r>
  <r>
    <x v="655"/>
    <s v="Tracy Miller"/>
    <x v="21"/>
    <x v="1"/>
    <x v="2"/>
    <s v="High School"/>
    <x v="3"/>
    <n v="91997"/>
    <n v="672"/>
    <n v="3057"/>
    <x v="2"/>
    <n v="5.2999999999999999E-2"/>
    <x v="0"/>
    <s v="Owned"/>
    <n v="9"/>
    <n v="3"/>
    <s v="No"/>
    <s v="Yes"/>
    <x v="3"/>
    <n v="198752"/>
    <x v="654"/>
    <x v="49"/>
    <x v="558"/>
    <x v="0"/>
    <x v="0"/>
    <x v="0"/>
  </r>
  <r>
    <x v="656"/>
    <s v="Regina Duarte"/>
    <x v="4"/>
    <x v="0"/>
    <x v="3"/>
    <s v="Postgraduate"/>
    <x v="2"/>
    <n v="94554"/>
    <n v="672"/>
    <n v="1394"/>
    <x v="0"/>
    <n v="0.1477"/>
    <x v="5"/>
    <s v="Rented"/>
    <n v="17"/>
    <n v="2"/>
    <s v="Yes"/>
    <s v="Yes"/>
    <x v="1"/>
    <n v="152889"/>
    <x v="655"/>
    <x v="3"/>
    <x v="255"/>
    <x v="1"/>
    <x v="0"/>
    <x v="0"/>
  </r>
  <r>
    <x v="657"/>
    <s v="Eric Johnson"/>
    <x v="40"/>
    <x v="1"/>
    <x v="0"/>
    <s v="Graduate"/>
    <x v="0"/>
    <n v="91743"/>
    <n v="671"/>
    <n v="16765"/>
    <x v="1"/>
    <n v="0.13489999999999999"/>
    <x v="2"/>
    <s v="Mortgaged"/>
    <n v="29"/>
    <n v="4"/>
    <s v="No"/>
    <s v="No"/>
    <x v="0"/>
    <n v="27400"/>
    <x v="656"/>
    <x v="42"/>
    <x v="559"/>
    <x v="0"/>
    <x v="0"/>
    <x v="0"/>
  </r>
  <r>
    <x v="658"/>
    <s v="Rita Jackson"/>
    <x v="31"/>
    <x v="1"/>
    <x v="0"/>
    <s v="PhD"/>
    <x v="0"/>
    <n v="21211"/>
    <n v="670"/>
    <n v="28370"/>
    <x v="3"/>
    <n v="0.15509999999999999"/>
    <x v="0"/>
    <s v="Mortgaged"/>
    <n v="19"/>
    <n v="4"/>
    <s v="No"/>
    <s v="No"/>
    <x v="1"/>
    <n v="110687"/>
    <x v="657"/>
    <x v="63"/>
    <x v="560"/>
    <x v="0"/>
    <x v="0"/>
    <x v="0"/>
  </r>
  <r>
    <x v="659"/>
    <s v="Jane Smith"/>
    <x v="24"/>
    <x v="1"/>
    <x v="3"/>
    <s v="PhD"/>
    <x v="3"/>
    <n v="87819"/>
    <n v="670"/>
    <n v="1051"/>
    <x v="0"/>
    <n v="0.14029999999999998"/>
    <x v="4"/>
    <s v="Mortgaged"/>
    <n v="14"/>
    <n v="1"/>
    <s v="No"/>
    <s v="No"/>
    <x v="1"/>
    <n v="107804"/>
    <x v="658"/>
    <x v="63"/>
    <x v="561"/>
    <x v="1"/>
    <x v="0"/>
    <x v="0"/>
  </r>
  <r>
    <x v="660"/>
    <s v="Randy Mueller"/>
    <x v="25"/>
    <x v="1"/>
    <x v="1"/>
    <s v="High School"/>
    <x v="2"/>
    <n v="63310"/>
    <n v="670"/>
    <n v="22801"/>
    <x v="0"/>
    <n v="0.14419999999999999"/>
    <x v="4"/>
    <s v="Owned"/>
    <n v="1"/>
    <n v="4"/>
    <s v="Yes"/>
    <s v="Yes"/>
    <x v="1"/>
    <n v="147681"/>
    <x v="659"/>
    <x v="77"/>
    <x v="510"/>
    <x v="1"/>
    <x v="0"/>
    <x v="0"/>
  </r>
  <r>
    <x v="661"/>
    <s v="Shawn Abbott"/>
    <x v="14"/>
    <x v="0"/>
    <x v="0"/>
    <s v="Postgraduate"/>
    <x v="1"/>
    <n v="30635"/>
    <n v="670"/>
    <n v="1641"/>
    <x v="1"/>
    <n v="0.1487"/>
    <x v="5"/>
    <s v="Mortgaged"/>
    <n v="19"/>
    <n v="1"/>
    <s v="No"/>
    <s v="Yes"/>
    <x v="3"/>
    <n v="26403"/>
    <x v="660"/>
    <x v="4"/>
    <x v="562"/>
    <x v="1"/>
    <x v="0"/>
    <x v="0"/>
  </r>
  <r>
    <x v="662"/>
    <s v="Christie Hancock"/>
    <x v="3"/>
    <x v="0"/>
    <x v="2"/>
    <s v="PhD"/>
    <x v="3"/>
    <n v="144257"/>
    <n v="669"/>
    <n v="41647"/>
    <x v="4"/>
    <n v="0.12839999999999999"/>
    <x v="0"/>
    <s v="Owned"/>
    <n v="15"/>
    <n v="2"/>
    <s v="No"/>
    <s v="No"/>
    <x v="3"/>
    <n v="137456"/>
    <x v="661"/>
    <x v="1"/>
    <x v="482"/>
    <x v="0"/>
    <x v="0"/>
    <x v="0"/>
  </r>
  <r>
    <x v="663"/>
    <s v="Nathaniel Smith"/>
    <x v="36"/>
    <x v="0"/>
    <x v="0"/>
    <s v="Postgraduate"/>
    <x v="0"/>
    <n v="121039"/>
    <n v="668"/>
    <n v="35269"/>
    <x v="0"/>
    <n v="0.19149999999999998"/>
    <x v="4"/>
    <s v="Owned"/>
    <n v="11"/>
    <n v="0"/>
    <s v="No"/>
    <s v="No"/>
    <x v="3"/>
    <n v="171858"/>
    <x v="662"/>
    <x v="56"/>
    <x v="440"/>
    <x v="0"/>
    <x v="1"/>
    <x v="0"/>
  </r>
  <r>
    <x v="664"/>
    <s v="Angela Garrison"/>
    <x v="8"/>
    <x v="0"/>
    <x v="3"/>
    <s v="Graduate"/>
    <x v="0"/>
    <n v="139156"/>
    <n v="668"/>
    <n v="25509"/>
    <x v="2"/>
    <n v="0.10730000000000001"/>
    <x v="3"/>
    <s v="Owned"/>
    <n v="5"/>
    <n v="1"/>
    <s v="Yes"/>
    <s v="No"/>
    <x v="0"/>
    <n v="35308"/>
    <x v="663"/>
    <x v="86"/>
    <x v="50"/>
    <x v="0"/>
    <x v="1"/>
    <x v="0"/>
  </r>
  <r>
    <x v="665"/>
    <s v="Nicole Garrison"/>
    <x v="6"/>
    <x v="0"/>
    <x v="1"/>
    <s v="PhD"/>
    <x v="1"/>
    <n v="123535"/>
    <n v="667"/>
    <n v="47023"/>
    <x v="0"/>
    <n v="0.13470000000000001"/>
    <x v="1"/>
    <s v="Rented"/>
    <n v="16"/>
    <n v="0"/>
    <s v="Yes"/>
    <s v="Yes"/>
    <x v="0"/>
    <n v="95959"/>
    <x v="664"/>
    <x v="36"/>
    <x v="563"/>
    <x v="0"/>
    <x v="0"/>
    <x v="0"/>
  </r>
  <r>
    <x v="666"/>
    <s v="Lisa Henson"/>
    <x v="10"/>
    <x v="0"/>
    <x v="3"/>
    <s v="Postgraduate"/>
    <x v="1"/>
    <n v="45020"/>
    <n v="667"/>
    <n v="21448"/>
    <x v="0"/>
    <n v="9.4100000000000003E-2"/>
    <x v="1"/>
    <s v="Owned"/>
    <n v="22"/>
    <n v="1"/>
    <s v="No"/>
    <s v="No"/>
    <x v="3"/>
    <n v="53411"/>
    <x v="665"/>
    <x v="60"/>
    <x v="294"/>
    <x v="1"/>
    <x v="0"/>
    <x v="0"/>
  </r>
  <r>
    <x v="667"/>
    <s v="Angela White"/>
    <x v="1"/>
    <x v="1"/>
    <x v="1"/>
    <s v="PhD"/>
    <x v="2"/>
    <n v="148041"/>
    <n v="667"/>
    <n v="36335"/>
    <x v="1"/>
    <n v="0.1421"/>
    <x v="4"/>
    <s v="Owned"/>
    <n v="23"/>
    <n v="2"/>
    <s v="No"/>
    <s v="Yes"/>
    <x v="0"/>
    <n v="68618"/>
    <x v="666"/>
    <x v="47"/>
    <x v="564"/>
    <x v="1"/>
    <x v="0"/>
    <x v="0"/>
  </r>
  <r>
    <x v="668"/>
    <s v="Joseph Hernandez"/>
    <x v="12"/>
    <x v="1"/>
    <x v="3"/>
    <s v="High School"/>
    <x v="2"/>
    <n v="24381"/>
    <n v="667"/>
    <n v="22996"/>
    <x v="0"/>
    <n v="8.5999999999999993E-2"/>
    <x v="1"/>
    <s v="Rented"/>
    <n v="16"/>
    <n v="0"/>
    <s v="Yes"/>
    <s v="No"/>
    <x v="1"/>
    <n v="78759"/>
    <x v="667"/>
    <x v="22"/>
    <x v="565"/>
    <x v="1"/>
    <x v="0"/>
    <x v="0"/>
  </r>
  <r>
    <x v="669"/>
    <s v="David Rios"/>
    <x v="35"/>
    <x v="0"/>
    <x v="3"/>
    <s v="PhD"/>
    <x v="3"/>
    <n v="35187"/>
    <n v="667"/>
    <n v="11524"/>
    <x v="0"/>
    <n v="0.15190000000000001"/>
    <x v="1"/>
    <s v="Mortgaged"/>
    <n v="6"/>
    <n v="4"/>
    <s v="Yes"/>
    <s v="No"/>
    <x v="4"/>
    <n v="110003"/>
    <x v="668"/>
    <x v="72"/>
    <x v="566"/>
    <x v="1"/>
    <x v="0"/>
    <x v="0"/>
  </r>
  <r>
    <x v="670"/>
    <s v="William Horn"/>
    <x v="36"/>
    <x v="1"/>
    <x v="1"/>
    <s v="High School"/>
    <x v="1"/>
    <n v="97806"/>
    <n v="666"/>
    <n v="29173"/>
    <x v="3"/>
    <n v="0.14199999999999999"/>
    <x v="5"/>
    <s v="Mortgaged"/>
    <n v="12"/>
    <n v="3"/>
    <s v="Yes"/>
    <s v="No"/>
    <x v="1"/>
    <n v="104375"/>
    <x v="669"/>
    <x v="23"/>
    <x v="567"/>
    <x v="0"/>
    <x v="0"/>
    <x v="0"/>
  </r>
  <r>
    <x v="671"/>
    <s v="Robert Vasquez"/>
    <x v="22"/>
    <x v="1"/>
    <x v="3"/>
    <s v="PhD"/>
    <x v="0"/>
    <n v="112091"/>
    <n v="666"/>
    <n v="21553"/>
    <x v="2"/>
    <n v="0.10300000000000001"/>
    <x v="3"/>
    <s v="Rented"/>
    <n v="9"/>
    <n v="4"/>
    <s v="Yes"/>
    <s v="Yes"/>
    <x v="0"/>
    <n v="141558"/>
    <x v="670"/>
    <x v="35"/>
    <x v="31"/>
    <x v="1"/>
    <x v="0"/>
    <x v="0"/>
  </r>
  <r>
    <x v="672"/>
    <s v="Deborah Maddox"/>
    <x v="43"/>
    <x v="0"/>
    <x v="1"/>
    <s v="Graduate"/>
    <x v="2"/>
    <n v="93953"/>
    <n v="665"/>
    <n v="23485"/>
    <x v="2"/>
    <n v="0.15109999999999998"/>
    <x v="1"/>
    <s v="Rented"/>
    <n v="7"/>
    <n v="4"/>
    <s v="Yes"/>
    <s v="Yes"/>
    <x v="3"/>
    <n v="36806"/>
    <x v="671"/>
    <x v="28"/>
    <x v="568"/>
    <x v="1"/>
    <x v="0"/>
    <x v="0"/>
  </r>
  <r>
    <x v="673"/>
    <s v="Jeffrey Boyd"/>
    <x v="26"/>
    <x v="0"/>
    <x v="3"/>
    <s v="Graduate"/>
    <x v="0"/>
    <n v="66761"/>
    <n v="665"/>
    <n v="28350"/>
    <x v="2"/>
    <n v="0.13089999999999999"/>
    <x v="3"/>
    <s v="Owned"/>
    <n v="22"/>
    <n v="3"/>
    <s v="Yes"/>
    <s v="No"/>
    <x v="2"/>
    <n v="82372"/>
    <x v="672"/>
    <x v="46"/>
    <x v="569"/>
    <x v="0"/>
    <x v="0"/>
    <x v="0"/>
  </r>
  <r>
    <x v="674"/>
    <s v="Richard Lee"/>
    <x v="15"/>
    <x v="1"/>
    <x v="3"/>
    <s v="Postgraduate"/>
    <x v="0"/>
    <n v="69961"/>
    <n v="665"/>
    <n v="37527"/>
    <x v="2"/>
    <n v="0.10949999999999999"/>
    <x v="0"/>
    <s v="Mortgaged"/>
    <n v="7"/>
    <n v="1"/>
    <s v="No"/>
    <s v="No"/>
    <x v="2"/>
    <n v="32853"/>
    <x v="673"/>
    <x v="20"/>
    <x v="172"/>
    <x v="0"/>
    <x v="0"/>
    <x v="0"/>
  </r>
  <r>
    <x v="675"/>
    <s v="Lindsey Green"/>
    <x v="0"/>
    <x v="1"/>
    <x v="0"/>
    <s v="Graduate"/>
    <x v="0"/>
    <n v="83600"/>
    <n v="665"/>
    <n v="28632"/>
    <x v="2"/>
    <n v="7.6600000000000001E-2"/>
    <x v="3"/>
    <s v="Rented"/>
    <n v="22"/>
    <n v="0"/>
    <s v="No"/>
    <s v="No"/>
    <x v="1"/>
    <n v="169325"/>
    <x v="674"/>
    <x v="29"/>
    <x v="365"/>
    <x v="0"/>
    <x v="1"/>
    <x v="0"/>
  </r>
  <r>
    <x v="676"/>
    <s v="Rebecca Gomez"/>
    <x v="16"/>
    <x v="0"/>
    <x v="3"/>
    <s v="Postgraduate"/>
    <x v="2"/>
    <n v="147904"/>
    <n v="664"/>
    <n v="49043"/>
    <x v="4"/>
    <n v="0.17670000000000002"/>
    <x v="2"/>
    <s v="Owned"/>
    <n v="21"/>
    <n v="1"/>
    <s v="No"/>
    <s v="No"/>
    <x v="4"/>
    <n v="141727"/>
    <x v="675"/>
    <x v="85"/>
    <x v="165"/>
    <x v="1"/>
    <x v="0"/>
    <x v="0"/>
  </r>
  <r>
    <x v="677"/>
    <s v="Tanya Waters"/>
    <x v="28"/>
    <x v="1"/>
    <x v="2"/>
    <s v="Graduate"/>
    <x v="0"/>
    <n v="144357"/>
    <n v="664"/>
    <n v="22446"/>
    <x v="0"/>
    <n v="0.14929999999999999"/>
    <x v="2"/>
    <s v="Mortgaged"/>
    <n v="12"/>
    <n v="1"/>
    <s v="No"/>
    <s v="No"/>
    <x v="4"/>
    <n v="106226"/>
    <x v="676"/>
    <x v="49"/>
    <x v="570"/>
    <x v="1"/>
    <x v="0"/>
    <x v="0"/>
  </r>
  <r>
    <x v="678"/>
    <s v="Thomas Lopez"/>
    <x v="20"/>
    <x v="0"/>
    <x v="2"/>
    <s v="Postgraduate"/>
    <x v="1"/>
    <n v="84919"/>
    <n v="664"/>
    <n v="48700"/>
    <x v="0"/>
    <n v="5.8099999999999999E-2"/>
    <x v="1"/>
    <s v="Owned"/>
    <n v="19"/>
    <n v="1"/>
    <s v="No"/>
    <s v="No"/>
    <x v="0"/>
    <n v="186073"/>
    <x v="677"/>
    <x v="77"/>
    <x v="526"/>
    <x v="1"/>
    <x v="0"/>
    <x v="0"/>
  </r>
  <r>
    <x v="679"/>
    <s v="Nichole Garcia"/>
    <x v="7"/>
    <x v="0"/>
    <x v="2"/>
    <s v="Postgraduate"/>
    <x v="2"/>
    <n v="30100"/>
    <n v="664"/>
    <n v="48396"/>
    <x v="4"/>
    <n v="0.14180000000000001"/>
    <x v="4"/>
    <s v="Mortgaged"/>
    <n v="1"/>
    <n v="1"/>
    <s v="No"/>
    <s v="Yes"/>
    <x v="1"/>
    <n v="99976"/>
    <x v="678"/>
    <x v="83"/>
    <x v="501"/>
    <x v="0"/>
    <x v="1"/>
    <x v="0"/>
  </r>
  <r>
    <x v="680"/>
    <s v="Marilyn Baker MD"/>
    <x v="43"/>
    <x v="0"/>
    <x v="2"/>
    <s v="High School"/>
    <x v="2"/>
    <n v="113650"/>
    <n v="664"/>
    <n v="23191"/>
    <x v="4"/>
    <n v="5.9200000000000003E-2"/>
    <x v="1"/>
    <s v="Rented"/>
    <n v="2"/>
    <n v="4"/>
    <s v="Yes"/>
    <s v="No"/>
    <x v="2"/>
    <n v="20378"/>
    <x v="679"/>
    <x v="10"/>
    <x v="571"/>
    <x v="1"/>
    <x v="1"/>
    <x v="0"/>
  </r>
  <r>
    <x v="681"/>
    <s v="Laura Thomas"/>
    <x v="3"/>
    <x v="0"/>
    <x v="1"/>
    <s v="High School"/>
    <x v="1"/>
    <n v="103569"/>
    <n v="664"/>
    <n v="31328"/>
    <x v="1"/>
    <n v="7.2599999999999998E-2"/>
    <x v="0"/>
    <s v="Owned"/>
    <n v="9"/>
    <n v="0"/>
    <s v="Yes"/>
    <s v="No"/>
    <x v="4"/>
    <n v="151068"/>
    <x v="680"/>
    <x v="26"/>
    <x v="82"/>
    <x v="1"/>
    <x v="1"/>
    <x v="0"/>
  </r>
  <r>
    <x v="682"/>
    <s v="Carol Barnett"/>
    <x v="32"/>
    <x v="1"/>
    <x v="2"/>
    <s v="Graduate"/>
    <x v="3"/>
    <n v="58032"/>
    <n v="664"/>
    <n v="7439"/>
    <x v="0"/>
    <n v="0.1447"/>
    <x v="0"/>
    <s v="Owned"/>
    <n v="10"/>
    <n v="3"/>
    <s v="Yes"/>
    <s v="No"/>
    <x v="1"/>
    <n v="193470"/>
    <x v="681"/>
    <x v="78"/>
    <x v="572"/>
    <x v="0"/>
    <x v="0"/>
    <x v="0"/>
  </r>
  <r>
    <x v="683"/>
    <s v="Robin Williams"/>
    <x v="2"/>
    <x v="0"/>
    <x v="1"/>
    <s v="Graduate"/>
    <x v="0"/>
    <n v="89603"/>
    <n v="663"/>
    <n v="8614"/>
    <x v="4"/>
    <n v="0.17670000000000002"/>
    <x v="5"/>
    <s v="Rented"/>
    <n v="28"/>
    <n v="1"/>
    <s v="No"/>
    <s v="No"/>
    <x v="1"/>
    <n v="41864"/>
    <x v="682"/>
    <x v="64"/>
    <x v="343"/>
    <x v="1"/>
    <x v="0"/>
    <x v="0"/>
  </r>
  <r>
    <x v="684"/>
    <s v="Margaret Jones"/>
    <x v="5"/>
    <x v="1"/>
    <x v="1"/>
    <s v="Postgraduate"/>
    <x v="0"/>
    <n v="115041"/>
    <n v="663"/>
    <n v="21505"/>
    <x v="4"/>
    <n v="0.10630000000000001"/>
    <x v="2"/>
    <s v="Rented"/>
    <n v="4"/>
    <n v="0"/>
    <s v="No"/>
    <s v="No"/>
    <x v="3"/>
    <n v="160302"/>
    <x v="683"/>
    <x v="49"/>
    <x v="573"/>
    <x v="0"/>
    <x v="0"/>
    <x v="0"/>
  </r>
  <r>
    <x v="685"/>
    <s v="Kim Moore"/>
    <x v="34"/>
    <x v="0"/>
    <x v="3"/>
    <s v="Postgraduate"/>
    <x v="2"/>
    <n v="49283"/>
    <n v="663"/>
    <n v="11807"/>
    <x v="2"/>
    <n v="0.115"/>
    <x v="2"/>
    <s v="Rented"/>
    <n v="3"/>
    <n v="2"/>
    <s v="Yes"/>
    <s v="Yes"/>
    <x v="4"/>
    <n v="45600"/>
    <x v="684"/>
    <x v="16"/>
    <x v="574"/>
    <x v="0"/>
    <x v="0"/>
    <x v="0"/>
  </r>
  <r>
    <x v="686"/>
    <s v="Megan Brennan"/>
    <x v="42"/>
    <x v="1"/>
    <x v="1"/>
    <s v="Postgraduate"/>
    <x v="1"/>
    <n v="40187"/>
    <n v="663"/>
    <n v="3010"/>
    <x v="1"/>
    <n v="7.2300000000000003E-2"/>
    <x v="0"/>
    <s v="Owned"/>
    <n v="7"/>
    <n v="4"/>
    <s v="Yes"/>
    <s v="No"/>
    <x v="1"/>
    <n v="126908"/>
    <x v="685"/>
    <x v="27"/>
    <x v="502"/>
    <x v="0"/>
    <x v="1"/>
    <x v="0"/>
  </r>
  <r>
    <x v="687"/>
    <s v="Jonathon Harrington"/>
    <x v="35"/>
    <x v="0"/>
    <x v="3"/>
    <s v="Postgraduate"/>
    <x v="0"/>
    <n v="33231"/>
    <n v="663"/>
    <n v="19280"/>
    <x v="0"/>
    <n v="0.1709"/>
    <x v="1"/>
    <s v="Rented"/>
    <n v="16"/>
    <n v="1"/>
    <s v="No"/>
    <s v="No"/>
    <x v="4"/>
    <n v="167906"/>
    <x v="686"/>
    <x v="68"/>
    <x v="575"/>
    <x v="0"/>
    <x v="0"/>
    <x v="0"/>
  </r>
  <r>
    <x v="688"/>
    <s v="Kevin Carter"/>
    <x v="32"/>
    <x v="1"/>
    <x v="2"/>
    <s v="Postgraduate"/>
    <x v="1"/>
    <n v="139622"/>
    <n v="662"/>
    <n v="34356"/>
    <x v="0"/>
    <n v="9.9499999999999991E-2"/>
    <x v="5"/>
    <s v="Owned"/>
    <n v="8"/>
    <n v="1"/>
    <s v="Yes"/>
    <s v="No"/>
    <x v="4"/>
    <n v="131469"/>
    <x v="687"/>
    <x v="44"/>
    <x v="576"/>
    <x v="0"/>
    <x v="0"/>
    <x v="0"/>
  </r>
  <r>
    <x v="689"/>
    <s v="David Fletcher"/>
    <x v="43"/>
    <x v="0"/>
    <x v="0"/>
    <s v="High School"/>
    <x v="0"/>
    <n v="38316"/>
    <n v="662"/>
    <n v="41639"/>
    <x v="2"/>
    <n v="9.8599999999999993E-2"/>
    <x v="0"/>
    <s v="Owned"/>
    <n v="26"/>
    <n v="0"/>
    <s v="No"/>
    <s v="No"/>
    <x v="4"/>
    <n v="115458"/>
    <x v="688"/>
    <x v="5"/>
    <x v="577"/>
    <x v="1"/>
    <x v="1"/>
    <x v="0"/>
  </r>
  <r>
    <x v="690"/>
    <s v="Michael Church"/>
    <x v="32"/>
    <x v="0"/>
    <x v="3"/>
    <s v="Graduate"/>
    <x v="3"/>
    <n v="123262"/>
    <n v="662"/>
    <n v="44978"/>
    <x v="0"/>
    <n v="0.16519999999999999"/>
    <x v="4"/>
    <s v="Rented"/>
    <n v="16"/>
    <n v="3"/>
    <s v="No"/>
    <s v="Yes"/>
    <x v="1"/>
    <n v="13269"/>
    <x v="689"/>
    <x v="11"/>
    <x v="451"/>
    <x v="1"/>
    <x v="0"/>
    <x v="0"/>
  </r>
  <r>
    <x v="691"/>
    <s v="Joshua Harrison"/>
    <x v="28"/>
    <x v="1"/>
    <x v="2"/>
    <s v="High School"/>
    <x v="2"/>
    <n v="73028"/>
    <n v="661"/>
    <n v="4060"/>
    <x v="1"/>
    <n v="0.1857"/>
    <x v="4"/>
    <s v="Owned"/>
    <n v="14"/>
    <n v="2"/>
    <s v="Yes"/>
    <s v="Yes"/>
    <x v="2"/>
    <n v="120956"/>
    <x v="690"/>
    <x v="13"/>
    <x v="578"/>
    <x v="0"/>
    <x v="0"/>
    <x v="0"/>
  </r>
  <r>
    <x v="692"/>
    <s v="Kenneth Cox"/>
    <x v="1"/>
    <x v="0"/>
    <x v="1"/>
    <s v="Postgraduate"/>
    <x v="2"/>
    <n v="138017"/>
    <n v="661"/>
    <n v="9221"/>
    <x v="0"/>
    <n v="0.14050000000000001"/>
    <x v="3"/>
    <s v="Mortgaged"/>
    <n v="21"/>
    <n v="0"/>
    <s v="No"/>
    <s v="Yes"/>
    <x v="4"/>
    <n v="186891"/>
    <x v="691"/>
    <x v="20"/>
    <x v="345"/>
    <x v="0"/>
    <x v="1"/>
    <x v="0"/>
  </r>
  <r>
    <x v="693"/>
    <s v="Maria Hansen"/>
    <x v="2"/>
    <x v="1"/>
    <x v="1"/>
    <s v="High School"/>
    <x v="1"/>
    <n v="40655"/>
    <n v="660"/>
    <n v="3808"/>
    <x v="4"/>
    <n v="0.18260000000000001"/>
    <x v="3"/>
    <s v="Mortgaged"/>
    <n v="8"/>
    <n v="0"/>
    <s v="No"/>
    <s v="Yes"/>
    <x v="1"/>
    <n v="98548"/>
    <x v="692"/>
    <x v="51"/>
    <x v="393"/>
    <x v="1"/>
    <x v="0"/>
    <x v="0"/>
  </r>
  <r>
    <x v="694"/>
    <s v="Amy Coleman"/>
    <x v="3"/>
    <x v="1"/>
    <x v="0"/>
    <s v="PhD"/>
    <x v="2"/>
    <n v="55757"/>
    <n v="660"/>
    <n v="24279"/>
    <x v="4"/>
    <n v="0.17180000000000001"/>
    <x v="4"/>
    <s v="Mortgaged"/>
    <n v="24"/>
    <n v="2"/>
    <s v="Yes"/>
    <s v="Yes"/>
    <x v="2"/>
    <n v="61907"/>
    <x v="693"/>
    <x v="2"/>
    <x v="579"/>
    <x v="1"/>
    <x v="0"/>
    <x v="0"/>
  </r>
  <r>
    <x v="695"/>
    <s v="Jacob Love"/>
    <x v="27"/>
    <x v="1"/>
    <x v="0"/>
    <s v="Postgraduate"/>
    <x v="0"/>
    <n v="149263"/>
    <n v="659"/>
    <n v="7961"/>
    <x v="0"/>
    <n v="0.1638"/>
    <x v="5"/>
    <s v="Rented"/>
    <n v="20"/>
    <n v="1"/>
    <s v="No"/>
    <s v="Yes"/>
    <x v="0"/>
    <n v="120347"/>
    <x v="694"/>
    <x v="36"/>
    <x v="258"/>
    <x v="0"/>
    <x v="1"/>
    <x v="0"/>
  </r>
  <r>
    <x v="696"/>
    <s v="John Washington"/>
    <x v="22"/>
    <x v="1"/>
    <x v="2"/>
    <s v="Graduate"/>
    <x v="1"/>
    <n v="138647"/>
    <n v="658"/>
    <n v="20199"/>
    <x v="2"/>
    <n v="0.15130000000000002"/>
    <x v="3"/>
    <s v="Rented"/>
    <n v="22"/>
    <n v="4"/>
    <s v="No"/>
    <s v="Yes"/>
    <x v="1"/>
    <n v="166585"/>
    <x v="695"/>
    <x v="69"/>
    <x v="580"/>
    <x v="0"/>
    <x v="1"/>
    <x v="0"/>
  </r>
  <r>
    <x v="697"/>
    <s v="Tamara Blair"/>
    <x v="21"/>
    <x v="0"/>
    <x v="1"/>
    <s v="PhD"/>
    <x v="1"/>
    <n v="138764"/>
    <n v="658"/>
    <n v="36999"/>
    <x v="3"/>
    <n v="0.17120000000000002"/>
    <x v="2"/>
    <s v="Rented"/>
    <n v="23"/>
    <n v="3"/>
    <s v="Yes"/>
    <s v="Yes"/>
    <x v="1"/>
    <n v="14665"/>
    <x v="696"/>
    <x v="27"/>
    <x v="581"/>
    <x v="1"/>
    <x v="0"/>
    <x v="0"/>
  </r>
  <r>
    <x v="698"/>
    <s v="Jeffery Nicholson"/>
    <x v="36"/>
    <x v="0"/>
    <x v="0"/>
    <s v="Postgraduate"/>
    <x v="3"/>
    <n v="22251"/>
    <n v="658"/>
    <n v="35674"/>
    <x v="0"/>
    <n v="0.19159999999999999"/>
    <x v="1"/>
    <s v="Owned"/>
    <n v="6"/>
    <n v="0"/>
    <s v="Yes"/>
    <s v="Yes"/>
    <x v="2"/>
    <n v="18426"/>
    <x v="697"/>
    <x v="42"/>
    <x v="582"/>
    <x v="1"/>
    <x v="0"/>
    <x v="0"/>
  </r>
  <r>
    <x v="699"/>
    <s v="Kathleen Nguyen"/>
    <x v="6"/>
    <x v="0"/>
    <x v="0"/>
    <s v="High School"/>
    <x v="0"/>
    <n v="60097"/>
    <n v="658"/>
    <n v="31226"/>
    <x v="2"/>
    <n v="0.11269999999999999"/>
    <x v="2"/>
    <s v="Owned"/>
    <n v="5"/>
    <n v="3"/>
    <s v="No"/>
    <s v="No"/>
    <x v="2"/>
    <n v="23068"/>
    <x v="698"/>
    <x v="84"/>
    <x v="583"/>
    <x v="1"/>
    <x v="0"/>
    <x v="0"/>
  </r>
  <r>
    <x v="700"/>
    <s v="Michelle Peck"/>
    <x v="9"/>
    <x v="0"/>
    <x v="1"/>
    <s v="Graduate"/>
    <x v="3"/>
    <n v="77265"/>
    <n v="658"/>
    <n v="12805"/>
    <x v="3"/>
    <n v="0.16620000000000001"/>
    <x v="1"/>
    <s v="Owned"/>
    <n v="14"/>
    <n v="3"/>
    <s v="No"/>
    <s v="Yes"/>
    <x v="4"/>
    <n v="41456"/>
    <x v="699"/>
    <x v="37"/>
    <x v="584"/>
    <x v="1"/>
    <x v="1"/>
    <x v="0"/>
  </r>
  <r>
    <x v="701"/>
    <s v="David Wright"/>
    <x v="22"/>
    <x v="1"/>
    <x v="2"/>
    <s v="Postgraduate"/>
    <x v="3"/>
    <n v="140721"/>
    <n v="658"/>
    <n v="37051"/>
    <x v="1"/>
    <n v="0.1966"/>
    <x v="2"/>
    <s v="Rented"/>
    <n v="1"/>
    <n v="2"/>
    <s v="No"/>
    <s v="Yes"/>
    <x v="2"/>
    <n v="132566"/>
    <x v="700"/>
    <x v="43"/>
    <x v="585"/>
    <x v="0"/>
    <x v="0"/>
    <x v="0"/>
  </r>
  <r>
    <x v="702"/>
    <s v="Bradley Clark"/>
    <x v="2"/>
    <x v="0"/>
    <x v="0"/>
    <s v="PhD"/>
    <x v="0"/>
    <n v="71153"/>
    <n v="658"/>
    <n v="11139"/>
    <x v="0"/>
    <n v="0.17800000000000002"/>
    <x v="5"/>
    <s v="Rented"/>
    <n v="12"/>
    <n v="2"/>
    <s v="No"/>
    <s v="No"/>
    <x v="3"/>
    <n v="22169"/>
    <x v="701"/>
    <x v="70"/>
    <x v="63"/>
    <x v="0"/>
    <x v="0"/>
    <x v="0"/>
  </r>
  <r>
    <x v="703"/>
    <s v="Latoya Stephens"/>
    <x v="34"/>
    <x v="1"/>
    <x v="3"/>
    <s v="Postgraduate"/>
    <x v="2"/>
    <n v="69112"/>
    <n v="658"/>
    <n v="3696"/>
    <x v="4"/>
    <n v="6.480000000000001E-2"/>
    <x v="3"/>
    <s v="Rented"/>
    <n v="27"/>
    <n v="3"/>
    <s v="No"/>
    <s v="Yes"/>
    <x v="3"/>
    <n v="142585"/>
    <x v="702"/>
    <x v="83"/>
    <x v="146"/>
    <x v="1"/>
    <x v="0"/>
    <x v="0"/>
  </r>
  <r>
    <x v="704"/>
    <s v="Christopher Frazier"/>
    <x v="29"/>
    <x v="0"/>
    <x v="1"/>
    <s v="PhD"/>
    <x v="0"/>
    <n v="91218"/>
    <n v="656"/>
    <n v="11489"/>
    <x v="4"/>
    <n v="6.5000000000000002E-2"/>
    <x v="4"/>
    <s v="Owned"/>
    <n v="10"/>
    <n v="1"/>
    <s v="Yes"/>
    <s v="No"/>
    <x v="0"/>
    <n v="13144"/>
    <x v="703"/>
    <x v="20"/>
    <x v="586"/>
    <x v="0"/>
    <x v="0"/>
    <x v="0"/>
  </r>
  <r>
    <x v="705"/>
    <s v="Adam Mendoza"/>
    <x v="0"/>
    <x v="0"/>
    <x v="2"/>
    <s v="PhD"/>
    <x v="2"/>
    <n v="33703"/>
    <n v="656"/>
    <n v="25021"/>
    <x v="0"/>
    <n v="0.19219999999999998"/>
    <x v="2"/>
    <s v="Rented"/>
    <n v="19"/>
    <n v="2"/>
    <s v="Yes"/>
    <s v="Yes"/>
    <x v="3"/>
    <n v="34699"/>
    <x v="704"/>
    <x v="62"/>
    <x v="587"/>
    <x v="1"/>
    <x v="1"/>
    <x v="0"/>
  </r>
  <r>
    <x v="706"/>
    <s v="Morgan Turner"/>
    <x v="13"/>
    <x v="1"/>
    <x v="1"/>
    <s v="PhD"/>
    <x v="3"/>
    <n v="121839"/>
    <n v="655"/>
    <n v="24482"/>
    <x v="0"/>
    <n v="0.182"/>
    <x v="5"/>
    <s v="Owned"/>
    <n v="8"/>
    <n v="0"/>
    <s v="No"/>
    <s v="No"/>
    <x v="3"/>
    <n v="77652"/>
    <x v="705"/>
    <x v="22"/>
    <x v="344"/>
    <x v="0"/>
    <x v="1"/>
    <x v="0"/>
  </r>
  <r>
    <x v="707"/>
    <s v="Eric Keith"/>
    <x v="21"/>
    <x v="0"/>
    <x v="3"/>
    <s v="High School"/>
    <x v="3"/>
    <n v="137743"/>
    <n v="655"/>
    <n v="3429"/>
    <x v="3"/>
    <n v="0.17829999999999999"/>
    <x v="4"/>
    <s v="Owned"/>
    <n v="15"/>
    <n v="0"/>
    <s v="Yes"/>
    <s v="Yes"/>
    <x v="3"/>
    <n v="140435"/>
    <x v="706"/>
    <x v="65"/>
    <x v="588"/>
    <x v="0"/>
    <x v="0"/>
    <x v="0"/>
  </r>
  <r>
    <x v="708"/>
    <s v="Karen Baker"/>
    <x v="40"/>
    <x v="0"/>
    <x v="1"/>
    <s v="High School"/>
    <x v="3"/>
    <n v="80231"/>
    <n v="655"/>
    <n v="15610"/>
    <x v="4"/>
    <n v="0.1641"/>
    <x v="0"/>
    <s v="Rented"/>
    <n v="20"/>
    <n v="4"/>
    <s v="Yes"/>
    <s v="Yes"/>
    <x v="4"/>
    <n v="143603"/>
    <x v="707"/>
    <x v="13"/>
    <x v="251"/>
    <x v="1"/>
    <x v="1"/>
    <x v="0"/>
  </r>
  <r>
    <x v="709"/>
    <s v="Phillip Sanchez"/>
    <x v="26"/>
    <x v="0"/>
    <x v="2"/>
    <s v="Graduate"/>
    <x v="1"/>
    <n v="40104"/>
    <n v="655"/>
    <n v="16021"/>
    <x v="2"/>
    <n v="5.2999999999999999E-2"/>
    <x v="4"/>
    <s v="Owned"/>
    <n v="1"/>
    <n v="3"/>
    <s v="Yes"/>
    <s v="No"/>
    <x v="1"/>
    <n v="50141"/>
    <x v="708"/>
    <x v="88"/>
    <x v="589"/>
    <x v="0"/>
    <x v="1"/>
    <x v="0"/>
  </r>
  <r>
    <x v="710"/>
    <s v="Doris Mcconnell"/>
    <x v="28"/>
    <x v="0"/>
    <x v="0"/>
    <s v="High School"/>
    <x v="2"/>
    <n v="41304"/>
    <n v="655"/>
    <n v="27943"/>
    <x v="1"/>
    <n v="0.18160000000000001"/>
    <x v="5"/>
    <s v="Mortgaged"/>
    <n v="18"/>
    <n v="4"/>
    <s v="Yes"/>
    <s v="Yes"/>
    <x v="2"/>
    <n v="54588"/>
    <x v="709"/>
    <x v="61"/>
    <x v="64"/>
    <x v="0"/>
    <x v="1"/>
    <x v="0"/>
  </r>
  <r>
    <x v="711"/>
    <s v="Joseph Romero"/>
    <x v="42"/>
    <x v="0"/>
    <x v="0"/>
    <s v="Postgraduate"/>
    <x v="1"/>
    <n v="85305"/>
    <n v="655"/>
    <n v="37903"/>
    <x v="2"/>
    <n v="0.1406"/>
    <x v="2"/>
    <s v="Rented"/>
    <n v="24"/>
    <n v="0"/>
    <s v="Yes"/>
    <s v="Yes"/>
    <x v="2"/>
    <n v="185135"/>
    <x v="710"/>
    <x v="17"/>
    <x v="590"/>
    <x v="1"/>
    <x v="0"/>
    <x v="0"/>
  </r>
  <r>
    <x v="712"/>
    <s v="Kelly Armstrong"/>
    <x v="24"/>
    <x v="1"/>
    <x v="0"/>
    <s v="Graduate"/>
    <x v="3"/>
    <n v="136908"/>
    <n v="655"/>
    <n v="35617"/>
    <x v="3"/>
    <n v="0.17910000000000001"/>
    <x v="4"/>
    <s v="Owned"/>
    <n v="24"/>
    <n v="2"/>
    <s v="Yes"/>
    <s v="No"/>
    <x v="2"/>
    <n v="39237"/>
    <x v="711"/>
    <x v="85"/>
    <x v="591"/>
    <x v="0"/>
    <x v="0"/>
    <x v="0"/>
  </r>
  <r>
    <x v="713"/>
    <s v="Andrew Miller"/>
    <x v="38"/>
    <x v="1"/>
    <x v="3"/>
    <s v="High School"/>
    <x v="0"/>
    <n v="69833"/>
    <n v="654"/>
    <n v="19740"/>
    <x v="4"/>
    <n v="0.14279999999999998"/>
    <x v="0"/>
    <s v="Mortgaged"/>
    <n v="20"/>
    <n v="3"/>
    <s v="Yes"/>
    <s v="Yes"/>
    <x v="2"/>
    <n v="110261"/>
    <x v="712"/>
    <x v="61"/>
    <x v="592"/>
    <x v="0"/>
    <x v="0"/>
    <x v="0"/>
  </r>
  <r>
    <x v="714"/>
    <s v="Thomas Harris"/>
    <x v="35"/>
    <x v="1"/>
    <x v="0"/>
    <s v="High School"/>
    <x v="1"/>
    <n v="35043"/>
    <n v="654"/>
    <n v="49282"/>
    <x v="4"/>
    <n v="0.18390000000000001"/>
    <x v="4"/>
    <s v="Owned"/>
    <n v="17"/>
    <n v="4"/>
    <s v="Yes"/>
    <s v="No"/>
    <x v="3"/>
    <n v="197822"/>
    <x v="713"/>
    <x v="34"/>
    <x v="593"/>
    <x v="0"/>
    <x v="0"/>
    <x v="0"/>
  </r>
  <r>
    <x v="715"/>
    <s v="Matthew Ross"/>
    <x v="36"/>
    <x v="1"/>
    <x v="1"/>
    <s v="Graduate"/>
    <x v="1"/>
    <n v="82888"/>
    <n v="653"/>
    <n v="27490"/>
    <x v="4"/>
    <n v="7.5199999999999989E-2"/>
    <x v="0"/>
    <s v="Rented"/>
    <n v="19"/>
    <n v="1"/>
    <s v="Yes"/>
    <s v="No"/>
    <x v="4"/>
    <n v="43923"/>
    <x v="714"/>
    <x v="11"/>
    <x v="594"/>
    <x v="0"/>
    <x v="1"/>
    <x v="0"/>
  </r>
  <r>
    <x v="716"/>
    <s v="Alexander Johnson"/>
    <x v="21"/>
    <x v="0"/>
    <x v="0"/>
    <s v="PhD"/>
    <x v="0"/>
    <n v="146277"/>
    <n v="653"/>
    <n v="27415"/>
    <x v="2"/>
    <n v="5.5500000000000001E-2"/>
    <x v="4"/>
    <s v="Mortgaged"/>
    <n v="13"/>
    <n v="1"/>
    <s v="No"/>
    <s v="No"/>
    <x v="4"/>
    <n v="91796"/>
    <x v="715"/>
    <x v="38"/>
    <x v="595"/>
    <x v="0"/>
    <x v="1"/>
    <x v="0"/>
  </r>
  <r>
    <x v="717"/>
    <s v="Jennifer Hill"/>
    <x v="30"/>
    <x v="1"/>
    <x v="3"/>
    <s v="Graduate"/>
    <x v="0"/>
    <n v="116557"/>
    <n v="653"/>
    <n v="9266"/>
    <x v="2"/>
    <n v="0.1057"/>
    <x v="5"/>
    <s v="Owned"/>
    <n v="12"/>
    <n v="4"/>
    <s v="Yes"/>
    <s v="Yes"/>
    <x v="0"/>
    <n v="30897"/>
    <x v="716"/>
    <x v="90"/>
    <x v="380"/>
    <x v="1"/>
    <x v="0"/>
    <x v="0"/>
  </r>
  <r>
    <x v="718"/>
    <s v="Grace Anderson"/>
    <x v="30"/>
    <x v="1"/>
    <x v="3"/>
    <s v="Postgraduate"/>
    <x v="1"/>
    <n v="41498"/>
    <n v="653"/>
    <n v="39976"/>
    <x v="2"/>
    <n v="5.6799999999999996E-2"/>
    <x v="3"/>
    <s v="Owned"/>
    <n v="29"/>
    <n v="2"/>
    <s v="No"/>
    <s v="No"/>
    <x v="1"/>
    <n v="179410"/>
    <x v="717"/>
    <x v="24"/>
    <x v="596"/>
    <x v="1"/>
    <x v="0"/>
    <x v="0"/>
  </r>
  <r>
    <x v="719"/>
    <s v="Steven Lee"/>
    <x v="6"/>
    <x v="1"/>
    <x v="1"/>
    <s v="PhD"/>
    <x v="2"/>
    <n v="138645"/>
    <n v="652"/>
    <n v="30486"/>
    <x v="3"/>
    <n v="0.18350000000000002"/>
    <x v="3"/>
    <s v="Owned"/>
    <n v="21"/>
    <n v="1"/>
    <s v="Yes"/>
    <s v="No"/>
    <x v="4"/>
    <n v="38741"/>
    <x v="718"/>
    <x v="82"/>
    <x v="339"/>
    <x v="1"/>
    <x v="0"/>
    <x v="0"/>
  </r>
  <r>
    <x v="720"/>
    <s v="Lynn Bailey"/>
    <x v="16"/>
    <x v="0"/>
    <x v="0"/>
    <s v="High School"/>
    <x v="3"/>
    <n v="88369"/>
    <n v="652"/>
    <n v="43039"/>
    <x v="1"/>
    <n v="0.11109999999999999"/>
    <x v="2"/>
    <s v="Mortgaged"/>
    <n v="26"/>
    <n v="0"/>
    <s v="No"/>
    <s v="Yes"/>
    <x v="0"/>
    <n v="78880"/>
    <x v="719"/>
    <x v="78"/>
    <x v="597"/>
    <x v="0"/>
    <x v="1"/>
    <x v="0"/>
  </r>
  <r>
    <x v="721"/>
    <s v="Wendy Alexander"/>
    <x v="29"/>
    <x v="0"/>
    <x v="0"/>
    <s v="PhD"/>
    <x v="1"/>
    <n v="148564"/>
    <n v="652"/>
    <n v="34607"/>
    <x v="4"/>
    <n v="6.0499999999999998E-2"/>
    <x v="0"/>
    <s v="Rented"/>
    <n v="16"/>
    <n v="2"/>
    <s v="No"/>
    <s v="Yes"/>
    <x v="1"/>
    <n v="179431"/>
    <x v="720"/>
    <x v="60"/>
    <x v="239"/>
    <x v="1"/>
    <x v="0"/>
    <x v="0"/>
  </r>
  <r>
    <x v="722"/>
    <s v="Christopher Gonzalez"/>
    <x v="43"/>
    <x v="0"/>
    <x v="1"/>
    <s v="Postgraduate"/>
    <x v="2"/>
    <n v="23513"/>
    <n v="652"/>
    <n v="33269"/>
    <x v="1"/>
    <n v="6.1799999999999994E-2"/>
    <x v="0"/>
    <s v="Mortgaged"/>
    <n v="14"/>
    <n v="3"/>
    <s v="No"/>
    <s v="No"/>
    <x v="4"/>
    <n v="25811"/>
    <x v="721"/>
    <x v="19"/>
    <x v="381"/>
    <x v="1"/>
    <x v="0"/>
    <x v="0"/>
  </r>
  <r>
    <x v="723"/>
    <s v="David Washington"/>
    <x v="20"/>
    <x v="1"/>
    <x v="2"/>
    <s v="Postgraduate"/>
    <x v="2"/>
    <n v="62399"/>
    <n v="652"/>
    <n v="1615"/>
    <x v="1"/>
    <n v="6.8099999999999994E-2"/>
    <x v="4"/>
    <s v="Owned"/>
    <n v="14"/>
    <n v="2"/>
    <s v="Yes"/>
    <s v="Yes"/>
    <x v="4"/>
    <n v="38731"/>
    <x v="722"/>
    <x v="51"/>
    <x v="598"/>
    <x v="1"/>
    <x v="0"/>
    <x v="0"/>
  </r>
  <r>
    <x v="724"/>
    <s v="Jacob Todd"/>
    <x v="41"/>
    <x v="0"/>
    <x v="1"/>
    <s v="Graduate"/>
    <x v="0"/>
    <n v="134296"/>
    <n v="652"/>
    <n v="37446"/>
    <x v="4"/>
    <n v="0.19800000000000001"/>
    <x v="3"/>
    <s v="Owned"/>
    <n v="18"/>
    <n v="2"/>
    <s v="No"/>
    <s v="Yes"/>
    <x v="3"/>
    <n v="62358"/>
    <x v="723"/>
    <x v="37"/>
    <x v="599"/>
    <x v="1"/>
    <x v="0"/>
    <x v="0"/>
  </r>
  <r>
    <x v="725"/>
    <s v="Luke Petersen"/>
    <x v="0"/>
    <x v="0"/>
    <x v="2"/>
    <s v="PhD"/>
    <x v="3"/>
    <n v="54808"/>
    <n v="651"/>
    <n v="17427"/>
    <x v="0"/>
    <n v="0.14400000000000002"/>
    <x v="3"/>
    <s v="Owned"/>
    <n v="24"/>
    <n v="1"/>
    <s v="Yes"/>
    <s v="Yes"/>
    <x v="1"/>
    <n v="97216"/>
    <x v="724"/>
    <x v="33"/>
    <x v="157"/>
    <x v="0"/>
    <x v="0"/>
    <x v="0"/>
  </r>
  <r>
    <x v="726"/>
    <s v="Rachel Bishop"/>
    <x v="4"/>
    <x v="0"/>
    <x v="3"/>
    <s v="Postgraduate"/>
    <x v="1"/>
    <n v="83644"/>
    <n v="651"/>
    <n v="4810"/>
    <x v="4"/>
    <n v="0.1166"/>
    <x v="4"/>
    <s v="Rented"/>
    <n v="28"/>
    <n v="3"/>
    <s v="Yes"/>
    <s v="Yes"/>
    <x v="3"/>
    <n v="198223"/>
    <x v="725"/>
    <x v="9"/>
    <x v="600"/>
    <x v="1"/>
    <x v="0"/>
    <x v="0"/>
  </r>
  <r>
    <x v="727"/>
    <s v="Gregory Walker"/>
    <x v="30"/>
    <x v="0"/>
    <x v="1"/>
    <s v="PhD"/>
    <x v="2"/>
    <n v="51362"/>
    <n v="650"/>
    <n v="12698"/>
    <x v="1"/>
    <n v="5.3899999999999997E-2"/>
    <x v="5"/>
    <s v="Mortgaged"/>
    <n v="10"/>
    <n v="0"/>
    <s v="No"/>
    <s v="Yes"/>
    <x v="3"/>
    <n v="183576"/>
    <x v="726"/>
    <x v="67"/>
    <x v="601"/>
    <x v="1"/>
    <x v="0"/>
    <x v="1"/>
  </r>
  <r>
    <x v="728"/>
    <s v="Steven Reeves"/>
    <x v="2"/>
    <x v="0"/>
    <x v="2"/>
    <s v="Graduate"/>
    <x v="1"/>
    <n v="56674"/>
    <n v="650"/>
    <n v="5839"/>
    <x v="3"/>
    <n v="5.4900000000000004E-2"/>
    <x v="1"/>
    <s v="Owned"/>
    <n v="11"/>
    <n v="3"/>
    <s v="No"/>
    <s v="No"/>
    <x v="3"/>
    <n v="142841"/>
    <x v="727"/>
    <x v="83"/>
    <x v="602"/>
    <x v="1"/>
    <x v="0"/>
    <x v="1"/>
  </r>
  <r>
    <x v="729"/>
    <s v="Oscar Watson"/>
    <x v="5"/>
    <x v="0"/>
    <x v="2"/>
    <s v="High School"/>
    <x v="0"/>
    <n v="140681"/>
    <n v="650"/>
    <n v="49432"/>
    <x v="0"/>
    <n v="0.1573"/>
    <x v="5"/>
    <s v="Rented"/>
    <n v="29"/>
    <n v="1"/>
    <s v="No"/>
    <s v="No"/>
    <x v="3"/>
    <n v="122480"/>
    <x v="728"/>
    <x v="52"/>
    <x v="603"/>
    <x v="1"/>
    <x v="0"/>
    <x v="1"/>
  </r>
  <r>
    <x v="730"/>
    <s v="Derrick Martinez"/>
    <x v="23"/>
    <x v="0"/>
    <x v="0"/>
    <s v="High School"/>
    <x v="1"/>
    <n v="86617"/>
    <n v="649"/>
    <n v="22282"/>
    <x v="1"/>
    <n v="0.11109999999999999"/>
    <x v="2"/>
    <s v="Mortgaged"/>
    <n v="5"/>
    <n v="2"/>
    <s v="No"/>
    <s v="Yes"/>
    <x v="4"/>
    <n v="169080"/>
    <x v="729"/>
    <x v="3"/>
    <x v="327"/>
    <x v="1"/>
    <x v="0"/>
    <x v="1"/>
  </r>
  <r>
    <x v="731"/>
    <s v="Rhonda Wood"/>
    <x v="24"/>
    <x v="1"/>
    <x v="1"/>
    <s v="High School"/>
    <x v="3"/>
    <n v="25424"/>
    <n v="649"/>
    <n v="2091"/>
    <x v="1"/>
    <n v="0.12740000000000001"/>
    <x v="0"/>
    <s v="Owned"/>
    <n v="11"/>
    <n v="1"/>
    <s v="Yes"/>
    <s v="Yes"/>
    <x v="0"/>
    <n v="23033"/>
    <x v="730"/>
    <x v="41"/>
    <x v="604"/>
    <x v="0"/>
    <x v="0"/>
    <x v="1"/>
  </r>
  <r>
    <x v="732"/>
    <s v="Javier Sullivan"/>
    <x v="13"/>
    <x v="0"/>
    <x v="2"/>
    <s v="High School"/>
    <x v="1"/>
    <n v="71134"/>
    <n v="648"/>
    <n v="2860"/>
    <x v="4"/>
    <n v="0.19269999999999998"/>
    <x v="3"/>
    <s v="Mortgaged"/>
    <n v="6"/>
    <n v="3"/>
    <s v="No"/>
    <s v="No"/>
    <x v="4"/>
    <n v="15322"/>
    <x v="731"/>
    <x v="69"/>
    <x v="605"/>
    <x v="0"/>
    <x v="0"/>
    <x v="1"/>
  </r>
  <r>
    <x v="733"/>
    <s v="Lydia Young"/>
    <x v="0"/>
    <x v="1"/>
    <x v="0"/>
    <s v="Postgraduate"/>
    <x v="0"/>
    <n v="100818"/>
    <n v="648"/>
    <n v="45645"/>
    <x v="4"/>
    <n v="7.6499999999999999E-2"/>
    <x v="4"/>
    <s v="Owned"/>
    <n v="9"/>
    <n v="0"/>
    <s v="Yes"/>
    <s v="No"/>
    <x v="3"/>
    <n v="164927"/>
    <x v="732"/>
    <x v="10"/>
    <x v="606"/>
    <x v="1"/>
    <x v="1"/>
    <x v="1"/>
  </r>
  <r>
    <x v="734"/>
    <s v="Jeremy Fitzgerald"/>
    <x v="34"/>
    <x v="0"/>
    <x v="2"/>
    <s v="High School"/>
    <x v="2"/>
    <n v="101171"/>
    <n v="648"/>
    <n v="26143"/>
    <x v="2"/>
    <n v="0.10009999999999999"/>
    <x v="3"/>
    <s v="Owned"/>
    <n v="12"/>
    <n v="2"/>
    <s v="Yes"/>
    <s v="Yes"/>
    <x v="1"/>
    <n v="164622"/>
    <x v="733"/>
    <x v="69"/>
    <x v="607"/>
    <x v="1"/>
    <x v="0"/>
    <x v="1"/>
  </r>
  <r>
    <x v="735"/>
    <s v="Sara Barrera"/>
    <x v="15"/>
    <x v="0"/>
    <x v="3"/>
    <s v="Postgraduate"/>
    <x v="2"/>
    <n v="141286"/>
    <n v="648"/>
    <n v="15817"/>
    <x v="2"/>
    <n v="6.5000000000000002E-2"/>
    <x v="3"/>
    <s v="Owned"/>
    <n v="17"/>
    <n v="0"/>
    <s v="Yes"/>
    <s v="No"/>
    <x v="1"/>
    <n v="26615"/>
    <x v="734"/>
    <x v="48"/>
    <x v="305"/>
    <x v="1"/>
    <x v="1"/>
    <x v="1"/>
  </r>
  <r>
    <x v="736"/>
    <s v="David Butler"/>
    <x v="30"/>
    <x v="1"/>
    <x v="1"/>
    <s v="Postgraduate"/>
    <x v="0"/>
    <n v="46708"/>
    <n v="648"/>
    <n v="22793"/>
    <x v="4"/>
    <n v="8.9600000000000013E-2"/>
    <x v="5"/>
    <s v="Mortgaged"/>
    <n v="8"/>
    <n v="0"/>
    <s v="Yes"/>
    <s v="No"/>
    <x v="3"/>
    <n v="59823"/>
    <x v="735"/>
    <x v="46"/>
    <x v="604"/>
    <x v="1"/>
    <x v="0"/>
    <x v="1"/>
  </r>
  <r>
    <x v="737"/>
    <s v="Lucas Farley"/>
    <x v="25"/>
    <x v="0"/>
    <x v="1"/>
    <s v="Postgraduate"/>
    <x v="1"/>
    <n v="22972"/>
    <n v="647"/>
    <n v="35986"/>
    <x v="0"/>
    <n v="0.13800000000000001"/>
    <x v="2"/>
    <s v="Rented"/>
    <n v="2"/>
    <n v="0"/>
    <s v="No"/>
    <s v="Yes"/>
    <x v="4"/>
    <n v="25392"/>
    <x v="736"/>
    <x v="84"/>
    <x v="74"/>
    <x v="1"/>
    <x v="0"/>
    <x v="1"/>
  </r>
  <r>
    <x v="738"/>
    <s v="Jeffrey Collins"/>
    <x v="42"/>
    <x v="0"/>
    <x v="2"/>
    <s v="Graduate"/>
    <x v="0"/>
    <n v="147677"/>
    <n v="647"/>
    <n v="27898"/>
    <x v="1"/>
    <n v="0.11710000000000001"/>
    <x v="2"/>
    <s v="Owned"/>
    <n v="26"/>
    <n v="0"/>
    <s v="No"/>
    <s v="Yes"/>
    <x v="0"/>
    <n v="166500"/>
    <x v="737"/>
    <x v="73"/>
    <x v="1"/>
    <x v="1"/>
    <x v="0"/>
    <x v="1"/>
  </r>
  <r>
    <x v="739"/>
    <s v="Stephanie Bishop"/>
    <x v="25"/>
    <x v="0"/>
    <x v="1"/>
    <s v="PhD"/>
    <x v="3"/>
    <n v="47937"/>
    <n v="647"/>
    <n v="48318"/>
    <x v="0"/>
    <n v="0.17809999999999998"/>
    <x v="0"/>
    <s v="Owned"/>
    <n v="20"/>
    <n v="3"/>
    <s v="No"/>
    <s v="No"/>
    <x v="4"/>
    <n v="91154"/>
    <x v="738"/>
    <x v="35"/>
    <x v="608"/>
    <x v="0"/>
    <x v="0"/>
    <x v="1"/>
  </r>
  <r>
    <x v="740"/>
    <s v="Cynthia Koch"/>
    <x v="42"/>
    <x v="0"/>
    <x v="2"/>
    <s v="Postgraduate"/>
    <x v="0"/>
    <n v="95386"/>
    <n v="646"/>
    <n v="8543"/>
    <x v="1"/>
    <n v="0.13550000000000001"/>
    <x v="1"/>
    <s v="Rented"/>
    <n v="7"/>
    <n v="0"/>
    <s v="Yes"/>
    <s v="Yes"/>
    <x v="0"/>
    <n v="183886"/>
    <x v="739"/>
    <x v="49"/>
    <x v="544"/>
    <x v="0"/>
    <x v="0"/>
    <x v="1"/>
  </r>
  <r>
    <x v="741"/>
    <s v="Zachary Nielsen"/>
    <x v="34"/>
    <x v="0"/>
    <x v="2"/>
    <s v="Graduate"/>
    <x v="3"/>
    <n v="65929"/>
    <n v="645"/>
    <n v="21229"/>
    <x v="2"/>
    <n v="0.19519999999999998"/>
    <x v="1"/>
    <s v="Owned"/>
    <n v="18"/>
    <n v="0"/>
    <s v="Yes"/>
    <s v="No"/>
    <x v="3"/>
    <n v="144675"/>
    <x v="740"/>
    <x v="66"/>
    <x v="609"/>
    <x v="0"/>
    <x v="0"/>
    <x v="1"/>
  </r>
  <r>
    <x v="742"/>
    <s v="Kari Trevino"/>
    <x v="38"/>
    <x v="1"/>
    <x v="2"/>
    <s v="High School"/>
    <x v="3"/>
    <n v="95652"/>
    <n v="645"/>
    <n v="27325"/>
    <x v="4"/>
    <n v="0.17319999999999999"/>
    <x v="5"/>
    <s v="Owned"/>
    <n v="11"/>
    <n v="1"/>
    <s v="Yes"/>
    <s v="No"/>
    <x v="4"/>
    <n v="17270"/>
    <x v="741"/>
    <x v="65"/>
    <x v="610"/>
    <x v="1"/>
    <x v="0"/>
    <x v="1"/>
  </r>
  <r>
    <x v="743"/>
    <s v="James Robinson"/>
    <x v="8"/>
    <x v="1"/>
    <x v="2"/>
    <s v="High School"/>
    <x v="3"/>
    <n v="38768"/>
    <n v="645"/>
    <n v="16245"/>
    <x v="4"/>
    <n v="0.1048"/>
    <x v="1"/>
    <s v="Owned"/>
    <n v="20"/>
    <n v="1"/>
    <s v="Yes"/>
    <s v="No"/>
    <x v="3"/>
    <n v="138611"/>
    <x v="742"/>
    <x v="23"/>
    <x v="611"/>
    <x v="1"/>
    <x v="0"/>
    <x v="1"/>
  </r>
  <r>
    <x v="744"/>
    <s v="Thomas Miller"/>
    <x v="15"/>
    <x v="0"/>
    <x v="0"/>
    <s v="High School"/>
    <x v="0"/>
    <n v="76058"/>
    <n v="644"/>
    <n v="4849"/>
    <x v="0"/>
    <n v="0.12710000000000002"/>
    <x v="2"/>
    <s v="Owned"/>
    <n v="9"/>
    <n v="4"/>
    <s v="No"/>
    <s v="Yes"/>
    <x v="2"/>
    <n v="84028"/>
    <x v="743"/>
    <x v="59"/>
    <x v="612"/>
    <x v="1"/>
    <x v="1"/>
    <x v="1"/>
  </r>
  <r>
    <x v="745"/>
    <s v="Michael Cruz"/>
    <x v="10"/>
    <x v="0"/>
    <x v="0"/>
    <s v="Graduate"/>
    <x v="3"/>
    <n v="143199"/>
    <n v="644"/>
    <n v="27997"/>
    <x v="0"/>
    <n v="0.15859999999999999"/>
    <x v="2"/>
    <s v="Mortgaged"/>
    <n v="11"/>
    <n v="1"/>
    <s v="No"/>
    <s v="Yes"/>
    <x v="2"/>
    <n v="43702"/>
    <x v="744"/>
    <x v="34"/>
    <x v="613"/>
    <x v="0"/>
    <x v="0"/>
    <x v="1"/>
  </r>
  <r>
    <x v="746"/>
    <s v="Maria Miller"/>
    <x v="31"/>
    <x v="1"/>
    <x v="2"/>
    <s v="PhD"/>
    <x v="0"/>
    <n v="62748"/>
    <n v="644"/>
    <n v="46641"/>
    <x v="1"/>
    <n v="0.16339999999999999"/>
    <x v="4"/>
    <s v="Owned"/>
    <n v="6"/>
    <n v="2"/>
    <s v="No"/>
    <s v="Yes"/>
    <x v="2"/>
    <n v="120451"/>
    <x v="745"/>
    <x v="8"/>
    <x v="79"/>
    <x v="0"/>
    <x v="1"/>
    <x v="1"/>
  </r>
  <r>
    <x v="747"/>
    <s v="Maria Chambers"/>
    <x v="6"/>
    <x v="0"/>
    <x v="1"/>
    <s v="Postgraduate"/>
    <x v="1"/>
    <n v="53798"/>
    <n v="644"/>
    <n v="18101"/>
    <x v="0"/>
    <n v="0.15"/>
    <x v="5"/>
    <s v="Rented"/>
    <n v="22"/>
    <n v="2"/>
    <s v="No"/>
    <s v="Yes"/>
    <x v="4"/>
    <n v="74625"/>
    <x v="746"/>
    <x v="11"/>
    <x v="614"/>
    <x v="1"/>
    <x v="0"/>
    <x v="1"/>
  </r>
  <r>
    <x v="748"/>
    <s v="Julie Stevenson"/>
    <x v="38"/>
    <x v="0"/>
    <x v="3"/>
    <s v="High School"/>
    <x v="2"/>
    <n v="66157"/>
    <n v="644"/>
    <n v="48498"/>
    <x v="3"/>
    <n v="0.1288"/>
    <x v="3"/>
    <s v="Rented"/>
    <n v="6"/>
    <n v="4"/>
    <s v="No"/>
    <s v="No"/>
    <x v="0"/>
    <n v="178740"/>
    <x v="747"/>
    <x v="52"/>
    <x v="615"/>
    <x v="0"/>
    <x v="0"/>
    <x v="1"/>
  </r>
  <r>
    <x v="749"/>
    <s v="Matthew Davis"/>
    <x v="32"/>
    <x v="0"/>
    <x v="2"/>
    <s v="PhD"/>
    <x v="2"/>
    <n v="76572"/>
    <n v="644"/>
    <n v="10597"/>
    <x v="4"/>
    <n v="0.18239999999999998"/>
    <x v="3"/>
    <s v="Owned"/>
    <n v="3"/>
    <n v="3"/>
    <s v="No"/>
    <s v="No"/>
    <x v="4"/>
    <n v="48906"/>
    <x v="748"/>
    <x v="45"/>
    <x v="583"/>
    <x v="0"/>
    <x v="0"/>
    <x v="1"/>
  </r>
  <r>
    <x v="750"/>
    <s v="Damon Rogers"/>
    <x v="32"/>
    <x v="1"/>
    <x v="3"/>
    <s v="Graduate"/>
    <x v="1"/>
    <n v="108416"/>
    <n v="643"/>
    <n v="22699"/>
    <x v="2"/>
    <n v="0.1444"/>
    <x v="1"/>
    <s v="Rented"/>
    <n v="29"/>
    <n v="1"/>
    <s v="Yes"/>
    <s v="Yes"/>
    <x v="2"/>
    <n v="115737"/>
    <x v="749"/>
    <x v="12"/>
    <x v="616"/>
    <x v="0"/>
    <x v="0"/>
    <x v="1"/>
  </r>
  <r>
    <x v="751"/>
    <s v="Eric Olsen"/>
    <x v="19"/>
    <x v="0"/>
    <x v="0"/>
    <s v="Graduate"/>
    <x v="1"/>
    <n v="66705"/>
    <n v="643"/>
    <n v="16926"/>
    <x v="4"/>
    <n v="7.3200000000000001E-2"/>
    <x v="5"/>
    <s v="Mortgaged"/>
    <n v="9"/>
    <n v="1"/>
    <s v="No"/>
    <s v="No"/>
    <x v="2"/>
    <n v="80823"/>
    <x v="750"/>
    <x v="2"/>
    <x v="617"/>
    <x v="0"/>
    <x v="0"/>
    <x v="1"/>
  </r>
  <r>
    <x v="752"/>
    <s v="Michelle Cooper"/>
    <x v="2"/>
    <x v="0"/>
    <x v="0"/>
    <s v="PhD"/>
    <x v="2"/>
    <n v="109876"/>
    <n v="643"/>
    <n v="9556"/>
    <x v="2"/>
    <n v="0.1061"/>
    <x v="5"/>
    <s v="Mortgaged"/>
    <n v="1"/>
    <n v="2"/>
    <s v="No"/>
    <s v="No"/>
    <x v="4"/>
    <n v="119433"/>
    <x v="751"/>
    <x v="20"/>
    <x v="618"/>
    <x v="0"/>
    <x v="0"/>
    <x v="1"/>
  </r>
  <r>
    <x v="753"/>
    <s v="Judith Miller"/>
    <x v="21"/>
    <x v="0"/>
    <x v="2"/>
    <s v="Postgraduate"/>
    <x v="2"/>
    <n v="121735"/>
    <n v="643"/>
    <n v="36904"/>
    <x v="4"/>
    <n v="0.15390000000000001"/>
    <x v="5"/>
    <s v="Rented"/>
    <n v="10"/>
    <n v="0"/>
    <s v="Yes"/>
    <s v="Yes"/>
    <x v="2"/>
    <n v="166769"/>
    <x v="752"/>
    <x v="76"/>
    <x v="619"/>
    <x v="1"/>
    <x v="0"/>
    <x v="1"/>
  </r>
  <r>
    <x v="754"/>
    <s v="Jill Peterson"/>
    <x v="23"/>
    <x v="0"/>
    <x v="3"/>
    <s v="High School"/>
    <x v="3"/>
    <n v="109452"/>
    <n v="642"/>
    <n v="11567"/>
    <x v="1"/>
    <n v="0.16010000000000002"/>
    <x v="4"/>
    <s v="Owned"/>
    <n v="22"/>
    <n v="0"/>
    <s v="No"/>
    <s v="Yes"/>
    <x v="4"/>
    <n v="108818"/>
    <x v="753"/>
    <x v="87"/>
    <x v="620"/>
    <x v="1"/>
    <x v="1"/>
    <x v="1"/>
  </r>
  <r>
    <x v="755"/>
    <s v="Amber Salazar"/>
    <x v="24"/>
    <x v="0"/>
    <x v="0"/>
    <s v="High School"/>
    <x v="2"/>
    <n v="94329"/>
    <n v="642"/>
    <n v="42684"/>
    <x v="2"/>
    <n v="0.17269999999999999"/>
    <x v="5"/>
    <s v="Mortgaged"/>
    <n v="14"/>
    <n v="3"/>
    <s v="No"/>
    <s v="Yes"/>
    <x v="2"/>
    <n v="66273"/>
    <x v="754"/>
    <x v="50"/>
    <x v="621"/>
    <x v="1"/>
    <x v="1"/>
    <x v="1"/>
  </r>
  <r>
    <x v="756"/>
    <s v="Valerie Lawson"/>
    <x v="16"/>
    <x v="1"/>
    <x v="2"/>
    <s v="Postgraduate"/>
    <x v="1"/>
    <n v="24134"/>
    <n v="642"/>
    <n v="8619"/>
    <x v="1"/>
    <n v="0.19170000000000001"/>
    <x v="4"/>
    <s v="Mortgaged"/>
    <n v="28"/>
    <n v="4"/>
    <s v="No"/>
    <s v="Yes"/>
    <x v="3"/>
    <n v="126202"/>
    <x v="755"/>
    <x v="28"/>
    <x v="74"/>
    <x v="0"/>
    <x v="0"/>
    <x v="1"/>
  </r>
  <r>
    <x v="757"/>
    <s v="Jasmine Morales"/>
    <x v="9"/>
    <x v="1"/>
    <x v="2"/>
    <s v="Postgraduate"/>
    <x v="1"/>
    <n v="80356"/>
    <n v="641"/>
    <n v="35840"/>
    <x v="0"/>
    <n v="0.1065"/>
    <x v="0"/>
    <s v="Rented"/>
    <n v="22"/>
    <n v="0"/>
    <s v="Yes"/>
    <s v="No"/>
    <x v="4"/>
    <n v="173234"/>
    <x v="756"/>
    <x v="53"/>
    <x v="584"/>
    <x v="1"/>
    <x v="0"/>
    <x v="1"/>
  </r>
  <r>
    <x v="758"/>
    <s v="Tracy Johnson"/>
    <x v="21"/>
    <x v="0"/>
    <x v="1"/>
    <s v="PhD"/>
    <x v="3"/>
    <n v="144984"/>
    <n v="641"/>
    <n v="39893"/>
    <x v="0"/>
    <n v="0.1041"/>
    <x v="5"/>
    <s v="Mortgaged"/>
    <n v="25"/>
    <n v="0"/>
    <s v="Yes"/>
    <s v="No"/>
    <x v="0"/>
    <n v="86481"/>
    <x v="757"/>
    <x v="57"/>
    <x v="622"/>
    <x v="1"/>
    <x v="0"/>
    <x v="1"/>
  </r>
  <r>
    <x v="759"/>
    <s v="Erika White"/>
    <x v="5"/>
    <x v="0"/>
    <x v="3"/>
    <s v="Postgraduate"/>
    <x v="1"/>
    <n v="112115"/>
    <n v="641"/>
    <n v="1730"/>
    <x v="1"/>
    <n v="0.12429999999999999"/>
    <x v="5"/>
    <s v="Owned"/>
    <n v="23"/>
    <n v="4"/>
    <s v="No"/>
    <s v="No"/>
    <x v="4"/>
    <n v="14466"/>
    <x v="758"/>
    <x v="81"/>
    <x v="623"/>
    <x v="1"/>
    <x v="0"/>
    <x v="1"/>
  </r>
  <r>
    <x v="760"/>
    <s v="Sandra Rodgers"/>
    <x v="6"/>
    <x v="0"/>
    <x v="0"/>
    <s v="PhD"/>
    <x v="3"/>
    <n v="45032"/>
    <n v="641"/>
    <n v="18326"/>
    <x v="4"/>
    <n v="0.1527"/>
    <x v="2"/>
    <s v="Rented"/>
    <n v="26"/>
    <n v="3"/>
    <s v="Yes"/>
    <s v="Yes"/>
    <x v="2"/>
    <n v="116381"/>
    <x v="759"/>
    <x v="46"/>
    <x v="396"/>
    <x v="1"/>
    <x v="0"/>
    <x v="1"/>
  </r>
  <r>
    <x v="761"/>
    <s v="Anna Maxwell"/>
    <x v="29"/>
    <x v="0"/>
    <x v="1"/>
    <s v="Graduate"/>
    <x v="0"/>
    <n v="64223"/>
    <n v="641"/>
    <n v="2218"/>
    <x v="4"/>
    <n v="0.15789999999999998"/>
    <x v="2"/>
    <s v="Owned"/>
    <n v="20"/>
    <n v="2"/>
    <s v="No"/>
    <s v="Yes"/>
    <x v="3"/>
    <n v="51178"/>
    <x v="760"/>
    <x v="61"/>
    <x v="624"/>
    <x v="1"/>
    <x v="0"/>
    <x v="1"/>
  </r>
  <r>
    <x v="762"/>
    <s v="Brian Kim"/>
    <x v="20"/>
    <x v="1"/>
    <x v="1"/>
    <s v="PhD"/>
    <x v="1"/>
    <n v="76677"/>
    <n v="640"/>
    <n v="38174"/>
    <x v="1"/>
    <n v="0.1948"/>
    <x v="4"/>
    <s v="Rented"/>
    <n v="3"/>
    <n v="1"/>
    <s v="Yes"/>
    <s v="No"/>
    <x v="2"/>
    <n v="177996"/>
    <x v="761"/>
    <x v="42"/>
    <x v="553"/>
    <x v="1"/>
    <x v="0"/>
    <x v="1"/>
  </r>
  <r>
    <x v="763"/>
    <s v="John Woods"/>
    <x v="21"/>
    <x v="1"/>
    <x v="3"/>
    <s v="PhD"/>
    <x v="3"/>
    <n v="123947"/>
    <n v="640"/>
    <n v="48164"/>
    <x v="2"/>
    <n v="0.14269999999999999"/>
    <x v="1"/>
    <s v="Mortgaged"/>
    <n v="10"/>
    <n v="1"/>
    <s v="No"/>
    <s v="Yes"/>
    <x v="1"/>
    <n v="77684"/>
    <x v="762"/>
    <x v="19"/>
    <x v="625"/>
    <x v="1"/>
    <x v="0"/>
    <x v="1"/>
  </r>
  <r>
    <x v="764"/>
    <s v="Nicole Hayden"/>
    <x v="22"/>
    <x v="0"/>
    <x v="3"/>
    <s v="Graduate"/>
    <x v="3"/>
    <n v="80213"/>
    <n v="640"/>
    <n v="32283"/>
    <x v="3"/>
    <n v="0.17059999999999997"/>
    <x v="0"/>
    <s v="Owned"/>
    <n v="29"/>
    <n v="1"/>
    <s v="No"/>
    <s v="No"/>
    <x v="0"/>
    <n v="181859"/>
    <x v="763"/>
    <x v="58"/>
    <x v="218"/>
    <x v="0"/>
    <x v="0"/>
    <x v="1"/>
  </r>
  <r>
    <x v="765"/>
    <s v="Zachary Leblanc"/>
    <x v="30"/>
    <x v="1"/>
    <x v="3"/>
    <s v="PhD"/>
    <x v="1"/>
    <n v="21067"/>
    <n v="640"/>
    <n v="22509"/>
    <x v="1"/>
    <n v="0.18920000000000001"/>
    <x v="4"/>
    <s v="Owned"/>
    <n v="28"/>
    <n v="1"/>
    <s v="No"/>
    <s v="Yes"/>
    <x v="3"/>
    <n v="185806"/>
    <x v="764"/>
    <x v="69"/>
    <x v="254"/>
    <x v="0"/>
    <x v="1"/>
    <x v="1"/>
  </r>
  <r>
    <x v="766"/>
    <s v="Chelsea Wood"/>
    <x v="8"/>
    <x v="0"/>
    <x v="2"/>
    <s v="PhD"/>
    <x v="2"/>
    <n v="68784"/>
    <n v="639"/>
    <n v="29371"/>
    <x v="3"/>
    <n v="0.11259999999999999"/>
    <x v="0"/>
    <s v="Owned"/>
    <n v="3"/>
    <n v="4"/>
    <s v="No"/>
    <s v="Yes"/>
    <x v="0"/>
    <n v="119292"/>
    <x v="765"/>
    <x v="62"/>
    <x v="93"/>
    <x v="1"/>
    <x v="1"/>
    <x v="1"/>
  </r>
  <r>
    <x v="767"/>
    <s v="Nathan Dodson"/>
    <x v="15"/>
    <x v="1"/>
    <x v="0"/>
    <s v="Graduate"/>
    <x v="1"/>
    <n v="82515"/>
    <n v="639"/>
    <n v="24383"/>
    <x v="1"/>
    <n v="0.17730000000000001"/>
    <x v="2"/>
    <s v="Owned"/>
    <n v="4"/>
    <n v="0"/>
    <s v="Yes"/>
    <s v="No"/>
    <x v="0"/>
    <n v="77462"/>
    <x v="766"/>
    <x v="5"/>
    <x v="626"/>
    <x v="0"/>
    <x v="0"/>
    <x v="1"/>
  </r>
  <r>
    <x v="768"/>
    <s v="Gina Hughes"/>
    <x v="10"/>
    <x v="0"/>
    <x v="3"/>
    <s v="Postgraduate"/>
    <x v="1"/>
    <n v="35173"/>
    <n v="639"/>
    <n v="9554"/>
    <x v="0"/>
    <n v="0.17579999999999998"/>
    <x v="3"/>
    <s v="Rented"/>
    <n v="2"/>
    <n v="4"/>
    <s v="No"/>
    <s v="Yes"/>
    <x v="1"/>
    <n v="115764"/>
    <x v="767"/>
    <x v="38"/>
    <x v="516"/>
    <x v="1"/>
    <x v="0"/>
    <x v="1"/>
  </r>
  <r>
    <x v="769"/>
    <s v="Misty Martinez"/>
    <x v="16"/>
    <x v="1"/>
    <x v="2"/>
    <s v="Postgraduate"/>
    <x v="3"/>
    <n v="141070"/>
    <n v="639"/>
    <n v="38532"/>
    <x v="2"/>
    <n v="7.0999999999999994E-2"/>
    <x v="1"/>
    <s v="Owned"/>
    <n v="28"/>
    <n v="1"/>
    <s v="No"/>
    <s v="No"/>
    <x v="2"/>
    <n v="4983"/>
    <x v="768"/>
    <x v="29"/>
    <x v="71"/>
    <x v="1"/>
    <x v="0"/>
    <x v="1"/>
  </r>
  <r>
    <x v="770"/>
    <s v="Chelsea Jones"/>
    <x v="8"/>
    <x v="0"/>
    <x v="3"/>
    <s v="PhD"/>
    <x v="3"/>
    <n v="62879"/>
    <n v="638"/>
    <n v="42037"/>
    <x v="0"/>
    <n v="0.11779999999999999"/>
    <x v="0"/>
    <s v="Owned"/>
    <n v="8"/>
    <n v="4"/>
    <s v="No"/>
    <s v="Yes"/>
    <x v="1"/>
    <n v="68624"/>
    <x v="769"/>
    <x v="12"/>
    <x v="627"/>
    <x v="0"/>
    <x v="0"/>
    <x v="1"/>
  </r>
  <r>
    <x v="771"/>
    <s v="Mr. Dennis Harvey"/>
    <x v="41"/>
    <x v="1"/>
    <x v="3"/>
    <s v="PhD"/>
    <x v="0"/>
    <n v="97990"/>
    <n v="638"/>
    <n v="47053"/>
    <x v="2"/>
    <n v="7.3399999999999993E-2"/>
    <x v="1"/>
    <s v="Rented"/>
    <n v="16"/>
    <n v="3"/>
    <s v="No"/>
    <s v="Yes"/>
    <x v="4"/>
    <n v="183606"/>
    <x v="770"/>
    <x v="7"/>
    <x v="628"/>
    <x v="1"/>
    <x v="0"/>
    <x v="1"/>
  </r>
  <r>
    <x v="772"/>
    <s v="Anne Moore"/>
    <x v="4"/>
    <x v="1"/>
    <x v="1"/>
    <s v="High School"/>
    <x v="2"/>
    <n v="129274"/>
    <n v="638"/>
    <n v="37776"/>
    <x v="2"/>
    <n v="0.14249999999999999"/>
    <x v="0"/>
    <s v="Owned"/>
    <n v="19"/>
    <n v="2"/>
    <s v="No"/>
    <s v="Yes"/>
    <x v="4"/>
    <n v="30795"/>
    <x v="771"/>
    <x v="16"/>
    <x v="629"/>
    <x v="0"/>
    <x v="0"/>
    <x v="1"/>
  </r>
  <r>
    <x v="773"/>
    <s v="Heather Brennan"/>
    <x v="2"/>
    <x v="0"/>
    <x v="1"/>
    <s v="PhD"/>
    <x v="1"/>
    <n v="29190"/>
    <n v="638"/>
    <n v="1567"/>
    <x v="1"/>
    <n v="0.1303"/>
    <x v="1"/>
    <s v="Mortgaged"/>
    <n v="11"/>
    <n v="2"/>
    <s v="No"/>
    <s v="No"/>
    <x v="2"/>
    <n v="138667"/>
    <x v="772"/>
    <x v="87"/>
    <x v="630"/>
    <x v="0"/>
    <x v="0"/>
    <x v="1"/>
  </r>
  <r>
    <x v="774"/>
    <s v="Heather Moore"/>
    <x v="35"/>
    <x v="0"/>
    <x v="1"/>
    <s v="High School"/>
    <x v="3"/>
    <n v="128261"/>
    <n v="638"/>
    <n v="36285"/>
    <x v="3"/>
    <n v="0.11380000000000001"/>
    <x v="1"/>
    <s v="Rented"/>
    <n v="20"/>
    <n v="3"/>
    <s v="No"/>
    <s v="No"/>
    <x v="0"/>
    <n v="146649"/>
    <x v="773"/>
    <x v="28"/>
    <x v="631"/>
    <x v="1"/>
    <x v="1"/>
    <x v="1"/>
  </r>
  <r>
    <x v="775"/>
    <s v="Nicholas Torres"/>
    <x v="31"/>
    <x v="0"/>
    <x v="2"/>
    <s v="PhD"/>
    <x v="1"/>
    <n v="124470"/>
    <n v="638"/>
    <n v="34431"/>
    <x v="3"/>
    <n v="7.1099999999999997E-2"/>
    <x v="4"/>
    <s v="Mortgaged"/>
    <n v="26"/>
    <n v="4"/>
    <s v="Yes"/>
    <s v="No"/>
    <x v="0"/>
    <n v="79942"/>
    <x v="774"/>
    <x v="57"/>
    <x v="89"/>
    <x v="1"/>
    <x v="0"/>
    <x v="1"/>
  </r>
  <r>
    <x v="776"/>
    <s v="Jamie Valencia"/>
    <x v="21"/>
    <x v="0"/>
    <x v="3"/>
    <s v="Postgraduate"/>
    <x v="0"/>
    <n v="53005"/>
    <n v="637"/>
    <n v="44858"/>
    <x v="3"/>
    <n v="0.1424"/>
    <x v="0"/>
    <s v="Owned"/>
    <n v="19"/>
    <n v="0"/>
    <s v="No"/>
    <s v="No"/>
    <x v="0"/>
    <n v="125605"/>
    <x v="775"/>
    <x v="9"/>
    <x v="632"/>
    <x v="0"/>
    <x v="0"/>
    <x v="1"/>
  </r>
  <r>
    <x v="777"/>
    <s v="Diana Warren"/>
    <x v="13"/>
    <x v="1"/>
    <x v="2"/>
    <s v="Graduate"/>
    <x v="2"/>
    <n v="55321"/>
    <n v="637"/>
    <n v="39294"/>
    <x v="0"/>
    <n v="0.19329999999999997"/>
    <x v="1"/>
    <s v="Owned"/>
    <n v="12"/>
    <n v="0"/>
    <s v="Yes"/>
    <s v="No"/>
    <x v="0"/>
    <n v="24613"/>
    <x v="776"/>
    <x v="85"/>
    <x v="225"/>
    <x v="1"/>
    <x v="0"/>
    <x v="1"/>
  </r>
  <r>
    <x v="778"/>
    <s v="Jaime Mcdonald"/>
    <x v="17"/>
    <x v="0"/>
    <x v="0"/>
    <s v="Graduate"/>
    <x v="3"/>
    <n v="60643"/>
    <n v="637"/>
    <n v="34289"/>
    <x v="1"/>
    <n v="0.16"/>
    <x v="4"/>
    <s v="Rented"/>
    <n v="22"/>
    <n v="4"/>
    <s v="Yes"/>
    <s v="No"/>
    <x v="4"/>
    <n v="17665"/>
    <x v="777"/>
    <x v="57"/>
    <x v="633"/>
    <x v="1"/>
    <x v="0"/>
    <x v="1"/>
  </r>
  <r>
    <x v="779"/>
    <s v="Kathleen Larson"/>
    <x v="41"/>
    <x v="0"/>
    <x v="0"/>
    <s v="PhD"/>
    <x v="2"/>
    <n v="20294"/>
    <n v="637"/>
    <n v="49023"/>
    <x v="4"/>
    <n v="7.5899999999999995E-2"/>
    <x v="5"/>
    <s v="Owned"/>
    <n v="26"/>
    <n v="0"/>
    <s v="No"/>
    <s v="Yes"/>
    <x v="4"/>
    <n v="101426"/>
    <x v="778"/>
    <x v="23"/>
    <x v="634"/>
    <x v="0"/>
    <x v="0"/>
    <x v="1"/>
  </r>
  <r>
    <x v="780"/>
    <s v="Andrew Rivera"/>
    <x v="20"/>
    <x v="1"/>
    <x v="0"/>
    <s v="PhD"/>
    <x v="0"/>
    <n v="118426"/>
    <n v="636"/>
    <n v="29467"/>
    <x v="1"/>
    <n v="0.1376"/>
    <x v="4"/>
    <s v="Rented"/>
    <n v="6"/>
    <n v="3"/>
    <s v="Yes"/>
    <s v="Yes"/>
    <x v="4"/>
    <n v="59617"/>
    <x v="779"/>
    <x v="85"/>
    <x v="55"/>
    <x v="0"/>
    <x v="0"/>
    <x v="1"/>
  </r>
  <r>
    <x v="781"/>
    <s v="Elizabeth Cox"/>
    <x v="39"/>
    <x v="0"/>
    <x v="2"/>
    <s v="PhD"/>
    <x v="3"/>
    <n v="47181"/>
    <n v="636"/>
    <n v="10394"/>
    <x v="3"/>
    <n v="0.187"/>
    <x v="5"/>
    <s v="Rented"/>
    <n v="6"/>
    <n v="1"/>
    <s v="Yes"/>
    <s v="Yes"/>
    <x v="3"/>
    <n v="50373"/>
    <x v="780"/>
    <x v="68"/>
    <x v="71"/>
    <x v="1"/>
    <x v="0"/>
    <x v="1"/>
  </r>
  <r>
    <x v="782"/>
    <s v="Jennifer Gordon"/>
    <x v="12"/>
    <x v="1"/>
    <x v="2"/>
    <s v="Postgraduate"/>
    <x v="1"/>
    <n v="27961"/>
    <n v="636"/>
    <n v="45348"/>
    <x v="3"/>
    <n v="0.18600000000000003"/>
    <x v="5"/>
    <s v="Rented"/>
    <n v="16"/>
    <n v="1"/>
    <s v="No"/>
    <s v="No"/>
    <x v="1"/>
    <n v="63767"/>
    <x v="781"/>
    <x v="40"/>
    <x v="635"/>
    <x v="1"/>
    <x v="0"/>
    <x v="1"/>
  </r>
  <r>
    <x v="783"/>
    <s v="Tiffany Payne"/>
    <x v="32"/>
    <x v="1"/>
    <x v="1"/>
    <s v="Graduate"/>
    <x v="3"/>
    <n v="81720"/>
    <n v="635"/>
    <n v="41934"/>
    <x v="3"/>
    <n v="0.12429999999999999"/>
    <x v="3"/>
    <s v="Mortgaged"/>
    <n v="5"/>
    <n v="0"/>
    <s v="Yes"/>
    <s v="Yes"/>
    <x v="4"/>
    <n v="188514"/>
    <x v="782"/>
    <x v="6"/>
    <x v="636"/>
    <x v="0"/>
    <x v="0"/>
    <x v="1"/>
  </r>
  <r>
    <x v="784"/>
    <s v="Crystal Garcia"/>
    <x v="27"/>
    <x v="0"/>
    <x v="3"/>
    <s v="Postgraduate"/>
    <x v="2"/>
    <n v="20028"/>
    <n v="635"/>
    <n v="19781"/>
    <x v="4"/>
    <n v="8.1500000000000003E-2"/>
    <x v="4"/>
    <s v="Mortgaged"/>
    <n v="16"/>
    <n v="4"/>
    <s v="No"/>
    <s v="Yes"/>
    <x v="1"/>
    <n v="168856"/>
    <x v="783"/>
    <x v="56"/>
    <x v="637"/>
    <x v="0"/>
    <x v="0"/>
    <x v="1"/>
  </r>
  <r>
    <x v="785"/>
    <s v="Michael Floyd"/>
    <x v="9"/>
    <x v="0"/>
    <x v="0"/>
    <s v="PhD"/>
    <x v="3"/>
    <n v="82370"/>
    <n v="635"/>
    <n v="42069"/>
    <x v="2"/>
    <n v="0.1973"/>
    <x v="4"/>
    <s v="Owned"/>
    <n v="7"/>
    <n v="4"/>
    <s v="No"/>
    <s v="No"/>
    <x v="2"/>
    <n v="170142"/>
    <x v="784"/>
    <x v="78"/>
    <x v="638"/>
    <x v="0"/>
    <x v="0"/>
    <x v="1"/>
  </r>
  <r>
    <x v="786"/>
    <s v="Theresa Williams"/>
    <x v="17"/>
    <x v="1"/>
    <x v="3"/>
    <s v="Graduate"/>
    <x v="0"/>
    <n v="55739"/>
    <n v="635"/>
    <n v="43725"/>
    <x v="1"/>
    <n v="0.15429999999999999"/>
    <x v="3"/>
    <s v="Owned"/>
    <n v="23"/>
    <n v="4"/>
    <s v="Yes"/>
    <s v="No"/>
    <x v="0"/>
    <n v="46676"/>
    <x v="785"/>
    <x v="4"/>
    <x v="639"/>
    <x v="1"/>
    <x v="0"/>
    <x v="1"/>
  </r>
  <r>
    <x v="787"/>
    <s v="Christopher Garrett"/>
    <x v="17"/>
    <x v="0"/>
    <x v="0"/>
    <s v="High School"/>
    <x v="3"/>
    <n v="67258"/>
    <n v="635"/>
    <n v="5473"/>
    <x v="0"/>
    <n v="6.9400000000000003E-2"/>
    <x v="2"/>
    <s v="Rented"/>
    <n v="15"/>
    <n v="0"/>
    <s v="No"/>
    <s v="No"/>
    <x v="4"/>
    <n v="18123"/>
    <x v="786"/>
    <x v="72"/>
    <x v="453"/>
    <x v="1"/>
    <x v="0"/>
    <x v="1"/>
  </r>
  <r>
    <x v="788"/>
    <s v="Keith Lewis"/>
    <x v="21"/>
    <x v="0"/>
    <x v="0"/>
    <s v="High School"/>
    <x v="0"/>
    <n v="87005"/>
    <n v="635"/>
    <n v="42147"/>
    <x v="0"/>
    <n v="9.0299999999999991E-2"/>
    <x v="2"/>
    <s v="Rented"/>
    <n v="7"/>
    <n v="0"/>
    <s v="Yes"/>
    <s v="Yes"/>
    <x v="4"/>
    <n v="185218"/>
    <x v="787"/>
    <x v="70"/>
    <x v="640"/>
    <x v="0"/>
    <x v="0"/>
    <x v="1"/>
  </r>
  <r>
    <x v="789"/>
    <s v="Stephen Rodriguez"/>
    <x v="17"/>
    <x v="1"/>
    <x v="2"/>
    <s v="High School"/>
    <x v="1"/>
    <n v="108887"/>
    <n v="635"/>
    <n v="19413"/>
    <x v="3"/>
    <n v="0.16210000000000002"/>
    <x v="5"/>
    <s v="Rented"/>
    <n v="21"/>
    <n v="1"/>
    <s v="No"/>
    <s v="Yes"/>
    <x v="1"/>
    <n v="169820"/>
    <x v="788"/>
    <x v="22"/>
    <x v="599"/>
    <x v="1"/>
    <x v="0"/>
    <x v="1"/>
  </r>
  <r>
    <x v="790"/>
    <s v="Mrs. Amy Conley"/>
    <x v="36"/>
    <x v="1"/>
    <x v="0"/>
    <s v="PhD"/>
    <x v="2"/>
    <n v="119864"/>
    <n v="634"/>
    <n v="31540"/>
    <x v="1"/>
    <n v="8.1300000000000011E-2"/>
    <x v="1"/>
    <s v="Owned"/>
    <n v="26"/>
    <n v="1"/>
    <s v="No"/>
    <s v="No"/>
    <x v="3"/>
    <n v="148511"/>
    <x v="789"/>
    <x v="54"/>
    <x v="100"/>
    <x v="0"/>
    <x v="0"/>
    <x v="1"/>
  </r>
  <r>
    <x v="791"/>
    <s v="Johnathan Franklin"/>
    <x v="13"/>
    <x v="1"/>
    <x v="1"/>
    <s v="PhD"/>
    <x v="1"/>
    <n v="21132"/>
    <n v="633"/>
    <n v="20659"/>
    <x v="0"/>
    <n v="0.1202"/>
    <x v="5"/>
    <s v="Mortgaged"/>
    <n v="20"/>
    <n v="1"/>
    <s v="Yes"/>
    <s v="Yes"/>
    <x v="4"/>
    <n v="87448"/>
    <x v="790"/>
    <x v="9"/>
    <x v="641"/>
    <x v="0"/>
    <x v="0"/>
    <x v="1"/>
  </r>
  <r>
    <x v="792"/>
    <s v="Jason White"/>
    <x v="41"/>
    <x v="0"/>
    <x v="1"/>
    <s v="PhD"/>
    <x v="3"/>
    <n v="92361"/>
    <n v="633"/>
    <n v="44147"/>
    <x v="3"/>
    <n v="8.14E-2"/>
    <x v="3"/>
    <s v="Rented"/>
    <n v="26"/>
    <n v="3"/>
    <s v="Yes"/>
    <s v="Yes"/>
    <x v="2"/>
    <n v="8664"/>
    <x v="791"/>
    <x v="25"/>
    <x v="642"/>
    <x v="0"/>
    <x v="0"/>
    <x v="1"/>
  </r>
  <r>
    <x v="793"/>
    <s v="Ronald Thompson"/>
    <x v="6"/>
    <x v="0"/>
    <x v="0"/>
    <s v="Postgraduate"/>
    <x v="0"/>
    <n v="43806"/>
    <n v="633"/>
    <n v="39164"/>
    <x v="3"/>
    <n v="9.5600000000000004E-2"/>
    <x v="2"/>
    <s v="Rented"/>
    <n v="15"/>
    <n v="2"/>
    <s v="Yes"/>
    <s v="Yes"/>
    <x v="1"/>
    <n v="184184"/>
    <x v="792"/>
    <x v="32"/>
    <x v="643"/>
    <x v="1"/>
    <x v="1"/>
    <x v="1"/>
  </r>
  <r>
    <x v="794"/>
    <s v="Scott Coleman"/>
    <x v="41"/>
    <x v="1"/>
    <x v="3"/>
    <s v="PhD"/>
    <x v="1"/>
    <n v="137491"/>
    <n v="633"/>
    <n v="40531"/>
    <x v="4"/>
    <n v="7.7600000000000002E-2"/>
    <x v="3"/>
    <s v="Owned"/>
    <n v="26"/>
    <n v="0"/>
    <s v="No"/>
    <s v="No"/>
    <x v="4"/>
    <n v="55631"/>
    <x v="793"/>
    <x v="25"/>
    <x v="644"/>
    <x v="1"/>
    <x v="0"/>
    <x v="1"/>
  </r>
  <r>
    <x v="795"/>
    <s v="George Moody"/>
    <x v="9"/>
    <x v="0"/>
    <x v="2"/>
    <s v="PhD"/>
    <x v="3"/>
    <n v="70726"/>
    <n v="632"/>
    <n v="39362"/>
    <x v="0"/>
    <n v="0.15579999999999999"/>
    <x v="4"/>
    <s v="Mortgaged"/>
    <n v="23"/>
    <n v="2"/>
    <s v="No"/>
    <s v="Yes"/>
    <x v="2"/>
    <n v="48998"/>
    <x v="794"/>
    <x v="6"/>
    <x v="353"/>
    <x v="0"/>
    <x v="0"/>
    <x v="1"/>
  </r>
  <r>
    <x v="796"/>
    <s v="Dr. Katherine Lynch"/>
    <x v="9"/>
    <x v="0"/>
    <x v="0"/>
    <s v="High School"/>
    <x v="0"/>
    <n v="123013"/>
    <n v="632"/>
    <n v="1329"/>
    <x v="3"/>
    <n v="0.13269999999999998"/>
    <x v="0"/>
    <s v="Owned"/>
    <n v="28"/>
    <n v="2"/>
    <s v="Yes"/>
    <s v="No"/>
    <x v="4"/>
    <n v="26585"/>
    <x v="795"/>
    <x v="74"/>
    <x v="645"/>
    <x v="0"/>
    <x v="0"/>
    <x v="1"/>
  </r>
  <r>
    <x v="797"/>
    <s v="Jerry Martin"/>
    <x v="41"/>
    <x v="1"/>
    <x v="0"/>
    <s v="Postgraduate"/>
    <x v="1"/>
    <n v="29752"/>
    <n v="632"/>
    <n v="26198"/>
    <x v="0"/>
    <n v="0.13650000000000001"/>
    <x v="1"/>
    <s v="Mortgaged"/>
    <n v="28"/>
    <n v="1"/>
    <s v="Yes"/>
    <s v="Yes"/>
    <x v="0"/>
    <n v="63492"/>
    <x v="796"/>
    <x v="9"/>
    <x v="646"/>
    <x v="0"/>
    <x v="0"/>
    <x v="1"/>
  </r>
  <r>
    <x v="798"/>
    <s v="Jennifer Nguyen"/>
    <x v="20"/>
    <x v="0"/>
    <x v="0"/>
    <s v="High School"/>
    <x v="2"/>
    <n v="69111"/>
    <n v="632"/>
    <n v="15063"/>
    <x v="4"/>
    <n v="0.13650000000000001"/>
    <x v="0"/>
    <s v="Rented"/>
    <n v="8"/>
    <n v="4"/>
    <s v="No"/>
    <s v="No"/>
    <x v="2"/>
    <n v="154630"/>
    <x v="797"/>
    <x v="39"/>
    <x v="647"/>
    <x v="1"/>
    <x v="0"/>
    <x v="1"/>
  </r>
  <r>
    <x v="799"/>
    <s v="Matthew Schmitt"/>
    <x v="40"/>
    <x v="0"/>
    <x v="1"/>
    <s v="PhD"/>
    <x v="1"/>
    <n v="119524"/>
    <n v="632"/>
    <n v="33624"/>
    <x v="4"/>
    <n v="0.13350000000000001"/>
    <x v="1"/>
    <s v="Owned"/>
    <n v="8"/>
    <n v="4"/>
    <s v="No"/>
    <s v="No"/>
    <x v="1"/>
    <n v="191374"/>
    <x v="798"/>
    <x v="51"/>
    <x v="648"/>
    <x v="0"/>
    <x v="0"/>
    <x v="1"/>
  </r>
  <r>
    <x v="800"/>
    <s v="Meagan Pierce"/>
    <x v="27"/>
    <x v="0"/>
    <x v="1"/>
    <s v="Postgraduate"/>
    <x v="1"/>
    <n v="30931"/>
    <n v="631"/>
    <n v="49791"/>
    <x v="1"/>
    <n v="0.155"/>
    <x v="0"/>
    <s v="Rented"/>
    <n v="3"/>
    <n v="4"/>
    <s v="No"/>
    <s v="No"/>
    <x v="1"/>
    <n v="29590"/>
    <x v="799"/>
    <x v="17"/>
    <x v="649"/>
    <x v="0"/>
    <x v="0"/>
    <x v="1"/>
  </r>
  <r>
    <x v="801"/>
    <s v="Jack Harper"/>
    <x v="40"/>
    <x v="0"/>
    <x v="3"/>
    <s v="Postgraduate"/>
    <x v="1"/>
    <n v="48718"/>
    <n v="631"/>
    <n v="38117"/>
    <x v="4"/>
    <n v="0.1105"/>
    <x v="1"/>
    <s v="Owned"/>
    <n v="23"/>
    <n v="2"/>
    <s v="Yes"/>
    <s v="No"/>
    <x v="4"/>
    <n v="99306"/>
    <x v="800"/>
    <x v="89"/>
    <x v="650"/>
    <x v="1"/>
    <x v="0"/>
    <x v="1"/>
  </r>
  <r>
    <x v="802"/>
    <s v="Tracy Green"/>
    <x v="35"/>
    <x v="1"/>
    <x v="0"/>
    <s v="Graduate"/>
    <x v="2"/>
    <n v="122517"/>
    <n v="631"/>
    <n v="39033"/>
    <x v="4"/>
    <n v="7.8700000000000006E-2"/>
    <x v="0"/>
    <s v="Rented"/>
    <n v="25"/>
    <n v="3"/>
    <s v="Yes"/>
    <s v="Yes"/>
    <x v="2"/>
    <n v="24297"/>
    <x v="801"/>
    <x v="50"/>
    <x v="152"/>
    <x v="0"/>
    <x v="0"/>
    <x v="1"/>
  </r>
  <r>
    <x v="803"/>
    <s v="Jeremy Williams"/>
    <x v="37"/>
    <x v="0"/>
    <x v="1"/>
    <s v="Graduate"/>
    <x v="2"/>
    <n v="116498"/>
    <n v="630"/>
    <n v="22988"/>
    <x v="0"/>
    <n v="9.1700000000000004E-2"/>
    <x v="2"/>
    <s v="Owned"/>
    <n v="26"/>
    <n v="0"/>
    <s v="Yes"/>
    <s v="Yes"/>
    <x v="1"/>
    <n v="192375"/>
    <x v="802"/>
    <x v="48"/>
    <x v="651"/>
    <x v="1"/>
    <x v="1"/>
    <x v="1"/>
  </r>
  <r>
    <x v="804"/>
    <s v="James Burnett"/>
    <x v="15"/>
    <x v="0"/>
    <x v="0"/>
    <s v="High School"/>
    <x v="1"/>
    <n v="88706"/>
    <n v="630"/>
    <n v="23072"/>
    <x v="1"/>
    <n v="0.16699999999999998"/>
    <x v="5"/>
    <s v="Mortgaged"/>
    <n v="9"/>
    <n v="4"/>
    <s v="Yes"/>
    <s v="Yes"/>
    <x v="3"/>
    <n v="161073"/>
    <x v="803"/>
    <x v="48"/>
    <x v="205"/>
    <x v="1"/>
    <x v="0"/>
    <x v="1"/>
  </r>
  <r>
    <x v="805"/>
    <s v="Michael Hubbard"/>
    <x v="18"/>
    <x v="0"/>
    <x v="0"/>
    <s v="PhD"/>
    <x v="0"/>
    <n v="113220"/>
    <n v="630"/>
    <n v="16909"/>
    <x v="4"/>
    <n v="9.0899999999999995E-2"/>
    <x v="3"/>
    <s v="Owned"/>
    <n v="21"/>
    <n v="3"/>
    <s v="Yes"/>
    <s v="No"/>
    <x v="1"/>
    <n v="149435"/>
    <x v="804"/>
    <x v="4"/>
    <x v="652"/>
    <x v="0"/>
    <x v="0"/>
    <x v="1"/>
  </r>
  <r>
    <x v="806"/>
    <s v="Derrick Flores"/>
    <x v="16"/>
    <x v="0"/>
    <x v="3"/>
    <s v="Graduate"/>
    <x v="3"/>
    <n v="37207"/>
    <n v="630"/>
    <n v="45839"/>
    <x v="2"/>
    <n v="9.06E-2"/>
    <x v="2"/>
    <s v="Mortgaged"/>
    <n v="9"/>
    <n v="4"/>
    <s v="Yes"/>
    <s v="Yes"/>
    <x v="2"/>
    <n v="38567"/>
    <x v="805"/>
    <x v="41"/>
    <x v="653"/>
    <x v="1"/>
    <x v="0"/>
    <x v="1"/>
  </r>
  <r>
    <x v="807"/>
    <s v="Leonard Thompson"/>
    <x v="7"/>
    <x v="0"/>
    <x v="1"/>
    <s v="PhD"/>
    <x v="2"/>
    <n v="112509"/>
    <n v="629"/>
    <n v="25364"/>
    <x v="3"/>
    <n v="0.1996"/>
    <x v="0"/>
    <s v="Owned"/>
    <n v="3"/>
    <n v="1"/>
    <s v="No"/>
    <s v="Yes"/>
    <x v="2"/>
    <n v="84679"/>
    <x v="806"/>
    <x v="30"/>
    <x v="654"/>
    <x v="0"/>
    <x v="0"/>
    <x v="1"/>
  </r>
  <r>
    <x v="808"/>
    <s v="Patrick Cox"/>
    <x v="34"/>
    <x v="1"/>
    <x v="3"/>
    <s v="Postgraduate"/>
    <x v="2"/>
    <n v="108905"/>
    <n v="629"/>
    <n v="25665"/>
    <x v="3"/>
    <n v="0.1653"/>
    <x v="1"/>
    <s v="Owned"/>
    <n v="6"/>
    <n v="3"/>
    <s v="No"/>
    <s v="No"/>
    <x v="4"/>
    <n v="147407"/>
    <x v="807"/>
    <x v="22"/>
    <x v="655"/>
    <x v="0"/>
    <x v="0"/>
    <x v="1"/>
  </r>
  <r>
    <x v="809"/>
    <s v="Amy Carter"/>
    <x v="36"/>
    <x v="1"/>
    <x v="1"/>
    <s v="PhD"/>
    <x v="2"/>
    <n v="25577"/>
    <n v="629"/>
    <n v="23082"/>
    <x v="1"/>
    <n v="0.15049999999999999"/>
    <x v="1"/>
    <s v="Rented"/>
    <n v="29"/>
    <n v="0"/>
    <s v="Yes"/>
    <s v="Yes"/>
    <x v="0"/>
    <n v="110325"/>
    <x v="808"/>
    <x v="8"/>
    <x v="656"/>
    <x v="1"/>
    <x v="0"/>
    <x v="1"/>
  </r>
  <r>
    <x v="810"/>
    <s v="Ashley Brown"/>
    <x v="35"/>
    <x v="1"/>
    <x v="3"/>
    <s v="Postgraduate"/>
    <x v="0"/>
    <n v="134151"/>
    <n v="629"/>
    <n v="33747"/>
    <x v="3"/>
    <n v="0.12770000000000001"/>
    <x v="5"/>
    <s v="Mortgaged"/>
    <n v="20"/>
    <n v="1"/>
    <s v="No"/>
    <s v="No"/>
    <x v="1"/>
    <n v="116867"/>
    <x v="809"/>
    <x v="8"/>
    <x v="657"/>
    <x v="0"/>
    <x v="1"/>
    <x v="1"/>
  </r>
  <r>
    <x v="811"/>
    <s v="Kristy Reyes"/>
    <x v="40"/>
    <x v="1"/>
    <x v="3"/>
    <s v="PhD"/>
    <x v="0"/>
    <n v="124263"/>
    <n v="629"/>
    <n v="12278"/>
    <x v="1"/>
    <n v="8.6699999999999999E-2"/>
    <x v="1"/>
    <s v="Mortgaged"/>
    <n v="11"/>
    <n v="0"/>
    <s v="No"/>
    <s v="No"/>
    <x v="3"/>
    <n v="172415"/>
    <x v="810"/>
    <x v="4"/>
    <x v="415"/>
    <x v="0"/>
    <x v="1"/>
    <x v="1"/>
  </r>
  <r>
    <x v="812"/>
    <s v="Brandy Holmes"/>
    <x v="30"/>
    <x v="0"/>
    <x v="3"/>
    <s v="Graduate"/>
    <x v="1"/>
    <n v="128522"/>
    <n v="629"/>
    <n v="38958"/>
    <x v="4"/>
    <n v="0.1527"/>
    <x v="1"/>
    <s v="Owned"/>
    <n v="19"/>
    <n v="0"/>
    <s v="No"/>
    <s v="Yes"/>
    <x v="2"/>
    <n v="12920"/>
    <x v="811"/>
    <x v="88"/>
    <x v="346"/>
    <x v="0"/>
    <x v="0"/>
    <x v="1"/>
  </r>
  <r>
    <x v="813"/>
    <s v="Collin Foster"/>
    <x v="7"/>
    <x v="0"/>
    <x v="0"/>
    <s v="PhD"/>
    <x v="3"/>
    <n v="119340"/>
    <n v="628"/>
    <n v="36801"/>
    <x v="2"/>
    <n v="0.16"/>
    <x v="1"/>
    <s v="Mortgaged"/>
    <n v="14"/>
    <n v="4"/>
    <s v="No"/>
    <s v="Yes"/>
    <x v="4"/>
    <n v="11788"/>
    <x v="812"/>
    <x v="13"/>
    <x v="658"/>
    <x v="0"/>
    <x v="0"/>
    <x v="1"/>
  </r>
  <r>
    <x v="814"/>
    <s v="Tracy Smith"/>
    <x v="30"/>
    <x v="1"/>
    <x v="2"/>
    <s v="Postgraduate"/>
    <x v="3"/>
    <n v="60164"/>
    <n v="628"/>
    <n v="38085"/>
    <x v="2"/>
    <n v="0.12770000000000001"/>
    <x v="4"/>
    <s v="Owned"/>
    <n v="12"/>
    <n v="1"/>
    <s v="Yes"/>
    <s v="No"/>
    <x v="0"/>
    <n v="66430"/>
    <x v="813"/>
    <x v="24"/>
    <x v="659"/>
    <x v="1"/>
    <x v="1"/>
    <x v="1"/>
  </r>
  <r>
    <x v="815"/>
    <s v="Amy Koch"/>
    <x v="28"/>
    <x v="0"/>
    <x v="2"/>
    <s v="PhD"/>
    <x v="3"/>
    <n v="58506"/>
    <n v="628"/>
    <n v="21246"/>
    <x v="1"/>
    <n v="7.7499999999999999E-2"/>
    <x v="1"/>
    <s v="Rented"/>
    <n v="6"/>
    <n v="2"/>
    <s v="Yes"/>
    <s v="Yes"/>
    <x v="2"/>
    <n v="131439"/>
    <x v="814"/>
    <x v="4"/>
    <x v="660"/>
    <x v="0"/>
    <x v="0"/>
    <x v="1"/>
  </r>
  <r>
    <x v="816"/>
    <s v="Dakota Jones"/>
    <x v="22"/>
    <x v="1"/>
    <x v="1"/>
    <s v="Postgraduate"/>
    <x v="3"/>
    <n v="89263"/>
    <n v="627"/>
    <n v="46702"/>
    <x v="2"/>
    <n v="7.1800000000000003E-2"/>
    <x v="2"/>
    <s v="Owned"/>
    <n v="8"/>
    <n v="1"/>
    <s v="Yes"/>
    <s v="Yes"/>
    <x v="4"/>
    <n v="75195"/>
    <x v="815"/>
    <x v="25"/>
    <x v="661"/>
    <x v="1"/>
    <x v="1"/>
    <x v="1"/>
  </r>
  <r>
    <x v="817"/>
    <s v="Robert Roberts"/>
    <x v="16"/>
    <x v="1"/>
    <x v="0"/>
    <s v="Postgraduate"/>
    <x v="3"/>
    <n v="97261"/>
    <n v="627"/>
    <n v="16531"/>
    <x v="1"/>
    <n v="0.158"/>
    <x v="3"/>
    <s v="Owned"/>
    <n v="18"/>
    <n v="3"/>
    <s v="No"/>
    <s v="Yes"/>
    <x v="2"/>
    <n v="65146"/>
    <x v="816"/>
    <x v="41"/>
    <x v="662"/>
    <x v="0"/>
    <x v="0"/>
    <x v="1"/>
  </r>
  <r>
    <x v="818"/>
    <s v="Leonard Baxter"/>
    <x v="34"/>
    <x v="0"/>
    <x v="3"/>
    <s v="PhD"/>
    <x v="2"/>
    <n v="127441"/>
    <n v="627"/>
    <n v="47036"/>
    <x v="2"/>
    <n v="8.8599999999999998E-2"/>
    <x v="0"/>
    <s v="Rented"/>
    <n v="20"/>
    <n v="1"/>
    <s v="Yes"/>
    <s v="No"/>
    <x v="3"/>
    <n v="12818"/>
    <x v="817"/>
    <x v="49"/>
    <x v="663"/>
    <x v="1"/>
    <x v="0"/>
    <x v="1"/>
  </r>
  <r>
    <x v="819"/>
    <s v="Michael Young"/>
    <x v="3"/>
    <x v="1"/>
    <x v="2"/>
    <s v="Graduate"/>
    <x v="1"/>
    <n v="99955"/>
    <n v="626"/>
    <n v="6289"/>
    <x v="3"/>
    <n v="0.1168"/>
    <x v="4"/>
    <s v="Mortgaged"/>
    <n v="12"/>
    <n v="0"/>
    <s v="No"/>
    <s v="Yes"/>
    <x v="3"/>
    <n v="27892"/>
    <x v="818"/>
    <x v="47"/>
    <x v="664"/>
    <x v="0"/>
    <x v="1"/>
    <x v="1"/>
  </r>
  <r>
    <x v="820"/>
    <s v="Jacob Olson"/>
    <x v="3"/>
    <x v="0"/>
    <x v="2"/>
    <s v="PhD"/>
    <x v="1"/>
    <n v="41575"/>
    <n v="626"/>
    <n v="43923"/>
    <x v="4"/>
    <n v="0.1105"/>
    <x v="0"/>
    <s v="Owned"/>
    <n v="12"/>
    <n v="2"/>
    <s v="Yes"/>
    <s v="Yes"/>
    <x v="3"/>
    <n v="165556"/>
    <x v="819"/>
    <x v="55"/>
    <x v="665"/>
    <x v="1"/>
    <x v="0"/>
    <x v="1"/>
  </r>
  <r>
    <x v="821"/>
    <s v="Kelsey Kelly"/>
    <x v="27"/>
    <x v="1"/>
    <x v="1"/>
    <s v="PhD"/>
    <x v="3"/>
    <n v="124779"/>
    <n v="626"/>
    <n v="19040"/>
    <x v="1"/>
    <n v="0.12759999999999999"/>
    <x v="4"/>
    <s v="Mortgaged"/>
    <n v="8"/>
    <n v="4"/>
    <s v="Yes"/>
    <s v="No"/>
    <x v="0"/>
    <n v="125275"/>
    <x v="820"/>
    <x v="78"/>
    <x v="666"/>
    <x v="0"/>
    <x v="0"/>
    <x v="1"/>
  </r>
  <r>
    <x v="822"/>
    <s v="Laura Aguirre"/>
    <x v="25"/>
    <x v="0"/>
    <x v="1"/>
    <s v="PhD"/>
    <x v="3"/>
    <n v="49565"/>
    <n v="626"/>
    <n v="4201"/>
    <x v="0"/>
    <n v="0.11220000000000001"/>
    <x v="0"/>
    <s v="Mortgaged"/>
    <n v="2"/>
    <n v="1"/>
    <s v="Yes"/>
    <s v="Yes"/>
    <x v="3"/>
    <n v="73490"/>
    <x v="821"/>
    <x v="53"/>
    <x v="667"/>
    <x v="1"/>
    <x v="0"/>
    <x v="1"/>
  </r>
  <r>
    <x v="823"/>
    <s v="Brian Wall"/>
    <x v="27"/>
    <x v="1"/>
    <x v="0"/>
    <s v="Postgraduate"/>
    <x v="2"/>
    <n v="101132"/>
    <n v="625"/>
    <n v="15340"/>
    <x v="1"/>
    <n v="0.1173"/>
    <x v="2"/>
    <s v="Rented"/>
    <n v="15"/>
    <n v="1"/>
    <s v="Yes"/>
    <s v="No"/>
    <x v="2"/>
    <n v="146417"/>
    <x v="822"/>
    <x v="57"/>
    <x v="668"/>
    <x v="0"/>
    <x v="0"/>
    <x v="1"/>
  </r>
  <r>
    <x v="824"/>
    <s v="Luis Hoffman"/>
    <x v="19"/>
    <x v="0"/>
    <x v="0"/>
    <s v="Graduate"/>
    <x v="1"/>
    <n v="119397"/>
    <n v="625"/>
    <n v="4838"/>
    <x v="4"/>
    <n v="0.19440000000000002"/>
    <x v="1"/>
    <s v="Mortgaged"/>
    <n v="1"/>
    <n v="2"/>
    <s v="Yes"/>
    <s v="No"/>
    <x v="2"/>
    <n v="26376"/>
    <x v="823"/>
    <x v="14"/>
    <x v="669"/>
    <x v="1"/>
    <x v="0"/>
    <x v="1"/>
  </r>
  <r>
    <x v="825"/>
    <s v="Tonya Byrd"/>
    <x v="15"/>
    <x v="0"/>
    <x v="0"/>
    <s v="Graduate"/>
    <x v="1"/>
    <n v="111137"/>
    <n v="625"/>
    <n v="31763"/>
    <x v="4"/>
    <n v="6.2699999999999992E-2"/>
    <x v="5"/>
    <s v="Owned"/>
    <n v="5"/>
    <n v="0"/>
    <s v="Yes"/>
    <s v="No"/>
    <x v="0"/>
    <n v="146851"/>
    <x v="824"/>
    <x v="39"/>
    <x v="9"/>
    <x v="0"/>
    <x v="0"/>
    <x v="1"/>
  </r>
  <r>
    <x v="826"/>
    <s v="Meghan Austin"/>
    <x v="3"/>
    <x v="1"/>
    <x v="2"/>
    <s v="PhD"/>
    <x v="3"/>
    <n v="48840"/>
    <n v="625"/>
    <n v="31955"/>
    <x v="4"/>
    <n v="0.126"/>
    <x v="5"/>
    <s v="Owned"/>
    <n v="29"/>
    <n v="3"/>
    <s v="No"/>
    <s v="No"/>
    <x v="3"/>
    <n v="185084"/>
    <x v="825"/>
    <x v="3"/>
    <x v="670"/>
    <x v="1"/>
    <x v="0"/>
    <x v="1"/>
  </r>
  <r>
    <x v="827"/>
    <s v="Mike Rodriguez"/>
    <x v="31"/>
    <x v="1"/>
    <x v="1"/>
    <s v="High School"/>
    <x v="2"/>
    <n v="50936"/>
    <n v="625"/>
    <n v="32094"/>
    <x v="0"/>
    <n v="0.1072"/>
    <x v="5"/>
    <s v="Owned"/>
    <n v="1"/>
    <n v="0"/>
    <s v="Yes"/>
    <s v="No"/>
    <x v="1"/>
    <n v="154761"/>
    <x v="826"/>
    <x v="21"/>
    <x v="671"/>
    <x v="0"/>
    <x v="0"/>
    <x v="1"/>
  </r>
  <r>
    <x v="828"/>
    <s v="Sandy Johnson"/>
    <x v="8"/>
    <x v="0"/>
    <x v="0"/>
    <s v="PhD"/>
    <x v="1"/>
    <n v="97225"/>
    <n v="624"/>
    <n v="42722"/>
    <x v="0"/>
    <n v="0.13869999999999999"/>
    <x v="3"/>
    <s v="Mortgaged"/>
    <n v="6"/>
    <n v="2"/>
    <s v="No"/>
    <s v="Yes"/>
    <x v="0"/>
    <n v="58724"/>
    <x v="827"/>
    <x v="9"/>
    <x v="672"/>
    <x v="1"/>
    <x v="1"/>
    <x v="1"/>
  </r>
  <r>
    <x v="829"/>
    <s v="David Ruiz"/>
    <x v="30"/>
    <x v="1"/>
    <x v="0"/>
    <s v="Graduate"/>
    <x v="1"/>
    <n v="138623"/>
    <n v="624"/>
    <n v="32499"/>
    <x v="3"/>
    <n v="0.17579999999999998"/>
    <x v="3"/>
    <s v="Mortgaged"/>
    <n v="18"/>
    <n v="2"/>
    <s v="No"/>
    <s v="No"/>
    <x v="1"/>
    <n v="172150"/>
    <x v="828"/>
    <x v="66"/>
    <x v="673"/>
    <x v="1"/>
    <x v="0"/>
    <x v="1"/>
  </r>
  <r>
    <x v="830"/>
    <s v="Franklin Alexander"/>
    <x v="20"/>
    <x v="0"/>
    <x v="3"/>
    <s v="Graduate"/>
    <x v="1"/>
    <n v="54550"/>
    <n v="624"/>
    <n v="3340"/>
    <x v="2"/>
    <n v="0.18410000000000001"/>
    <x v="1"/>
    <s v="Mortgaged"/>
    <n v="10"/>
    <n v="1"/>
    <s v="No"/>
    <s v="Yes"/>
    <x v="2"/>
    <n v="21786"/>
    <x v="829"/>
    <x v="68"/>
    <x v="569"/>
    <x v="1"/>
    <x v="0"/>
    <x v="1"/>
  </r>
  <r>
    <x v="831"/>
    <s v="Jorge Murphy"/>
    <x v="18"/>
    <x v="1"/>
    <x v="2"/>
    <s v="PhD"/>
    <x v="1"/>
    <n v="142872"/>
    <n v="624"/>
    <n v="47241"/>
    <x v="4"/>
    <n v="0.1101"/>
    <x v="4"/>
    <s v="Mortgaged"/>
    <n v="25"/>
    <n v="3"/>
    <s v="Yes"/>
    <s v="No"/>
    <x v="1"/>
    <n v="111541"/>
    <x v="830"/>
    <x v="86"/>
    <x v="1"/>
    <x v="0"/>
    <x v="0"/>
    <x v="1"/>
  </r>
  <r>
    <x v="832"/>
    <s v="Adrian Hendricks"/>
    <x v="38"/>
    <x v="0"/>
    <x v="0"/>
    <s v="High School"/>
    <x v="3"/>
    <n v="49592"/>
    <n v="624"/>
    <n v="25243"/>
    <x v="3"/>
    <n v="5.2900000000000003E-2"/>
    <x v="2"/>
    <s v="Owned"/>
    <n v="11"/>
    <n v="3"/>
    <s v="Yes"/>
    <s v="No"/>
    <x v="3"/>
    <n v="110375"/>
    <x v="831"/>
    <x v="82"/>
    <x v="674"/>
    <x v="0"/>
    <x v="0"/>
    <x v="1"/>
  </r>
  <r>
    <x v="833"/>
    <s v="Matthew Phillips"/>
    <x v="1"/>
    <x v="1"/>
    <x v="3"/>
    <s v="PhD"/>
    <x v="2"/>
    <n v="110518"/>
    <n v="624"/>
    <n v="38081"/>
    <x v="2"/>
    <n v="0.1734"/>
    <x v="1"/>
    <s v="Owned"/>
    <n v="9"/>
    <n v="3"/>
    <s v="Yes"/>
    <s v="No"/>
    <x v="4"/>
    <n v="197658"/>
    <x v="832"/>
    <x v="3"/>
    <x v="675"/>
    <x v="1"/>
    <x v="0"/>
    <x v="1"/>
  </r>
  <r>
    <x v="834"/>
    <s v="Stacy Harper"/>
    <x v="36"/>
    <x v="1"/>
    <x v="2"/>
    <s v="High School"/>
    <x v="2"/>
    <n v="123489"/>
    <n v="623"/>
    <n v="7351"/>
    <x v="0"/>
    <n v="6.9599999999999995E-2"/>
    <x v="4"/>
    <s v="Mortgaged"/>
    <n v="17"/>
    <n v="1"/>
    <s v="Yes"/>
    <s v="No"/>
    <x v="0"/>
    <n v="14560"/>
    <x v="833"/>
    <x v="70"/>
    <x v="676"/>
    <x v="1"/>
    <x v="0"/>
    <x v="1"/>
  </r>
  <r>
    <x v="835"/>
    <s v="Joyce Guerra"/>
    <x v="22"/>
    <x v="1"/>
    <x v="0"/>
    <s v="Graduate"/>
    <x v="0"/>
    <n v="56929"/>
    <n v="623"/>
    <n v="46971"/>
    <x v="4"/>
    <n v="6.6600000000000006E-2"/>
    <x v="5"/>
    <s v="Rented"/>
    <n v="28"/>
    <n v="4"/>
    <s v="No"/>
    <s v="Yes"/>
    <x v="1"/>
    <n v="1755"/>
    <x v="834"/>
    <x v="30"/>
    <x v="392"/>
    <x v="0"/>
    <x v="0"/>
    <x v="1"/>
  </r>
  <r>
    <x v="836"/>
    <s v="Eric Morgan"/>
    <x v="18"/>
    <x v="1"/>
    <x v="1"/>
    <s v="PhD"/>
    <x v="0"/>
    <n v="27265"/>
    <n v="623"/>
    <n v="21719"/>
    <x v="3"/>
    <n v="6.7299999999999999E-2"/>
    <x v="2"/>
    <s v="Rented"/>
    <n v="27"/>
    <n v="4"/>
    <s v="No"/>
    <s v="No"/>
    <x v="3"/>
    <n v="156150"/>
    <x v="835"/>
    <x v="72"/>
    <x v="677"/>
    <x v="1"/>
    <x v="0"/>
    <x v="1"/>
  </r>
  <r>
    <x v="837"/>
    <s v="George Carlson"/>
    <x v="42"/>
    <x v="1"/>
    <x v="2"/>
    <s v="Graduate"/>
    <x v="2"/>
    <n v="84340"/>
    <n v="623"/>
    <n v="4275"/>
    <x v="2"/>
    <n v="8.1199999999999994E-2"/>
    <x v="2"/>
    <s v="Rented"/>
    <n v="17"/>
    <n v="2"/>
    <s v="Yes"/>
    <s v="Yes"/>
    <x v="1"/>
    <n v="7075"/>
    <x v="836"/>
    <x v="24"/>
    <x v="678"/>
    <x v="1"/>
    <x v="0"/>
    <x v="1"/>
  </r>
  <r>
    <x v="838"/>
    <s v="Darren Bolton"/>
    <x v="14"/>
    <x v="0"/>
    <x v="0"/>
    <s v="High School"/>
    <x v="1"/>
    <n v="33306"/>
    <n v="623"/>
    <n v="4770"/>
    <x v="0"/>
    <n v="0.17530000000000001"/>
    <x v="5"/>
    <s v="Rented"/>
    <n v="6"/>
    <n v="0"/>
    <s v="Yes"/>
    <s v="Yes"/>
    <x v="1"/>
    <n v="174799"/>
    <x v="837"/>
    <x v="45"/>
    <x v="679"/>
    <x v="0"/>
    <x v="0"/>
    <x v="1"/>
  </r>
  <r>
    <x v="839"/>
    <s v="Travis Tyler"/>
    <x v="36"/>
    <x v="0"/>
    <x v="1"/>
    <s v="High School"/>
    <x v="0"/>
    <n v="53785"/>
    <n v="622"/>
    <n v="8631"/>
    <x v="0"/>
    <n v="6.0999999999999999E-2"/>
    <x v="5"/>
    <s v="Mortgaged"/>
    <n v="2"/>
    <n v="3"/>
    <s v="No"/>
    <s v="Yes"/>
    <x v="2"/>
    <n v="19870"/>
    <x v="838"/>
    <x v="82"/>
    <x v="680"/>
    <x v="1"/>
    <x v="1"/>
    <x v="1"/>
  </r>
  <r>
    <x v="840"/>
    <s v="Brian Davis"/>
    <x v="35"/>
    <x v="0"/>
    <x v="1"/>
    <s v="PhD"/>
    <x v="1"/>
    <n v="29490"/>
    <n v="622"/>
    <n v="34651"/>
    <x v="3"/>
    <n v="0.13689999999999999"/>
    <x v="2"/>
    <s v="Rented"/>
    <n v="23"/>
    <n v="4"/>
    <s v="Yes"/>
    <s v="Yes"/>
    <x v="4"/>
    <n v="132250"/>
    <x v="839"/>
    <x v="23"/>
    <x v="681"/>
    <x v="0"/>
    <x v="0"/>
    <x v="1"/>
  </r>
  <r>
    <x v="841"/>
    <s v="Kimberly Johnson"/>
    <x v="32"/>
    <x v="1"/>
    <x v="3"/>
    <s v="Postgraduate"/>
    <x v="1"/>
    <n v="93889"/>
    <n v="622"/>
    <n v="26322"/>
    <x v="0"/>
    <n v="5.9400000000000001E-2"/>
    <x v="3"/>
    <s v="Rented"/>
    <n v="11"/>
    <n v="4"/>
    <s v="Yes"/>
    <s v="Yes"/>
    <x v="3"/>
    <n v="70935"/>
    <x v="840"/>
    <x v="9"/>
    <x v="682"/>
    <x v="1"/>
    <x v="0"/>
    <x v="1"/>
  </r>
  <r>
    <x v="842"/>
    <s v="Erica Jensen"/>
    <x v="3"/>
    <x v="0"/>
    <x v="1"/>
    <s v="High School"/>
    <x v="3"/>
    <n v="146896"/>
    <n v="621"/>
    <n v="32457"/>
    <x v="0"/>
    <n v="0.18329999999999999"/>
    <x v="1"/>
    <s v="Mortgaged"/>
    <n v="9"/>
    <n v="2"/>
    <s v="No"/>
    <s v="Yes"/>
    <x v="3"/>
    <n v="101351"/>
    <x v="841"/>
    <x v="76"/>
    <x v="683"/>
    <x v="0"/>
    <x v="0"/>
    <x v="1"/>
  </r>
  <r>
    <x v="843"/>
    <s v="Mrs. Tara Watson"/>
    <x v="1"/>
    <x v="0"/>
    <x v="2"/>
    <s v="Graduate"/>
    <x v="1"/>
    <n v="105929"/>
    <n v="621"/>
    <n v="25281"/>
    <x v="0"/>
    <n v="0.115"/>
    <x v="2"/>
    <s v="Owned"/>
    <n v="25"/>
    <n v="2"/>
    <s v="No"/>
    <s v="Yes"/>
    <x v="3"/>
    <n v="195621"/>
    <x v="842"/>
    <x v="44"/>
    <x v="684"/>
    <x v="0"/>
    <x v="0"/>
    <x v="1"/>
  </r>
  <r>
    <x v="844"/>
    <s v="Jack Brown"/>
    <x v="5"/>
    <x v="1"/>
    <x v="2"/>
    <s v="Graduate"/>
    <x v="1"/>
    <n v="104627"/>
    <n v="620"/>
    <n v="36814"/>
    <x v="3"/>
    <n v="5.0499999999999996E-2"/>
    <x v="3"/>
    <s v="Owned"/>
    <n v="2"/>
    <n v="1"/>
    <s v="Yes"/>
    <s v="No"/>
    <x v="4"/>
    <n v="160120"/>
    <x v="843"/>
    <x v="38"/>
    <x v="685"/>
    <x v="1"/>
    <x v="0"/>
    <x v="1"/>
  </r>
  <r>
    <x v="845"/>
    <s v="Samantha Brennan"/>
    <x v="20"/>
    <x v="0"/>
    <x v="1"/>
    <s v="PhD"/>
    <x v="0"/>
    <n v="76805"/>
    <n v="620"/>
    <n v="7050"/>
    <x v="1"/>
    <n v="5.3499999999999999E-2"/>
    <x v="5"/>
    <s v="Mortgaged"/>
    <n v="3"/>
    <n v="3"/>
    <s v="Yes"/>
    <s v="No"/>
    <x v="3"/>
    <n v="144086"/>
    <x v="844"/>
    <x v="51"/>
    <x v="686"/>
    <x v="1"/>
    <x v="0"/>
    <x v="1"/>
  </r>
  <r>
    <x v="846"/>
    <s v="Matthew Jennings"/>
    <x v="38"/>
    <x v="0"/>
    <x v="1"/>
    <s v="High School"/>
    <x v="1"/>
    <n v="41602"/>
    <n v="620"/>
    <n v="15669"/>
    <x v="4"/>
    <n v="0.1351"/>
    <x v="4"/>
    <s v="Rented"/>
    <n v="26"/>
    <n v="2"/>
    <s v="No"/>
    <s v="No"/>
    <x v="0"/>
    <n v="132"/>
    <x v="845"/>
    <x v="70"/>
    <x v="687"/>
    <x v="1"/>
    <x v="0"/>
    <x v="1"/>
  </r>
  <r>
    <x v="847"/>
    <s v="Stephanie Church"/>
    <x v="29"/>
    <x v="0"/>
    <x v="3"/>
    <s v="Postgraduate"/>
    <x v="1"/>
    <n v="49483"/>
    <n v="620"/>
    <n v="13294"/>
    <x v="2"/>
    <n v="0.16870000000000002"/>
    <x v="0"/>
    <s v="Owned"/>
    <n v="1"/>
    <n v="2"/>
    <s v="No"/>
    <s v="Yes"/>
    <x v="2"/>
    <n v="179065"/>
    <x v="846"/>
    <x v="9"/>
    <x v="688"/>
    <x v="0"/>
    <x v="0"/>
    <x v="1"/>
  </r>
  <r>
    <x v="848"/>
    <s v="Vincent Beard"/>
    <x v="4"/>
    <x v="0"/>
    <x v="0"/>
    <s v="PhD"/>
    <x v="1"/>
    <n v="58104"/>
    <n v="619"/>
    <n v="19643"/>
    <x v="4"/>
    <n v="0.1144"/>
    <x v="1"/>
    <s v="Rented"/>
    <n v="2"/>
    <n v="3"/>
    <s v="Yes"/>
    <s v="No"/>
    <x v="3"/>
    <n v="169814"/>
    <x v="847"/>
    <x v="73"/>
    <x v="689"/>
    <x v="0"/>
    <x v="0"/>
    <x v="1"/>
  </r>
  <r>
    <x v="849"/>
    <s v="Brittany Cowan"/>
    <x v="29"/>
    <x v="1"/>
    <x v="2"/>
    <s v="Postgraduate"/>
    <x v="3"/>
    <n v="23320"/>
    <n v="619"/>
    <n v="23554"/>
    <x v="1"/>
    <n v="7.9500000000000001E-2"/>
    <x v="0"/>
    <s v="Owned"/>
    <n v="22"/>
    <n v="3"/>
    <s v="No"/>
    <s v="Yes"/>
    <x v="0"/>
    <n v="29059"/>
    <x v="848"/>
    <x v="29"/>
    <x v="428"/>
    <x v="1"/>
    <x v="0"/>
    <x v="1"/>
  </r>
  <r>
    <x v="850"/>
    <s v="Jordan Williams"/>
    <x v="32"/>
    <x v="1"/>
    <x v="3"/>
    <s v="PhD"/>
    <x v="1"/>
    <n v="88045"/>
    <n v="619"/>
    <n v="2415"/>
    <x v="4"/>
    <n v="0.1384"/>
    <x v="4"/>
    <s v="Owned"/>
    <n v="22"/>
    <n v="1"/>
    <s v="Yes"/>
    <s v="Yes"/>
    <x v="1"/>
    <n v="192758"/>
    <x v="849"/>
    <x v="0"/>
    <x v="690"/>
    <x v="0"/>
    <x v="0"/>
    <x v="1"/>
  </r>
  <r>
    <x v="851"/>
    <s v="Charles Pearson"/>
    <x v="12"/>
    <x v="1"/>
    <x v="1"/>
    <s v="PhD"/>
    <x v="1"/>
    <n v="83645"/>
    <n v="619"/>
    <n v="10945"/>
    <x v="3"/>
    <n v="0.1013"/>
    <x v="5"/>
    <s v="Mortgaged"/>
    <n v="22"/>
    <n v="2"/>
    <s v="Yes"/>
    <s v="No"/>
    <x v="1"/>
    <n v="131913"/>
    <x v="850"/>
    <x v="65"/>
    <x v="691"/>
    <x v="1"/>
    <x v="0"/>
    <x v="1"/>
  </r>
  <r>
    <x v="852"/>
    <s v="Christina Black"/>
    <x v="24"/>
    <x v="1"/>
    <x v="0"/>
    <s v="PhD"/>
    <x v="1"/>
    <n v="36704"/>
    <n v="619"/>
    <n v="39551"/>
    <x v="3"/>
    <n v="0.121"/>
    <x v="1"/>
    <s v="Mortgaged"/>
    <n v="25"/>
    <n v="1"/>
    <s v="Yes"/>
    <s v="No"/>
    <x v="0"/>
    <n v="95526"/>
    <x v="851"/>
    <x v="84"/>
    <x v="106"/>
    <x v="1"/>
    <x v="1"/>
    <x v="1"/>
  </r>
  <r>
    <x v="853"/>
    <s v="Edgar Wise"/>
    <x v="7"/>
    <x v="1"/>
    <x v="1"/>
    <s v="PhD"/>
    <x v="2"/>
    <n v="107908"/>
    <n v="619"/>
    <n v="45477"/>
    <x v="3"/>
    <n v="0.19649999999999998"/>
    <x v="4"/>
    <s v="Mortgaged"/>
    <n v="10"/>
    <n v="4"/>
    <s v="Yes"/>
    <s v="Yes"/>
    <x v="2"/>
    <n v="124026"/>
    <x v="852"/>
    <x v="17"/>
    <x v="692"/>
    <x v="0"/>
    <x v="0"/>
    <x v="1"/>
  </r>
  <r>
    <x v="854"/>
    <s v="Angela Smith"/>
    <x v="14"/>
    <x v="0"/>
    <x v="1"/>
    <s v="PhD"/>
    <x v="0"/>
    <n v="35994"/>
    <n v="618"/>
    <n v="37621"/>
    <x v="1"/>
    <n v="0.13600000000000001"/>
    <x v="4"/>
    <s v="Owned"/>
    <n v="27"/>
    <n v="2"/>
    <s v="No"/>
    <s v="Yes"/>
    <x v="4"/>
    <n v="17602"/>
    <x v="853"/>
    <x v="86"/>
    <x v="693"/>
    <x v="0"/>
    <x v="0"/>
    <x v="1"/>
  </r>
  <r>
    <x v="855"/>
    <s v="Cindy Dunn"/>
    <x v="28"/>
    <x v="1"/>
    <x v="3"/>
    <s v="Graduate"/>
    <x v="2"/>
    <n v="133672"/>
    <n v="618"/>
    <n v="29006"/>
    <x v="2"/>
    <n v="0.16289999999999999"/>
    <x v="0"/>
    <s v="Mortgaged"/>
    <n v="28"/>
    <n v="3"/>
    <s v="Yes"/>
    <s v="No"/>
    <x v="2"/>
    <n v="136361"/>
    <x v="854"/>
    <x v="27"/>
    <x v="694"/>
    <x v="0"/>
    <x v="0"/>
    <x v="1"/>
  </r>
  <r>
    <x v="856"/>
    <s v="Jonathon Oconnor"/>
    <x v="4"/>
    <x v="1"/>
    <x v="0"/>
    <s v="Graduate"/>
    <x v="1"/>
    <n v="64553"/>
    <n v="618"/>
    <n v="22066"/>
    <x v="1"/>
    <n v="0.10769999999999999"/>
    <x v="3"/>
    <s v="Rented"/>
    <n v="24"/>
    <n v="1"/>
    <s v="Yes"/>
    <s v="No"/>
    <x v="3"/>
    <n v="85538"/>
    <x v="855"/>
    <x v="65"/>
    <x v="695"/>
    <x v="1"/>
    <x v="0"/>
    <x v="1"/>
  </r>
  <r>
    <x v="857"/>
    <s v="Cynthia Turner"/>
    <x v="0"/>
    <x v="0"/>
    <x v="1"/>
    <s v="PhD"/>
    <x v="0"/>
    <n v="47885"/>
    <n v="618"/>
    <n v="16683"/>
    <x v="2"/>
    <n v="9.7500000000000003E-2"/>
    <x v="4"/>
    <s v="Owned"/>
    <n v="3"/>
    <n v="4"/>
    <s v="No"/>
    <s v="Yes"/>
    <x v="3"/>
    <n v="6909"/>
    <x v="856"/>
    <x v="30"/>
    <x v="696"/>
    <x v="1"/>
    <x v="0"/>
    <x v="1"/>
  </r>
  <r>
    <x v="858"/>
    <s v="Matthew Davis"/>
    <x v="13"/>
    <x v="1"/>
    <x v="1"/>
    <s v="PhD"/>
    <x v="2"/>
    <n v="41323"/>
    <n v="617"/>
    <n v="29114"/>
    <x v="4"/>
    <n v="7.3800000000000004E-2"/>
    <x v="5"/>
    <s v="Owned"/>
    <n v="17"/>
    <n v="4"/>
    <s v="Yes"/>
    <s v="Yes"/>
    <x v="3"/>
    <n v="125590"/>
    <x v="857"/>
    <x v="48"/>
    <x v="697"/>
    <x v="0"/>
    <x v="0"/>
    <x v="1"/>
  </r>
  <r>
    <x v="859"/>
    <s v="Lauren Miller"/>
    <x v="34"/>
    <x v="1"/>
    <x v="0"/>
    <s v="Postgraduate"/>
    <x v="2"/>
    <n v="65712"/>
    <n v="617"/>
    <n v="37665"/>
    <x v="3"/>
    <n v="0.1772"/>
    <x v="2"/>
    <s v="Rented"/>
    <n v="18"/>
    <n v="0"/>
    <s v="Yes"/>
    <s v="Yes"/>
    <x v="0"/>
    <n v="89000"/>
    <x v="858"/>
    <x v="45"/>
    <x v="698"/>
    <x v="0"/>
    <x v="1"/>
    <x v="1"/>
  </r>
  <r>
    <x v="860"/>
    <s v="Louis Mcknight"/>
    <x v="21"/>
    <x v="1"/>
    <x v="1"/>
    <s v="Graduate"/>
    <x v="3"/>
    <n v="119318"/>
    <n v="617"/>
    <n v="3940"/>
    <x v="2"/>
    <n v="0.1295"/>
    <x v="5"/>
    <s v="Owned"/>
    <n v="9"/>
    <n v="2"/>
    <s v="No"/>
    <s v="Yes"/>
    <x v="4"/>
    <n v="183229"/>
    <x v="859"/>
    <x v="47"/>
    <x v="589"/>
    <x v="0"/>
    <x v="0"/>
    <x v="1"/>
  </r>
  <r>
    <x v="861"/>
    <s v="Cynthia Ford"/>
    <x v="1"/>
    <x v="1"/>
    <x v="0"/>
    <s v="Postgraduate"/>
    <x v="0"/>
    <n v="137423"/>
    <n v="617"/>
    <n v="49302"/>
    <x v="2"/>
    <n v="0.14699999999999999"/>
    <x v="4"/>
    <s v="Owned"/>
    <n v="23"/>
    <n v="1"/>
    <s v="No"/>
    <s v="Yes"/>
    <x v="3"/>
    <n v="35306"/>
    <x v="860"/>
    <x v="18"/>
    <x v="4"/>
    <x v="1"/>
    <x v="0"/>
    <x v="1"/>
  </r>
  <r>
    <x v="862"/>
    <s v="Catherine Navarro"/>
    <x v="35"/>
    <x v="1"/>
    <x v="0"/>
    <s v="Graduate"/>
    <x v="1"/>
    <n v="44143"/>
    <n v="616"/>
    <n v="49157"/>
    <x v="3"/>
    <n v="6.4699999999999994E-2"/>
    <x v="5"/>
    <s v="Rented"/>
    <n v="5"/>
    <n v="0"/>
    <s v="No"/>
    <s v="Yes"/>
    <x v="3"/>
    <n v="34604"/>
    <x v="861"/>
    <x v="79"/>
    <x v="328"/>
    <x v="1"/>
    <x v="0"/>
    <x v="1"/>
  </r>
  <r>
    <x v="863"/>
    <s v="Scott Hobbs"/>
    <x v="6"/>
    <x v="1"/>
    <x v="1"/>
    <s v="PhD"/>
    <x v="0"/>
    <n v="89351"/>
    <n v="616"/>
    <n v="21584"/>
    <x v="2"/>
    <n v="6.7599999999999993E-2"/>
    <x v="0"/>
    <s v="Mortgaged"/>
    <n v="29"/>
    <n v="0"/>
    <s v="Yes"/>
    <s v="No"/>
    <x v="0"/>
    <n v="39293"/>
    <x v="862"/>
    <x v="76"/>
    <x v="699"/>
    <x v="1"/>
    <x v="0"/>
    <x v="1"/>
  </r>
  <r>
    <x v="864"/>
    <s v="Steven Simon"/>
    <x v="13"/>
    <x v="1"/>
    <x v="1"/>
    <s v="Postgraduate"/>
    <x v="0"/>
    <n v="68632"/>
    <n v="616"/>
    <n v="28109"/>
    <x v="3"/>
    <n v="6.0499999999999998E-2"/>
    <x v="5"/>
    <s v="Rented"/>
    <n v="17"/>
    <n v="0"/>
    <s v="Yes"/>
    <s v="No"/>
    <x v="2"/>
    <n v="123374"/>
    <x v="863"/>
    <x v="86"/>
    <x v="700"/>
    <x v="1"/>
    <x v="0"/>
    <x v="1"/>
  </r>
  <r>
    <x v="865"/>
    <s v="Mrs. Leslie Barrett MD"/>
    <x v="12"/>
    <x v="1"/>
    <x v="1"/>
    <s v="PhD"/>
    <x v="1"/>
    <n v="59390"/>
    <n v="616"/>
    <n v="40743"/>
    <x v="2"/>
    <n v="0.15960000000000002"/>
    <x v="0"/>
    <s v="Owned"/>
    <n v="22"/>
    <n v="1"/>
    <s v="Yes"/>
    <s v="Yes"/>
    <x v="1"/>
    <n v="42164"/>
    <x v="864"/>
    <x v="17"/>
    <x v="701"/>
    <x v="0"/>
    <x v="1"/>
    <x v="1"/>
  </r>
  <r>
    <x v="866"/>
    <s v="Carlos Gonzalez"/>
    <x v="42"/>
    <x v="1"/>
    <x v="3"/>
    <s v="High School"/>
    <x v="3"/>
    <n v="66660"/>
    <n v="616"/>
    <n v="25240"/>
    <x v="3"/>
    <n v="8.1199999999999994E-2"/>
    <x v="1"/>
    <s v="Mortgaged"/>
    <n v="10"/>
    <n v="1"/>
    <s v="No"/>
    <s v="Yes"/>
    <x v="0"/>
    <n v="52147"/>
    <x v="865"/>
    <x v="89"/>
    <x v="702"/>
    <x v="1"/>
    <x v="0"/>
    <x v="1"/>
  </r>
  <r>
    <x v="867"/>
    <s v="Mary Hernandez"/>
    <x v="38"/>
    <x v="0"/>
    <x v="1"/>
    <s v="High School"/>
    <x v="0"/>
    <n v="119976"/>
    <n v="616"/>
    <n v="37533"/>
    <x v="3"/>
    <n v="0.15"/>
    <x v="0"/>
    <s v="Rented"/>
    <n v="11"/>
    <n v="3"/>
    <s v="No"/>
    <s v="No"/>
    <x v="1"/>
    <n v="20971"/>
    <x v="866"/>
    <x v="30"/>
    <x v="579"/>
    <x v="0"/>
    <x v="0"/>
    <x v="1"/>
  </r>
  <r>
    <x v="868"/>
    <s v="Grace Parks"/>
    <x v="35"/>
    <x v="0"/>
    <x v="0"/>
    <s v="PhD"/>
    <x v="3"/>
    <n v="130402"/>
    <n v="616"/>
    <n v="20748"/>
    <x v="4"/>
    <n v="0.18739999999999998"/>
    <x v="5"/>
    <s v="Rented"/>
    <n v="19"/>
    <n v="1"/>
    <s v="No"/>
    <s v="No"/>
    <x v="1"/>
    <n v="21249"/>
    <x v="867"/>
    <x v="68"/>
    <x v="357"/>
    <x v="1"/>
    <x v="0"/>
    <x v="1"/>
  </r>
  <r>
    <x v="869"/>
    <s v="Ariana Roberts"/>
    <x v="6"/>
    <x v="1"/>
    <x v="0"/>
    <s v="PhD"/>
    <x v="1"/>
    <n v="105879"/>
    <n v="616"/>
    <n v="26274"/>
    <x v="1"/>
    <n v="0.19649999999999998"/>
    <x v="0"/>
    <s v="Mortgaged"/>
    <n v="1"/>
    <n v="2"/>
    <s v="No"/>
    <s v="No"/>
    <x v="3"/>
    <n v="178184"/>
    <x v="868"/>
    <x v="22"/>
    <x v="327"/>
    <x v="1"/>
    <x v="0"/>
    <x v="1"/>
  </r>
  <r>
    <x v="870"/>
    <s v="Megan Aguilar"/>
    <x v="18"/>
    <x v="1"/>
    <x v="2"/>
    <s v="High School"/>
    <x v="0"/>
    <n v="146065"/>
    <n v="616"/>
    <n v="23705"/>
    <x v="3"/>
    <n v="6.2800000000000009E-2"/>
    <x v="5"/>
    <s v="Rented"/>
    <n v="9"/>
    <n v="2"/>
    <s v="No"/>
    <s v="Yes"/>
    <x v="3"/>
    <n v="190660"/>
    <x v="869"/>
    <x v="48"/>
    <x v="703"/>
    <x v="1"/>
    <x v="0"/>
    <x v="1"/>
  </r>
  <r>
    <x v="871"/>
    <s v="Sharon Jensen"/>
    <x v="34"/>
    <x v="1"/>
    <x v="2"/>
    <s v="Postgraduate"/>
    <x v="2"/>
    <n v="144462"/>
    <n v="615"/>
    <n v="9680"/>
    <x v="4"/>
    <n v="0.17059999999999997"/>
    <x v="2"/>
    <s v="Mortgaged"/>
    <n v="27"/>
    <n v="4"/>
    <s v="Yes"/>
    <s v="No"/>
    <x v="2"/>
    <n v="119614"/>
    <x v="870"/>
    <x v="29"/>
    <x v="704"/>
    <x v="0"/>
    <x v="0"/>
    <x v="1"/>
  </r>
  <r>
    <x v="872"/>
    <s v="Jessica Schmitt"/>
    <x v="41"/>
    <x v="0"/>
    <x v="3"/>
    <s v="PhD"/>
    <x v="0"/>
    <n v="85614"/>
    <n v="615"/>
    <n v="37700"/>
    <x v="3"/>
    <n v="0.12939999999999999"/>
    <x v="1"/>
    <s v="Owned"/>
    <n v="25"/>
    <n v="4"/>
    <s v="No"/>
    <s v="No"/>
    <x v="4"/>
    <n v="29492"/>
    <x v="871"/>
    <x v="4"/>
    <x v="705"/>
    <x v="1"/>
    <x v="0"/>
    <x v="1"/>
  </r>
  <r>
    <x v="873"/>
    <s v="Lauren Jones"/>
    <x v="18"/>
    <x v="1"/>
    <x v="2"/>
    <s v="High School"/>
    <x v="2"/>
    <n v="49086"/>
    <n v="615"/>
    <n v="4909"/>
    <x v="1"/>
    <n v="0.1404"/>
    <x v="2"/>
    <s v="Rented"/>
    <n v="18"/>
    <n v="3"/>
    <s v="No"/>
    <s v="No"/>
    <x v="3"/>
    <n v="4825"/>
    <x v="872"/>
    <x v="54"/>
    <x v="706"/>
    <x v="0"/>
    <x v="0"/>
    <x v="1"/>
  </r>
  <r>
    <x v="874"/>
    <s v="Joseph Mullen"/>
    <x v="37"/>
    <x v="1"/>
    <x v="2"/>
    <s v="PhD"/>
    <x v="1"/>
    <n v="23650"/>
    <n v="615"/>
    <n v="9253"/>
    <x v="4"/>
    <n v="0.13300000000000001"/>
    <x v="0"/>
    <s v="Mortgaged"/>
    <n v="16"/>
    <n v="3"/>
    <s v="No"/>
    <s v="No"/>
    <x v="3"/>
    <n v="73923"/>
    <x v="873"/>
    <x v="50"/>
    <x v="707"/>
    <x v="1"/>
    <x v="0"/>
    <x v="1"/>
  </r>
  <r>
    <x v="875"/>
    <s v="Carl Smith"/>
    <x v="6"/>
    <x v="0"/>
    <x v="1"/>
    <s v="High School"/>
    <x v="2"/>
    <n v="138361"/>
    <n v="614"/>
    <n v="30802"/>
    <x v="1"/>
    <n v="9.0299999999999991E-2"/>
    <x v="0"/>
    <s v="Rented"/>
    <n v="8"/>
    <n v="0"/>
    <s v="No"/>
    <s v="No"/>
    <x v="3"/>
    <n v="122767"/>
    <x v="874"/>
    <x v="25"/>
    <x v="708"/>
    <x v="0"/>
    <x v="0"/>
    <x v="1"/>
  </r>
  <r>
    <x v="876"/>
    <s v="Allison Wilson"/>
    <x v="18"/>
    <x v="0"/>
    <x v="0"/>
    <s v="PhD"/>
    <x v="2"/>
    <n v="52991"/>
    <n v="613"/>
    <n v="13961"/>
    <x v="4"/>
    <n v="0.16750000000000001"/>
    <x v="0"/>
    <s v="Rented"/>
    <n v="4"/>
    <n v="4"/>
    <s v="Yes"/>
    <s v="Yes"/>
    <x v="1"/>
    <n v="54612"/>
    <x v="875"/>
    <x v="69"/>
    <x v="709"/>
    <x v="1"/>
    <x v="0"/>
    <x v="1"/>
  </r>
  <r>
    <x v="877"/>
    <s v="Anna Nicholson"/>
    <x v="30"/>
    <x v="0"/>
    <x v="1"/>
    <s v="Postgraduate"/>
    <x v="0"/>
    <n v="149753"/>
    <n v="612"/>
    <n v="37047"/>
    <x v="0"/>
    <n v="0.1525"/>
    <x v="4"/>
    <s v="Mortgaged"/>
    <n v="26"/>
    <n v="3"/>
    <s v="No"/>
    <s v="No"/>
    <x v="2"/>
    <n v="2639"/>
    <x v="876"/>
    <x v="84"/>
    <x v="710"/>
    <x v="1"/>
    <x v="0"/>
    <x v="1"/>
  </r>
  <r>
    <x v="878"/>
    <s v="Timothy Carter"/>
    <x v="26"/>
    <x v="1"/>
    <x v="1"/>
    <s v="Graduate"/>
    <x v="2"/>
    <n v="66694"/>
    <n v="612"/>
    <n v="28718"/>
    <x v="4"/>
    <n v="0.16940000000000002"/>
    <x v="2"/>
    <s v="Rented"/>
    <n v="28"/>
    <n v="4"/>
    <s v="Yes"/>
    <s v="Yes"/>
    <x v="2"/>
    <n v="37705"/>
    <x v="877"/>
    <x v="63"/>
    <x v="711"/>
    <x v="0"/>
    <x v="0"/>
    <x v="1"/>
  </r>
  <r>
    <x v="879"/>
    <s v="Nancy Nelson"/>
    <x v="42"/>
    <x v="0"/>
    <x v="3"/>
    <s v="High School"/>
    <x v="3"/>
    <n v="38174"/>
    <n v="612"/>
    <n v="19013"/>
    <x v="0"/>
    <n v="0.15859999999999999"/>
    <x v="1"/>
    <s v="Mortgaged"/>
    <n v="28"/>
    <n v="2"/>
    <s v="Yes"/>
    <s v="No"/>
    <x v="0"/>
    <n v="570"/>
    <x v="878"/>
    <x v="70"/>
    <x v="712"/>
    <x v="0"/>
    <x v="0"/>
    <x v="1"/>
  </r>
  <r>
    <x v="880"/>
    <s v="Mark Gray"/>
    <x v="3"/>
    <x v="1"/>
    <x v="0"/>
    <s v="High School"/>
    <x v="3"/>
    <n v="133655"/>
    <n v="612"/>
    <n v="7569"/>
    <x v="0"/>
    <n v="0.10369999999999999"/>
    <x v="0"/>
    <s v="Mortgaged"/>
    <n v="7"/>
    <n v="4"/>
    <s v="Yes"/>
    <s v="No"/>
    <x v="3"/>
    <n v="40295"/>
    <x v="879"/>
    <x v="42"/>
    <x v="713"/>
    <x v="0"/>
    <x v="0"/>
    <x v="1"/>
  </r>
  <r>
    <x v="881"/>
    <s v="Michael Adams"/>
    <x v="21"/>
    <x v="0"/>
    <x v="0"/>
    <s v="PhD"/>
    <x v="1"/>
    <n v="27957"/>
    <n v="611"/>
    <n v="4339"/>
    <x v="4"/>
    <n v="5.9500000000000004E-2"/>
    <x v="5"/>
    <s v="Rented"/>
    <n v="8"/>
    <n v="4"/>
    <s v="Yes"/>
    <s v="Yes"/>
    <x v="3"/>
    <n v="198273"/>
    <x v="880"/>
    <x v="83"/>
    <x v="81"/>
    <x v="1"/>
    <x v="0"/>
    <x v="1"/>
  </r>
  <r>
    <x v="882"/>
    <s v="Christine Green"/>
    <x v="28"/>
    <x v="0"/>
    <x v="3"/>
    <s v="High School"/>
    <x v="3"/>
    <n v="113627"/>
    <n v="610"/>
    <n v="27844"/>
    <x v="2"/>
    <n v="0.1971"/>
    <x v="3"/>
    <s v="Rented"/>
    <n v="11"/>
    <n v="3"/>
    <s v="Yes"/>
    <s v="No"/>
    <x v="1"/>
    <n v="48826"/>
    <x v="881"/>
    <x v="16"/>
    <x v="714"/>
    <x v="1"/>
    <x v="1"/>
    <x v="1"/>
  </r>
  <r>
    <x v="883"/>
    <s v="Luis Smith"/>
    <x v="32"/>
    <x v="1"/>
    <x v="1"/>
    <s v="PhD"/>
    <x v="3"/>
    <n v="47938"/>
    <n v="610"/>
    <n v="26544"/>
    <x v="3"/>
    <n v="0.18559999999999999"/>
    <x v="4"/>
    <s v="Owned"/>
    <n v="22"/>
    <n v="4"/>
    <s v="No"/>
    <s v="Yes"/>
    <x v="1"/>
    <n v="7688"/>
    <x v="882"/>
    <x v="55"/>
    <x v="144"/>
    <x v="1"/>
    <x v="1"/>
    <x v="1"/>
  </r>
  <r>
    <x v="884"/>
    <s v="Bryan Stewart"/>
    <x v="3"/>
    <x v="1"/>
    <x v="3"/>
    <s v="Postgraduate"/>
    <x v="1"/>
    <n v="64460"/>
    <n v="610"/>
    <n v="37007"/>
    <x v="0"/>
    <n v="5.7800000000000004E-2"/>
    <x v="1"/>
    <s v="Owned"/>
    <n v="6"/>
    <n v="3"/>
    <s v="Yes"/>
    <s v="No"/>
    <x v="3"/>
    <n v="40887"/>
    <x v="883"/>
    <x v="71"/>
    <x v="715"/>
    <x v="1"/>
    <x v="0"/>
    <x v="1"/>
  </r>
  <r>
    <x v="885"/>
    <s v="Krystal Townsend"/>
    <x v="38"/>
    <x v="1"/>
    <x v="3"/>
    <s v="PhD"/>
    <x v="0"/>
    <n v="143163"/>
    <n v="610"/>
    <n v="33360"/>
    <x v="2"/>
    <n v="0.15670000000000001"/>
    <x v="5"/>
    <s v="Rented"/>
    <n v="17"/>
    <n v="3"/>
    <s v="Yes"/>
    <s v="Yes"/>
    <x v="2"/>
    <n v="93979"/>
    <x v="884"/>
    <x v="28"/>
    <x v="716"/>
    <x v="1"/>
    <x v="0"/>
    <x v="1"/>
  </r>
  <r>
    <x v="886"/>
    <s v="Austin Cannon"/>
    <x v="21"/>
    <x v="1"/>
    <x v="1"/>
    <s v="Postgraduate"/>
    <x v="3"/>
    <n v="111239"/>
    <n v="610"/>
    <n v="39278"/>
    <x v="3"/>
    <n v="0.1069"/>
    <x v="0"/>
    <s v="Owned"/>
    <n v="16"/>
    <n v="2"/>
    <s v="No"/>
    <s v="No"/>
    <x v="4"/>
    <n v="174008"/>
    <x v="885"/>
    <x v="15"/>
    <x v="717"/>
    <x v="0"/>
    <x v="1"/>
    <x v="1"/>
  </r>
  <r>
    <x v="887"/>
    <s v="Shane Parker"/>
    <x v="8"/>
    <x v="1"/>
    <x v="0"/>
    <s v="High School"/>
    <x v="2"/>
    <n v="112864"/>
    <n v="609"/>
    <n v="34717"/>
    <x v="3"/>
    <n v="0.19500000000000001"/>
    <x v="4"/>
    <s v="Owned"/>
    <n v="7"/>
    <n v="0"/>
    <s v="Yes"/>
    <s v="No"/>
    <x v="3"/>
    <n v="1067"/>
    <x v="886"/>
    <x v="52"/>
    <x v="133"/>
    <x v="1"/>
    <x v="0"/>
    <x v="1"/>
  </r>
  <r>
    <x v="888"/>
    <s v="Kurt Herrera"/>
    <x v="13"/>
    <x v="0"/>
    <x v="0"/>
    <s v="Graduate"/>
    <x v="0"/>
    <n v="69252"/>
    <n v="609"/>
    <n v="15274"/>
    <x v="3"/>
    <n v="0.11220000000000001"/>
    <x v="4"/>
    <s v="Mortgaged"/>
    <n v="1"/>
    <n v="0"/>
    <s v="Yes"/>
    <s v="Yes"/>
    <x v="4"/>
    <n v="33983"/>
    <x v="887"/>
    <x v="30"/>
    <x v="352"/>
    <x v="1"/>
    <x v="0"/>
    <x v="1"/>
  </r>
  <r>
    <x v="889"/>
    <s v="Randall White"/>
    <x v="36"/>
    <x v="0"/>
    <x v="2"/>
    <s v="Graduate"/>
    <x v="3"/>
    <n v="22147"/>
    <n v="608"/>
    <n v="3654"/>
    <x v="1"/>
    <n v="6.6900000000000001E-2"/>
    <x v="0"/>
    <s v="Mortgaged"/>
    <n v="19"/>
    <n v="0"/>
    <s v="Yes"/>
    <s v="Yes"/>
    <x v="3"/>
    <n v="107078"/>
    <x v="888"/>
    <x v="23"/>
    <x v="718"/>
    <x v="1"/>
    <x v="1"/>
    <x v="1"/>
  </r>
  <r>
    <x v="890"/>
    <s v="Connie Mcdonald"/>
    <x v="3"/>
    <x v="0"/>
    <x v="2"/>
    <s v="High School"/>
    <x v="0"/>
    <n v="134534"/>
    <n v="608"/>
    <n v="24142"/>
    <x v="2"/>
    <n v="0.1137"/>
    <x v="2"/>
    <s v="Rented"/>
    <n v="10"/>
    <n v="1"/>
    <s v="Yes"/>
    <s v="No"/>
    <x v="4"/>
    <n v="860"/>
    <x v="889"/>
    <x v="70"/>
    <x v="719"/>
    <x v="0"/>
    <x v="0"/>
    <x v="1"/>
  </r>
  <r>
    <x v="891"/>
    <s v="Sarah Abbott"/>
    <x v="13"/>
    <x v="1"/>
    <x v="3"/>
    <s v="Graduate"/>
    <x v="0"/>
    <n v="138571"/>
    <n v="608"/>
    <n v="32510"/>
    <x v="3"/>
    <n v="0.1356"/>
    <x v="1"/>
    <s v="Owned"/>
    <n v="5"/>
    <n v="4"/>
    <s v="No"/>
    <s v="No"/>
    <x v="1"/>
    <n v="176851"/>
    <x v="890"/>
    <x v="42"/>
    <x v="720"/>
    <x v="1"/>
    <x v="0"/>
    <x v="1"/>
  </r>
  <r>
    <x v="892"/>
    <s v="Jessica Mccoy"/>
    <x v="6"/>
    <x v="1"/>
    <x v="3"/>
    <s v="High School"/>
    <x v="1"/>
    <n v="67779"/>
    <n v="607"/>
    <n v="10643"/>
    <x v="0"/>
    <n v="0.1837"/>
    <x v="5"/>
    <s v="Rented"/>
    <n v="14"/>
    <n v="2"/>
    <s v="No"/>
    <s v="Yes"/>
    <x v="0"/>
    <n v="39170"/>
    <x v="891"/>
    <x v="10"/>
    <x v="721"/>
    <x v="1"/>
    <x v="0"/>
    <x v="1"/>
  </r>
  <r>
    <x v="893"/>
    <s v="Brianna Salas"/>
    <x v="8"/>
    <x v="0"/>
    <x v="2"/>
    <s v="Postgraduate"/>
    <x v="3"/>
    <n v="149237"/>
    <n v="607"/>
    <n v="36713"/>
    <x v="2"/>
    <n v="0.1045"/>
    <x v="5"/>
    <s v="Rented"/>
    <n v="6"/>
    <n v="2"/>
    <s v="Yes"/>
    <s v="No"/>
    <x v="2"/>
    <n v="54222"/>
    <x v="892"/>
    <x v="41"/>
    <x v="443"/>
    <x v="0"/>
    <x v="1"/>
    <x v="1"/>
  </r>
  <r>
    <x v="894"/>
    <s v="Jessica Smith"/>
    <x v="6"/>
    <x v="0"/>
    <x v="0"/>
    <s v="Postgraduate"/>
    <x v="0"/>
    <n v="61111"/>
    <n v="607"/>
    <n v="29525"/>
    <x v="4"/>
    <n v="7.9100000000000004E-2"/>
    <x v="2"/>
    <s v="Owned"/>
    <n v="28"/>
    <n v="1"/>
    <s v="No"/>
    <s v="Yes"/>
    <x v="2"/>
    <n v="16151"/>
    <x v="893"/>
    <x v="67"/>
    <x v="722"/>
    <x v="0"/>
    <x v="0"/>
    <x v="1"/>
  </r>
  <r>
    <x v="895"/>
    <s v="Russell Johnson"/>
    <x v="14"/>
    <x v="1"/>
    <x v="3"/>
    <s v="High School"/>
    <x v="2"/>
    <n v="61831"/>
    <n v="607"/>
    <n v="21605"/>
    <x v="3"/>
    <n v="8.4600000000000009E-2"/>
    <x v="4"/>
    <s v="Owned"/>
    <n v="25"/>
    <n v="1"/>
    <s v="No"/>
    <s v="No"/>
    <x v="1"/>
    <n v="11869"/>
    <x v="894"/>
    <x v="39"/>
    <x v="594"/>
    <x v="1"/>
    <x v="0"/>
    <x v="1"/>
  </r>
  <r>
    <x v="896"/>
    <s v="Brian Sellers"/>
    <x v="8"/>
    <x v="0"/>
    <x v="2"/>
    <s v="PhD"/>
    <x v="0"/>
    <n v="58563"/>
    <n v="606"/>
    <n v="22424"/>
    <x v="2"/>
    <n v="9.1199999999999989E-2"/>
    <x v="1"/>
    <s v="Owned"/>
    <n v="17"/>
    <n v="2"/>
    <s v="No"/>
    <s v="Yes"/>
    <x v="4"/>
    <n v="116445"/>
    <x v="895"/>
    <x v="31"/>
    <x v="333"/>
    <x v="1"/>
    <x v="0"/>
    <x v="1"/>
  </r>
  <r>
    <x v="897"/>
    <s v="Travis Hogan"/>
    <x v="35"/>
    <x v="0"/>
    <x v="2"/>
    <s v="Postgraduate"/>
    <x v="0"/>
    <n v="94777"/>
    <n v="606"/>
    <n v="28898"/>
    <x v="1"/>
    <n v="0.1348"/>
    <x v="3"/>
    <s v="Owned"/>
    <n v="25"/>
    <n v="4"/>
    <s v="No"/>
    <s v="No"/>
    <x v="3"/>
    <n v="95155"/>
    <x v="896"/>
    <x v="46"/>
    <x v="170"/>
    <x v="1"/>
    <x v="0"/>
    <x v="1"/>
  </r>
  <r>
    <x v="898"/>
    <s v="Connie Ramirez"/>
    <x v="2"/>
    <x v="0"/>
    <x v="0"/>
    <s v="Postgraduate"/>
    <x v="1"/>
    <n v="55929"/>
    <n v="606"/>
    <n v="1260"/>
    <x v="1"/>
    <n v="0.1875"/>
    <x v="4"/>
    <s v="Rented"/>
    <n v="2"/>
    <n v="2"/>
    <s v="No"/>
    <s v="Yes"/>
    <x v="2"/>
    <n v="2521"/>
    <x v="897"/>
    <x v="78"/>
    <x v="723"/>
    <x v="1"/>
    <x v="0"/>
    <x v="1"/>
  </r>
  <r>
    <x v="899"/>
    <s v="Zachary King"/>
    <x v="16"/>
    <x v="0"/>
    <x v="2"/>
    <s v="Postgraduate"/>
    <x v="2"/>
    <n v="129543"/>
    <n v="606"/>
    <n v="19996"/>
    <x v="4"/>
    <n v="0.12089999999999999"/>
    <x v="3"/>
    <s v="Rented"/>
    <n v="7"/>
    <n v="0"/>
    <s v="Yes"/>
    <s v="No"/>
    <x v="4"/>
    <n v="92060"/>
    <x v="898"/>
    <x v="67"/>
    <x v="724"/>
    <x v="1"/>
    <x v="1"/>
    <x v="1"/>
  </r>
  <r>
    <x v="900"/>
    <s v="Jeffrey Galloway"/>
    <x v="13"/>
    <x v="0"/>
    <x v="3"/>
    <s v="PhD"/>
    <x v="2"/>
    <n v="70182"/>
    <n v="606"/>
    <n v="29080"/>
    <x v="0"/>
    <n v="0.17430000000000001"/>
    <x v="4"/>
    <s v="Owned"/>
    <n v="20"/>
    <n v="2"/>
    <s v="Yes"/>
    <s v="Yes"/>
    <x v="2"/>
    <n v="146834"/>
    <x v="899"/>
    <x v="83"/>
    <x v="447"/>
    <x v="1"/>
    <x v="0"/>
    <x v="1"/>
  </r>
  <r>
    <x v="901"/>
    <s v="Darlene Miller"/>
    <x v="15"/>
    <x v="0"/>
    <x v="3"/>
    <s v="Graduate"/>
    <x v="3"/>
    <n v="116895"/>
    <n v="606"/>
    <n v="35314"/>
    <x v="0"/>
    <n v="5.4800000000000001E-2"/>
    <x v="2"/>
    <s v="Owned"/>
    <n v="18"/>
    <n v="3"/>
    <s v="No"/>
    <s v="Yes"/>
    <x v="1"/>
    <n v="76647"/>
    <x v="900"/>
    <x v="18"/>
    <x v="725"/>
    <x v="1"/>
    <x v="0"/>
    <x v="1"/>
  </r>
  <r>
    <x v="902"/>
    <s v="Mr. George Gibson"/>
    <x v="27"/>
    <x v="0"/>
    <x v="3"/>
    <s v="High School"/>
    <x v="3"/>
    <n v="137399"/>
    <n v="606"/>
    <n v="25524"/>
    <x v="2"/>
    <n v="0.1091"/>
    <x v="5"/>
    <s v="Owned"/>
    <n v="22"/>
    <n v="2"/>
    <s v="Yes"/>
    <s v="Yes"/>
    <x v="1"/>
    <n v="52963"/>
    <x v="901"/>
    <x v="22"/>
    <x v="604"/>
    <x v="0"/>
    <x v="0"/>
    <x v="1"/>
  </r>
  <r>
    <x v="903"/>
    <s v="Denise Hamilton"/>
    <x v="7"/>
    <x v="1"/>
    <x v="1"/>
    <s v="PhD"/>
    <x v="3"/>
    <n v="99732"/>
    <n v="605"/>
    <n v="35185"/>
    <x v="3"/>
    <n v="0.18179999999999999"/>
    <x v="3"/>
    <s v="Owned"/>
    <n v="24"/>
    <n v="4"/>
    <s v="Yes"/>
    <s v="No"/>
    <x v="2"/>
    <n v="123652"/>
    <x v="902"/>
    <x v="56"/>
    <x v="726"/>
    <x v="0"/>
    <x v="1"/>
    <x v="1"/>
  </r>
  <r>
    <x v="904"/>
    <s v="Sarah Rodriguez"/>
    <x v="8"/>
    <x v="1"/>
    <x v="3"/>
    <s v="Graduate"/>
    <x v="2"/>
    <n v="68270"/>
    <n v="605"/>
    <n v="2652"/>
    <x v="0"/>
    <n v="0.16899999999999998"/>
    <x v="3"/>
    <s v="Mortgaged"/>
    <n v="20"/>
    <n v="3"/>
    <s v="Yes"/>
    <s v="Yes"/>
    <x v="3"/>
    <n v="47683"/>
    <x v="903"/>
    <x v="36"/>
    <x v="727"/>
    <x v="0"/>
    <x v="0"/>
    <x v="1"/>
  </r>
  <r>
    <x v="905"/>
    <s v="Craig Jackson"/>
    <x v="26"/>
    <x v="0"/>
    <x v="1"/>
    <s v="High School"/>
    <x v="1"/>
    <n v="128965"/>
    <n v="605"/>
    <n v="36245"/>
    <x v="3"/>
    <n v="8.8499999999999995E-2"/>
    <x v="2"/>
    <s v="Owned"/>
    <n v="13"/>
    <n v="0"/>
    <s v="Yes"/>
    <s v="Yes"/>
    <x v="1"/>
    <n v="134678"/>
    <x v="904"/>
    <x v="78"/>
    <x v="362"/>
    <x v="1"/>
    <x v="0"/>
    <x v="1"/>
  </r>
  <r>
    <x v="906"/>
    <s v="Stephanie Thompson"/>
    <x v="18"/>
    <x v="1"/>
    <x v="2"/>
    <s v="PhD"/>
    <x v="1"/>
    <n v="105610"/>
    <n v="605"/>
    <n v="20465"/>
    <x v="0"/>
    <n v="0.1825"/>
    <x v="3"/>
    <s v="Rented"/>
    <n v="22"/>
    <n v="1"/>
    <s v="No"/>
    <s v="No"/>
    <x v="2"/>
    <n v="147964"/>
    <x v="905"/>
    <x v="33"/>
    <x v="32"/>
    <x v="0"/>
    <x v="0"/>
    <x v="1"/>
  </r>
  <r>
    <x v="907"/>
    <s v="Tyler Pena"/>
    <x v="24"/>
    <x v="0"/>
    <x v="3"/>
    <s v="Postgraduate"/>
    <x v="3"/>
    <n v="111244"/>
    <n v="605"/>
    <n v="5887"/>
    <x v="3"/>
    <n v="7.8E-2"/>
    <x v="3"/>
    <s v="Rented"/>
    <n v="27"/>
    <n v="3"/>
    <s v="No"/>
    <s v="No"/>
    <x v="0"/>
    <n v="101395"/>
    <x v="906"/>
    <x v="88"/>
    <x v="106"/>
    <x v="0"/>
    <x v="0"/>
    <x v="1"/>
  </r>
  <r>
    <x v="908"/>
    <s v="Joshua Orozco"/>
    <x v="18"/>
    <x v="0"/>
    <x v="0"/>
    <s v="PhD"/>
    <x v="3"/>
    <n v="73080"/>
    <n v="603"/>
    <n v="9212"/>
    <x v="1"/>
    <n v="6.93E-2"/>
    <x v="2"/>
    <s v="Rented"/>
    <n v="20"/>
    <n v="1"/>
    <s v="Yes"/>
    <s v="No"/>
    <x v="1"/>
    <n v="115799"/>
    <x v="907"/>
    <x v="24"/>
    <x v="728"/>
    <x v="0"/>
    <x v="0"/>
    <x v="1"/>
  </r>
  <r>
    <x v="909"/>
    <s v="Jeffrey Williams"/>
    <x v="41"/>
    <x v="1"/>
    <x v="0"/>
    <s v="Graduate"/>
    <x v="0"/>
    <n v="88178"/>
    <n v="602"/>
    <n v="21312"/>
    <x v="0"/>
    <n v="0.19829999999999998"/>
    <x v="0"/>
    <s v="Owned"/>
    <n v="24"/>
    <n v="0"/>
    <s v="No"/>
    <s v="Yes"/>
    <x v="0"/>
    <n v="186041"/>
    <x v="908"/>
    <x v="50"/>
    <x v="383"/>
    <x v="0"/>
    <x v="0"/>
    <x v="1"/>
  </r>
  <r>
    <x v="910"/>
    <s v="Rebekah Taylor"/>
    <x v="29"/>
    <x v="0"/>
    <x v="3"/>
    <s v="High School"/>
    <x v="0"/>
    <n v="23771"/>
    <n v="602"/>
    <n v="23161"/>
    <x v="4"/>
    <n v="0.13390000000000002"/>
    <x v="1"/>
    <s v="Rented"/>
    <n v="22"/>
    <n v="3"/>
    <s v="Yes"/>
    <s v="No"/>
    <x v="1"/>
    <n v="94538"/>
    <x v="909"/>
    <x v="77"/>
    <x v="729"/>
    <x v="1"/>
    <x v="0"/>
    <x v="1"/>
  </r>
  <r>
    <x v="911"/>
    <s v="Lee Thomas"/>
    <x v="17"/>
    <x v="0"/>
    <x v="2"/>
    <s v="Postgraduate"/>
    <x v="0"/>
    <n v="66057"/>
    <n v="602"/>
    <n v="34077"/>
    <x v="1"/>
    <n v="0.18609999999999999"/>
    <x v="5"/>
    <s v="Rented"/>
    <n v="6"/>
    <n v="4"/>
    <s v="No"/>
    <s v="No"/>
    <x v="0"/>
    <n v="109865"/>
    <x v="910"/>
    <x v="82"/>
    <x v="730"/>
    <x v="1"/>
    <x v="0"/>
    <x v="1"/>
  </r>
  <r>
    <x v="912"/>
    <s v="Steven Nelson"/>
    <x v="37"/>
    <x v="0"/>
    <x v="3"/>
    <s v="PhD"/>
    <x v="2"/>
    <n v="53332"/>
    <n v="601"/>
    <n v="2485"/>
    <x v="4"/>
    <n v="0.15689999999999998"/>
    <x v="2"/>
    <s v="Rented"/>
    <n v="19"/>
    <n v="0"/>
    <s v="Yes"/>
    <s v="No"/>
    <x v="0"/>
    <n v="189554"/>
    <x v="911"/>
    <x v="69"/>
    <x v="731"/>
    <x v="0"/>
    <x v="0"/>
    <x v="1"/>
  </r>
  <r>
    <x v="913"/>
    <s v="Michelle Brown"/>
    <x v="20"/>
    <x v="0"/>
    <x v="1"/>
    <s v="Postgraduate"/>
    <x v="3"/>
    <n v="49332"/>
    <n v="601"/>
    <n v="37394"/>
    <x v="1"/>
    <n v="5.2900000000000003E-2"/>
    <x v="1"/>
    <s v="Mortgaged"/>
    <n v="8"/>
    <n v="4"/>
    <s v="No"/>
    <s v="Yes"/>
    <x v="0"/>
    <n v="137849"/>
    <x v="912"/>
    <x v="12"/>
    <x v="732"/>
    <x v="1"/>
    <x v="0"/>
    <x v="1"/>
  </r>
  <r>
    <x v="914"/>
    <s v="Jordan Barnett"/>
    <x v="8"/>
    <x v="1"/>
    <x v="3"/>
    <s v="High School"/>
    <x v="1"/>
    <n v="47818"/>
    <n v="599"/>
    <n v="41438"/>
    <x v="0"/>
    <n v="6.480000000000001E-2"/>
    <x v="2"/>
    <s v="Rented"/>
    <n v="15"/>
    <n v="0"/>
    <s v="No"/>
    <s v="No"/>
    <x v="0"/>
    <n v="199001"/>
    <x v="913"/>
    <x v="87"/>
    <x v="733"/>
    <x v="1"/>
    <x v="0"/>
    <x v="1"/>
  </r>
  <r>
    <x v="915"/>
    <s v="Desiree Clark"/>
    <x v="5"/>
    <x v="1"/>
    <x v="1"/>
    <s v="Postgraduate"/>
    <x v="3"/>
    <n v="36459"/>
    <n v="599"/>
    <n v="31306"/>
    <x v="1"/>
    <n v="0.1225"/>
    <x v="1"/>
    <s v="Owned"/>
    <n v="6"/>
    <n v="3"/>
    <s v="No"/>
    <s v="Yes"/>
    <x v="1"/>
    <n v="54738"/>
    <x v="914"/>
    <x v="35"/>
    <x v="441"/>
    <x v="0"/>
    <x v="0"/>
    <x v="1"/>
  </r>
  <r>
    <x v="916"/>
    <s v="Mr. Christopher Watson Jr."/>
    <x v="21"/>
    <x v="0"/>
    <x v="0"/>
    <s v="Graduate"/>
    <x v="0"/>
    <n v="132857"/>
    <n v="598"/>
    <n v="8147"/>
    <x v="4"/>
    <n v="9.6099999999999991E-2"/>
    <x v="0"/>
    <s v="Rented"/>
    <n v="26"/>
    <n v="3"/>
    <s v="Yes"/>
    <s v="Yes"/>
    <x v="4"/>
    <n v="94258"/>
    <x v="915"/>
    <x v="25"/>
    <x v="734"/>
    <x v="1"/>
    <x v="0"/>
    <x v="1"/>
  </r>
  <r>
    <x v="917"/>
    <s v="Veronica Yang"/>
    <x v="12"/>
    <x v="1"/>
    <x v="0"/>
    <s v="Postgraduate"/>
    <x v="3"/>
    <n v="116261"/>
    <n v="598"/>
    <n v="36272"/>
    <x v="4"/>
    <n v="5.91E-2"/>
    <x v="1"/>
    <s v="Owned"/>
    <n v="11"/>
    <n v="2"/>
    <s v="No"/>
    <s v="No"/>
    <x v="3"/>
    <n v="159074"/>
    <x v="916"/>
    <x v="73"/>
    <x v="511"/>
    <x v="1"/>
    <x v="0"/>
    <x v="1"/>
  </r>
  <r>
    <x v="918"/>
    <s v="Steven Fox"/>
    <x v="13"/>
    <x v="0"/>
    <x v="2"/>
    <s v="Postgraduate"/>
    <x v="0"/>
    <n v="110283"/>
    <n v="598"/>
    <n v="10732"/>
    <x v="4"/>
    <n v="0.1285"/>
    <x v="5"/>
    <s v="Rented"/>
    <n v="11"/>
    <n v="3"/>
    <s v="No"/>
    <s v="No"/>
    <x v="3"/>
    <n v="143088"/>
    <x v="917"/>
    <x v="56"/>
    <x v="631"/>
    <x v="1"/>
    <x v="0"/>
    <x v="1"/>
  </r>
  <r>
    <x v="919"/>
    <s v="Angela Holmes"/>
    <x v="27"/>
    <x v="0"/>
    <x v="0"/>
    <s v="Graduate"/>
    <x v="3"/>
    <n v="73803"/>
    <n v="598"/>
    <n v="31552"/>
    <x v="0"/>
    <n v="0.17749999999999999"/>
    <x v="5"/>
    <s v="Mortgaged"/>
    <n v="6"/>
    <n v="3"/>
    <s v="No"/>
    <s v="No"/>
    <x v="1"/>
    <n v="59924"/>
    <x v="918"/>
    <x v="62"/>
    <x v="735"/>
    <x v="1"/>
    <x v="0"/>
    <x v="1"/>
  </r>
  <r>
    <x v="920"/>
    <s v="Alexis Cole"/>
    <x v="25"/>
    <x v="1"/>
    <x v="2"/>
    <s v="Postgraduate"/>
    <x v="3"/>
    <n v="50699"/>
    <n v="598"/>
    <n v="6443"/>
    <x v="4"/>
    <n v="0.1744"/>
    <x v="0"/>
    <s v="Owned"/>
    <n v="14"/>
    <n v="0"/>
    <s v="Yes"/>
    <s v="No"/>
    <x v="0"/>
    <n v="434"/>
    <x v="919"/>
    <x v="58"/>
    <x v="488"/>
    <x v="1"/>
    <x v="0"/>
    <x v="1"/>
  </r>
  <r>
    <x v="921"/>
    <s v="Joel Gonzalez"/>
    <x v="33"/>
    <x v="1"/>
    <x v="3"/>
    <s v="Postgraduate"/>
    <x v="3"/>
    <n v="128500"/>
    <n v="597"/>
    <n v="17347"/>
    <x v="2"/>
    <n v="0.10949999999999999"/>
    <x v="3"/>
    <s v="Mortgaged"/>
    <n v="2"/>
    <n v="3"/>
    <s v="No"/>
    <s v="No"/>
    <x v="0"/>
    <n v="121485"/>
    <x v="920"/>
    <x v="23"/>
    <x v="736"/>
    <x v="1"/>
    <x v="0"/>
    <x v="1"/>
  </r>
  <r>
    <x v="922"/>
    <s v="Paul Mckay"/>
    <x v="14"/>
    <x v="0"/>
    <x v="3"/>
    <s v="High School"/>
    <x v="1"/>
    <n v="105468"/>
    <n v="597"/>
    <n v="7055"/>
    <x v="4"/>
    <n v="0.1857"/>
    <x v="2"/>
    <s v="Rented"/>
    <n v="16"/>
    <n v="3"/>
    <s v="No"/>
    <s v="No"/>
    <x v="3"/>
    <n v="176451"/>
    <x v="921"/>
    <x v="66"/>
    <x v="309"/>
    <x v="0"/>
    <x v="1"/>
    <x v="1"/>
  </r>
  <r>
    <x v="923"/>
    <s v="Matthew Delgado"/>
    <x v="40"/>
    <x v="0"/>
    <x v="2"/>
    <s v="PhD"/>
    <x v="0"/>
    <n v="97511"/>
    <n v="596"/>
    <n v="30881"/>
    <x v="4"/>
    <n v="0.1384"/>
    <x v="2"/>
    <s v="Rented"/>
    <n v="7"/>
    <n v="3"/>
    <s v="No"/>
    <s v="Yes"/>
    <x v="3"/>
    <n v="197013"/>
    <x v="922"/>
    <x v="44"/>
    <x v="737"/>
    <x v="0"/>
    <x v="1"/>
    <x v="1"/>
  </r>
  <r>
    <x v="924"/>
    <s v="Miranda Serrano"/>
    <x v="7"/>
    <x v="0"/>
    <x v="3"/>
    <s v="Graduate"/>
    <x v="0"/>
    <n v="66015"/>
    <n v="596"/>
    <n v="25785"/>
    <x v="1"/>
    <n v="0.15679999999999999"/>
    <x v="4"/>
    <s v="Owned"/>
    <n v="11"/>
    <n v="3"/>
    <s v="No"/>
    <s v="No"/>
    <x v="4"/>
    <n v="85291"/>
    <x v="923"/>
    <x v="74"/>
    <x v="738"/>
    <x v="1"/>
    <x v="0"/>
    <x v="1"/>
  </r>
  <r>
    <x v="925"/>
    <s v="Danielle Knight"/>
    <x v="20"/>
    <x v="0"/>
    <x v="3"/>
    <s v="Graduate"/>
    <x v="1"/>
    <n v="41058"/>
    <n v="596"/>
    <n v="48148"/>
    <x v="1"/>
    <n v="0.15140000000000001"/>
    <x v="4"/>
    <s v="Mortgaged"/>
    <n v="28"/>
    <n v="0"/>
    <s v="No"/>
    <s v="No"/>
    <x v="0"/>
    <n v="124790"/>
    <x v="924"/>
    <x v="22"/>
    <x v="354"/>
    <x v="0"/>
    <x v="0"/>
    <x v="1"/>
  </r>
  <r>
    <x v="926"/>
    <s v="Edward Ross"/>
    <x v="32"/>
    <x v="1"/>
    <x v="2"/>
    <s v="High School"/>
    <x v="1"/>
    <n v="23293"/>
    <n v="596"/>
    <n v="9712"/>
    <x v="1"/>
    <n v="7.8399999999999997E-2"/>
    <x v="1"/>
    <s v="Rented"/>
    <n v="2"/>
    <n v="0"/>
    <s v="No"/>
    <s v="No"/>
    <x v="4"/>
    <n v="76891"/>
    <x v="925"/>
    <x v="48"/>
    <x v="739"/>
    <x v="1"/>
    <x v="0"/>
    <x v="1"/>
  </r>
  <r>
    <x v="927"/>
    <s v="Karen Wolf"/>
    <x v="4"/>
    <x v="1"/>
    <x v="2"/>
    <s v="PhD"/>
    <x v="1"/>
    <n v="48527"/>
    <n v="596"/>
    <n v="28723"/>
    <x v="4"/>
    <n v="9.5100000000000004E-2"/>
    <x v="0"/>
    <s v="Owned"/>
    <n v="14"/>
    <n v="4"/>
    <s v="Yes"/>
    <s v="Yes"/>
    <x v="3"/>
    <n v="78229"/>
    <x v="926"/>
    <x v="53"/>
    <x v="740"/>
    <x v="1"/>
    <x v="0"/>
    <x v="1"/>
  </r>
  <r>
    <x v="928"/>
    <s v="Mary Payne"/>
    <x v="39"/>
    <x v="1"/>
    <x v="0"/>
    <s v="Postgraduate"/>
    <x v="0"/>
    <n v="94255"/>
    <n v="595"/>
    <n v="13391"/>
    <x v="1"/>
    <n v="8.2299999999999998E-2"/>
    <x v="4"/>
    <s v="Owned"/>
    <n v="4"/>
    <n v="4"/>
    <s v="No"/>
    <s v="Yes"/>
    <x v="4"/>
    <n v="35215"/>
    <x v="927"/>
    <x v="62"/>
    <x v="380"/>
    <x v="0"/>
    <x v="0"/>
    <x v="1"/>
  </r>
  <r>
    <x v="929"/>
    <s v="Denise Padilla"/>
    <x v="17"/>
    <x v="0"/>
    <x v="0"/>
    <s v="Postgraduate"/>
    <x v="2"/>
    <n v="73331"/>
    <n v="595"/>
    <n v="48147"/>
    <x v="3"/>
    <n v="0.11609999999999999"/>
    <x v="5"/>
    <s v="Owned"/>
    <n v="12"/>
    <n v="0"/>
    <s v="Yes"/>
    <s v="No"/>
    <x v="4"/>
    <n v="115962"/>
    <x v="928"/>
    <x v="0"/>
    <x v="741"/>
    <x v="0"/>
    <x v="0"/>
    <x v="1"/>
  </r>
  <r>
    <x v="930"/>
    <s v="Virginia Kramer"/>
    <x v="5"/>
    <x v="0"/>
    <x v="3"/>
    <s v="High School"/>
    <x v="3"/>
    <n v="41225"/>
    <n v="595"/>
    <n v="44049"/>
    <x v="1"/>
    <n v="0.19739999999999999"/>
    <x v="3"/>
    <s v="Owned"/>
    <n v="24"/>
    <n v="3"/>
    <s v="Yes"/>
    <s v="Yes"/>
    <x v="2"/>
    <n v="54057"/>
    <x v="929"/>
    <x v="27"/>
    <x v="696"/>
    <x v="0"/>
    <x v="0"/>
    <x v="1"/>
  </r>
  <r>
    <x v="931"/>
    <s v="Jason Miller"/>
    <x v="39"/>
    <x v="0"/>
    <x v="1"/>
    <s v="Graduate"/>
    <x v="0"/>
    <n v="99971"/>
    <n v="595"/>
    <n v="8878"/>
    <x v="2"/>
    <n v="8.199999999999999E-2"/>
    <x v="0"/>
    <s v="Mortgaged"/>
    <n v="20"/>
    <n v="0"/>
    <s v="Yes"/>
    <s v="No"/>
    <x v="2"/>
    <n v="997"/>
    <x v="930"/>
    <x v="62"/>
    <x v="742"/>
    <x v="1"/>
    <x v="0"/>
    <x v="1"/>
  </r>
  <r>
    <x v="932"/>
    <s v="Samuel Myers MD"/>
    <x v="38"/>
    <x v="1"/>
    <x v="2"/>
    <s v="Graduate"/>
    <x v="2"/>
    <n v="32161"/>
    <n v="594"/>
    <n v="32323"/>
    <x v="2"/>
    <n v="0.1003"/>
    <x v="1"/>
    <s v="Owned"/>
    <n v="9"/>
    <n v="3"/>
    <s v="Yes"/>
    <s v="No"/>
    <x v="0"/>
    <n v="119086"/>
    <x v="931"/>
    <x v="45"/>
    <x v="743"/>
    <x v="1"/>
    <x v="0"/>
    <x v="1"/>
  </r>
  <r>
    <x v="933"/>
    <s v="Kristina Wood"/>
    <x v="12"/>
    <x v="0"/>
    <x v="1"/>
    <s v="Postgraduate"/>
    <x v="2"/>
    <n v="50337"/>
    <n v="594"/>
    <n v="44713"/>
    <x v="3"/>
    <n v="0.15179999999999999"/>
    <x v="0"/>
    <s v="Mortgaged"/>
    <n v="6"/>
    <n v="2"/>
    <s v="Yes"/>
    <s v="No"/>
    <x v="1"/>
    <n v="145662"/>
    <x v="932"/>
    <x v="42"/>
    <x v="744"/>
    <x v="1"/>
    <x v="0"/>
    <x v="1"/>
  </r>
  <r>
    <x v="934"/>
    <s v="Joseph Odonnell"/>
    <x v="36"/>
    <x v="0"/>
    <x v="2"/>
    <s v="Graduate"/>
    <x v="2"/>
    <n v="147880"/>
    <n v="593"/>
    <n v="3365"/>
    <x v="3"/>
    <n v="5.45E-2"/>
    <x v="3"/>
    <s v="Mortgaged"/>
    <n v="22"/>
    <n v="2"/>
    <s v="No"/>
    <s v="Yes"/>
    <x v="0"/>
    <n v="84926"/>
    <x v="933"/>
    <x v="66"/>
    <x v="646"/>
    <x v="1"/>
    <x v="0"/>
    <x v="1"/>
  </r>
  <r>
    <x v="935"/>
    <s v="Curtis Jacobson"/>
    <x v="34"/>
    <x v="0"/>
    <x v="1"/>
    <s v="PhD"/>
    <x v="1"/>
    <n v="122500"/>
    <n v="593"/>
    <n v="1443"/>
    <x v="3"/>
    <n v="0.10730000000000001"/>
    <x v="4"/>
    <s v="Rented"/>
    <n v="4"/>
    <n v="2"/>
    <s v="Yes"/>
    <s v="Yes"/>
    <x v="3"/>
    <n v="118222"/>
    <x v="934"/>
    <x v="7"/>
    <x v="745"/>
    <x v="1"/>
    <x v="0"/>
    <x v="1"/>
  </r>
  <r>
    <x v="936"/>
    <s v="Kelli Nelson"/>
    <x v="39"/>
    <x v="1"/>
    <x v="1"/>
    <s v="Graduate"/>
    <x v="2"/>
    <n v="143714"/>
    <n v="592"/>
    <n v="43663"/>
    <x v="0"/>
    <n v="0.13970000000000002"/>
    <x v="0"/>
    <s v="Owned"/>
    <n v="6"/>
    <n v="1"/>
    <s v="No"/>
    <s v="Yes"/>
    <x v="2"/>
    <n v="103116"/>
    <x v="935"/>
    <x v="55"/>
    <x v="746"/>
    <x v="0"/>
    <x v="0"/>
    <x v="1"/>
  </r>
  <r>
    <x v="937"/>
    <s v="Katherine Bryan DVM"/>
    <x v="10"/>
    <x v="0"/>
    <x v="0"/>
    <s v="Graduate"/>
    <x v="0"/>
    <n v="109051"/>
    <n v="592"/>
    <n v="10180"/>
    <x v="2"/>
    <n v="7.46E-2"/>
    <x v="5"/>
    <s v="Owned"/>
    <n v="9"/>
    <n v="0"/>
    <s v="No"/>
    <s v="No"/>
    <x v="4"/>
    <n v="89064"/>
    <x v="936"/>
    <x v="35"/>
    <x v="747"/>
    <x v="1"/>
    <x v="1"/>
    <x v="1"/>
  </r>
  <r>
    <x v="938"/>
    <s v="Diana Garcia"/>
    <x v="22"/>
    <x v="1"/>
    <x v="3"/>
    <s v="Graduate"/>
    <x v="1"/>
    <n v="38562"/>
    <n v="592"/>
    <n v="7344"/>
    <x v="4"/>
    <n v="5.1399999999999994E-2"/>
    <x v="1"/>
    <s v="Owned"/>
    <n v="24"/>
    <n v="1"/>
    <s v="Yes"/>
    <s v="Yes"/>
    <x v="3"/>
    <n v="80415"/>
    <x v="937"/>
    <x v="50"/>
    <x v="748"/>
    <x v="0"/>
    <x v="0"/>
    <x v="1"/>
  </r>
  <r>
    <x v="939"/>
    <s v="Jennifer Carter"/>
    <x v="41"/>
    <x v="0"/>
    <x v="0"/>
    <s v="PhD"/>
    <x v="0"/>
    <n v="137369"/>
    <n v="592"/>
    <n v="34044"/>
    <x v="3"/>
    <n v="0.1283"/>
    <x v="0"/>
    <s v="Rented"/>
    <n v="13"/>
    <n v="0"/>
    <s v="Yes"/>
    <s v="No"/>
    <x v="4"/>
    <n v="169170"/>
    <x v="938"/>
    <x v="1"/>
    <x v="700"/>
    <x v="0"/>
    <x v="0"/>
    <x v="1"/>
  </r>
  <r>
    <x v="940"/>
    <s v="Linda Arnold"/>
    <x v="37"/>
    <x v="0"/>
    <x v="1"/>
    <s v="Graduate"/>
    <x v="0"/>
    <n v="23845"/>
    <n v="592"/>
    <n v="8641"/>
    <x v="3"/>
    <n v="0.1696"/>
    <x v="1"/>
    <s v="Mortgaged"/>
    <n v="2"/>
    <n v="1"/>
    <s v="No"/>
    <s v="No"/>
    <x v="2"/>
    <n v="119449"/>
    <x v="939"/>
    <x v="76"/>
    <x v="303"/>
    <x v="0"/>
    <x v="0"/>
    <x v="1"/>
  </r>
  <r>
    <x v="941"/>
    <s v="Shane Le"/>
    <x v="29"/>
    <x v="0"/>
    <x v="3"/>
    <s v="Postgraduate"/>
    <x v="0"/>
    <n v="132223"/>
    <n v="592"/>
    <n v="32668"/>
    <x v="0"/>
    <n v="0.1076"/>
    <x v="0"/>
    <s v="Owned"/>
    <n v="18"/>
    <n v="3"/>
    <s v="No"/>
    <s v="No"/>
    <x v="0"/>
    <n v="115131"/>
    <x v="940"/>
    <x v="13"/>
    <x v="696"/>
    <x v="0"/>
    <x v="0"/>
    <x v="1"/>
  </r>
  <r>
    <x v="942"/>
    <s v="Michaela White"/>
    <x v="5"/>
    <x v="0"/>
    <x v="2"/>
    <s v="High School"/>
    <x v="0"/>
    <n v="66936"/>
    <n v="592"/>
    <n v="27918"/>
    <x v="2"/>
    <n v="0.16010000000000002"/>
    <x v="3"/>
    <s v="Owned"/>
    <n v="9"/>
    <n v="3"/>
    <s v="No"/>
    <s v="Yes"/>
    <x v="4"/>
    <n v="44758"/>
    <x v="941"/>
    <x v="90"/>
    <x v="749"/>
    <x v="0"/>
    <x v="0"/>
    <x v="1"/>
  </r>
  <r>
    <x v="943"/>
    <s v="Jacob Deleon"/>
    <x v="34"/>
    <x v="0"/>
    <x v="3"/>
    <s v="PhD"/>
    <x v="3"/>
    <n v="45563"/>
    <n v="591"/>
    <n v="37263"/>
    <x v="0"/>
    <n v="0.1946"/>
    <x v="5"/>
    <s v="Mortgaged"/>
    <n v="10"/>
    <n v="1"/>
    <s v="No"/>
    <s v="Yes"/>
    <x v="4"/>
    <n v="12705"/>
    <x v="942"/>
    <x v="9"/>
    <x v="125"/>
    <x v="0"/>
    <x v="0"/>
    <x v="1"/>
  </r>
  <r>
    <x v="944"/>
    <s v="Kathleen Riley"/>
    <x v="14"/>
    <x v="0"/>
    <x v="1"/>
    <s v="High School"/>
    <x v="0"/>
    <n v="34016"/>
    <n v="591"/>
    <n v="18862"/>
    <x v="4"/>
    <n v="0.15859999999999999"/>
    <x v="5"/>
    <s v="Mortgaged"/>
    <n v="20"/>
    <n v="0"/>
    <s v="Yes"/>
    <s v="Yes"/>
    <x v="3"/>
    <n v="76759"/>
    <x v="943"/>
    <x v="66"/>
    <x v="174"/>
    <x v="1"/>
    <x v="1"/>
    <x v="1"/>
  </r>
  <r>
    <x v="945"/>
    <s v="Desiree Warner"/>
    <x v="14"/>
    <x v="1"/>
    <x v="2"/>
    <s v="Postgraduate"/>
    <x v="0"/>
    <n v="75809"/>
    <n v="591"/>
    <n v="46380"/>
    <x v="4"/>
    <n v="0.17850000000000002"/>
    <x v="2"/>
    <s v="Owned"/>
    <n v="21"/>
    <n v="3"/>
    <s v="No"/>
    <s v="No"/>
    <x v="2"/>
    <n v="112194"/>
    <x v="944"/>
    <x v="86"/>
    <x v="469"/>
    <x v="1"/>
    <x v="0"/>
    <x v="1"/>
  </r>
  <r>
    <x v="946"/>
    <s v="Nathan Campos"/>
    <x v="11"/>
    <x v="1"/>
    <x v="3"/>
    <s v="Graduate"/>
    <x v="1"/>
    <n v="135884"/>
    <n v="591"/>
    <n v="30764"/>
    <x v="1"/>
    <n v="0.1469"/>
    <x v="2"/>
    <s v="Mortgaged"/>
    <n v="2"/>
    <n v="2"/>
    <s v="Yes"/>
    <s v="No"/>
    <x v="3"/>
    <n v="151780"/>
    <x v="945"/>
    <x v="16"/>
    <x v="200"/>
    <x v="0"/>
    <x v="0"/>
    <x v="1"/>
  </r>
  <r>
    <x v="947"/>
    <s v="Robert Hood"/>
    <x v="20"/>
    <x v="0"/>
    <x v="1"/>
    <s v="Graduate"/>
    <x v="2"/>
    <n v="25993"/>
    <n v="591"/>
    <n v="26298"/>
    <x v="0"/>
    <n v="6.0400000000000002E-2"/>
    <x v="4"/>
    <s v="Rented"/>
    <n v="10"/>
    <n v="4"/>
    <s v="No"/>
    <s v="No"/>
    <x v="1"/>
    <n v="179155"/>
    <x v="946"/>
    <x v="76"/>
    <x v="272"/>
    <x v="1"/>
    <x v="1"/>
    <x v="1"/>
  </r>
  <r>
    <x v="948"/>
    <s v="Dr. Crystal Jenkins"/>
    <x v="19"/>
    <x v="0"/>
    <x v="1"/>
    <s v="High School"/>
    <x v="1"/>
    <n v="142761"/>
    <n v="591"/>
    <n v="5316"/>
    <x v="2"/>
    <n v="0.19620000000000001"/>
    <x v="0"/>
    <s v="Owned"/>
    <n v="23"/>
    <n v="4"/>
    <s v="No"/>
    <s v="No"/>
    <x v="1"/>
    <n v="92288"/>
    <x v="947"/>
    <x v="42"/>
    <x v="750"/>
    <x v="0"/>
    <x v="0"/>
    <x v="1"/>
  </r>
  <r>
    <x v="949"/>
    <s v="Julie Sanchez"/>
    <x v="6"/>
    <x v="1"/>
    <x v="2"/>
    <s v="Graduate"/>
    <x v="1"/>
    <n v="66118"/>
    <n v="590"/>
    <n v="45610"/>
    <x v="3"/>
    <n v="7.9899999999999999E-2"/>
    <x v="1"/>
    <s v="Owned"/>
    <n v="9"/>
    <n v="4"/>
    <s v="No"/>
    <s v="No"/>
    <x v="3"/>
    <n v="35690"/>
    <x v="948"/>
    <x v="32"/>
    <x v="751"/>
    <x v="1"/>
    <x v="0"/>
    <x v="1"/>
  </r>
  <r>
    <x v="950"/>
    <s v="Alyssa Butler"/>
    <x v="4"/>
    <x v="0"/>
    <x v="3"/>
    <s v="Graduate"/>
    <x v="2"/>
    <n v="135080"/>
    <n v="590"/>
    <n v="34932"/>
    <x v="0"/>
    <n v="0.17170000000000002"/>
    <x v="4"/>
    <s v="Owned"/>
    <n v="25"/>
    <n v="0"/>
    <s v="Yes"/>
    <s v="Yes"/>
    <x v="0"/>
    <n v="61804"/>
    <x v="949"/>
    <x v="84"/>
    <x v="752"/>
    <x v="0"/>
    <x v="0"/>
    <x v="1"/>
  </r>
  <r>
    <x v="951"/>
    <s v="Joshua Williams"/>
    <x v="43"/>
    <x v="0"/>
    <x v="0"/>
    <s v="PhD"/>
    <x v="2"/>
    <n v="118943"/>
    <n v="589"/>
    <n v="18110"/>
    <x v="1"/>
    <n v="9.4499999999999987E-2"/>
    <x v="3"/>
    <s v="Owned"/>
    <n v="28"/>
    <n v="4"/>
    <s v="No"/>
    <s v="No"/>
    <x v="4"/>
    <n v="172507"/>
    <x v="950"/>
    <x v="73"/>
    <x v="753"/>
    <x v="0"/>
    <x v="0"/>
    <x v="1"/>
  </r>
  <r>
    <x v="952"/>
    <s v="Michelle Brown"/>
    <x v="10"/>
    <x v="1"/>
    <x v="2"/>
    <s v="High School"/>
    <x v="1"/>
    <n v="58090"/>
    <n v="589"/>
    <n v="3999"/>
    <x v="0"/>
    <n v="0.10060000000000001"/>
    <x v="4"/>
    <s v="Owned"/>
    <n v="13"/>
    <n v="1"/>
    <s v="Yes"/>
    <s v="Yes"/>
    <x v="4"/>
    <n v="14760"/>
    <x v="951"/>
    <x v="73"/>
    <x v="754"/>
    <x v="1"/>
    <x v="0"/>
    <x v="1"/>
  </r>
  <r>
    <x v="953"/>
    <s v="Megan Carpenter"/>
    <x v="13"/>
    <x v="0"/>
    <x v="2"/>
    <s v="PhD"/>
    <x v="1"/>
    <n v="114686"/>
    <n v="588"/>
    <n v="16367"/>
    <x v="2"/>
    <n v="6.0700000000000004E-2"/>
    <x v="5"/>
    <s v="Rented"/>
    <n v="24"/>
    <n v="3"/>
    <s v="No"/>
    <s v="Yes"/>
    <x v="3"/>
    <n v="108885"/>
    <x v="952"/>
    <x v="6"/>
    <x v="755"/>
    <x v="0"/>
    <x v="1"/>
    <x v="1"/>
  </r>
  <r>
    <x v="954"/>
    <s v="Jordan Gonzales"/>
    <x v="41"/>
    <x v="1"/>
    <x v="1"/>
    <s v="High School"/>
    <x v="0"/>
    <n v="128835"/>
    <n v="588"/>
    <n v="45695"/>
    <x v="4"/>
    <n v="6.8000000000000005E-2"/>
    <x v="5"/>
    <s v="Owned"/>
    <n v="29"/>
    <n v="0"/>
    <s v="No"/>
    <s v="Yes"/>
    <x v="1"/>
    <n v="88873"/>
    <x v="953"/>
    <x v="10"/>
    <x v="756"/>
    <x v="0"/>
    <x v="1"/>
    <x v="1"/>
  </r>
  <r>
    <x v="955"/>
    <s v="Melissa Beck"/>
    <x v="23"/>
    <x v="1"/>
    <x v="1"/>
    <s v="Postgraduate"/>
    <x v="2"/>
    <n v="46498"/>
    <n v="588"/>
    <n v="39969"/>
    <x v="0"/>
    <n v="6.5500000000000003E-2"/>
    <x v="4"/>
    <s v="Rented"/>
    <n v="15"/>
    <n v="1"/>
    <s v="Yes"/>
    <s v="Yes"/>
    <x v="0"/>
    <n v="76758"/>
    <x v="954"/>
    <x v="19"/>
    <x v="757"/>
    <x v="0"/>
    <x v="1"/>
    <x v="1"/>
  </r>
  <r>
    <x v="956"/>
    <s v="Steven Simmons"/>
    <x v="24"/>
    <x v="0"/>
    <x v="1"/>
    <s v="PhD"/>
    <x v="1"/>
    <n v="136469"/>
    <n v="588"/>
    <n v="18776"/>
    <x v="3"/>
    <n v="0.13650000000000001"/>
    <x v="0"/>
    <s v="Rented"/>
    <n v="26"/>
    <n v="2"/>
    <s v="No"/>
    <s v="Yes"/>
    <x v="0"/>
    <n v="123448"/>
    <x v="955"/>
    <x v="46"/>
    <x v="344"/>
    <x v="0"/>
    <x v="0"/>
    <x v="1"/>
  </r>
  <r>
    <x v="957"/>
    <s v="Anthony Gonzalez"/>
    <x v="17"/>
    <x v="1"/>
    <x v="3"/>
    <s v="Graduate"/>
    <x v="1"/>
    <n v="35332"/>
    <n v="587"/>
    <n v="8614"/>
    <x v="0"/>
    <n v="8.6899999999999991E-2"/>
    <x v="4"/>
    <s v="Owned"/>
    <n v="3"/>
    <n v="0"/>
    <s v="Yes"/>
    <s v="No"/>
    <x v="4"/>
    <n v="165859"/>
    <x v="956"/>
    <x v="54"/>
    <x v="758"/>
    <x v="1"/>
    <x v="0"/>
    <x v="1"/>
  </r>
  <r>
    <x v="958"/>
    <s v="Sherry Thomas"/>
    <x v="31"/>
    <x v="0"/>
    <x v="0"/>
    <s v="High School"/>
    <x v="2"/>
    <n v="148924"/>
    <n v="587"/>
    <n v="28873"/>
    <x v="1"/>
    <n v="0.15770000000000001"/>
    <x v="2"/>
    <s v="Mortgaged"/>
    <n v="19"/>
    <n v="1"/>
    <s v="No"/>
    <s v="Yes"/>
    <x v="2"/>
    <n v="16944"/>
    <x v="957"/>
    <x v="90"/>
    <x v="759"/>
    <x v="1"/>
    <x v="0"/>
    <x v="1"/>
  </r>
  <r>
    <x v="959"/>
    <s v="Deborah Lopez"/>
    <x v="2"/>
    <x v="1"/>
    <x v="1"/>
    <s v="PhD"/>
    <x v="1"/>
    <n v="139774"/>
    <n v="587"/>
    <n v="35828"/>
    <x v="4"/>
    <n v="0.15820000000000001"/>
    <x v="2"/>
    <s v="Owned"/>
    <n v="2"/>
    <n v="4"/>
    <s v="No"/>
    <s v="Yes"/>
    <x v="4"/>
    <n v="30518"/>
    <x v="958"/>
    <x v="1"/>
    <x v="167"/>
    <x v="0"/>
    <x v="1"/>
    <x v="1"/>
  </r>
  <r>
    <x v="960"/>
    <s v="Lindsay Campbell"/>
    <x v="28"/>
    <x v="0"/>
    <x v="2"/>
    <s v="High School"/>
    <x v="0"/>
    <n v="24655"/>
    <n v="587"/>
    <n v="22946"/>
    <x v="3"/>
    <n v="9.9100000000000008E-2"/>
    <x v="3"/>
    <s v="Mortgaged"/>
    <n v="17"/>
    <n v="2"/>
    <s v="Yes"/>
    <s v="Yes"/>
    <x v="4"/>
    <n v="41005"/>
    <x v="959"/>
    <x v="72"/>
    <x v="116"/>
    <x v="1"/>
    <x v="0"/>
    <x v="1"/>
  </r>
  <r>
    <x v="961"/>
    <s v="Mark Holmes"/>
    <x v="19"/>
    <x v="1"/>
    <x v="1"/>
    <s v="Postgraduate"/>
    <x v="0"/>
    <n v="85886"/>
    <n v="586"/>
    <n v="32110"/>
    <x v="2"/>
    <n v="0.10289999999999999"/>
    <x v="5"/>
    <s v="Owned"/>
    <n v="12"/>
    <n v="1"/>
    <s v="No"/>
    <s v="Yes"/>
    <x v="3"/>
    <n v="10248"/>
    <x v="960"/>
    <x v="31"/>
    <x v="760"/>
    <x v="1"/>
    <x v="0"/>
    <x v="1"/>
  </r>
  <r>
    <x v="962"/>
    <s v="Paige Thomas"/>
    <x v="24"/>
    <x v="1"/>
    <x v="0"/>
    <s v="PhD"/>
    <x v="3"/>
    <n v="93927"/>
    <n v="586"/>
    <n v="42366"/>
    <x v="2"/>
    <n v="5.6500000000000002E-2"/>
    <x v="3"/>
    <s v="Owned"/>
    <n v="7"/>
    <n v="2"/>
    <s v="No"/>
    <s v="Yes"/>
    <x v="1"/>
    <n v="128667"/>
    <x v="961"/>
    <x v="26"/>
    <x v="761"/>
    <x v="1"/>
    <x v="1"/>
    <x v="1"/>
  </r>
  <r>
    <x v="963"/>
    <s v="Brandon Gomez"/>
    <x v="5"/>
    <x v="1"/>
    <x v="1"/>
    <s v="High School"/>
    <x v="3"/>
    <n v="44530"/>
    <n v="586"/>
    <n v="11679"/>
    <x v="4"/>
    <n v="0.1535"/>
    <x v="4"/>
    <s v="Rented"/>
    <n v="20"/>
    <n v="3"/>
    <s v="No"/>
    <s v="Yes"/>
    <x v="4"/>
    <n v="4312"/>
    <x v="962"/>
    <x v="1"/>
    <x v="414"/>
    <x v="0"/>
    <x v="0"/>
    <x v="1"/>
  </r>
  <r>
    <x v="964"/>
    <s v="Karen Lester"/>
    <x v="37"/>
    <x v="1"/>
    <x v="3"/>
    <s v="Postgraduate"/>
    <x v="2"/>
    <n v="82574"/>
    <n v="585"/>
    <n v="31898"/>
    <x v="1"/>
    <n v="0.1832"/>
    <x v="5"/>
    <s v="Owned"/>
    <n v="12"/>
    <n v="2"/>
    <s v="No"/>
    <s v="No"/>
    <x v="0"/>
    <n v="163688"/>
    <x v="963"/>
    <x v="57"/>
    <x v="762"/>
    <x v="1"/>
    <x v="0"/>
    <x v="1"/>
  </r>
  <r>
    <x v="965"/>
    <s v="Randall Davis"/>
    <x v="5"/>
    <x v="0"/>
    <x v="3"/>
    <s v="Postgraduate"/>
    <x v="3"/>
    <n v="22017"/>
    <n v="585"/>
    <n v="6212"/>
    <x v="4"/>
    <n v="7.8299999999999995E-2"/>
    <x v="3"/>
    <s v="Rented"/>
    <n v="2"/>
    <n v="0"/>
    <s v="Yes"/>
    <s v="No"/>
    <x v="1"/>
    <n v="160747"/>
    <x v="964"/>
    <x v="36"/>
    <x v="375"/>
    <x v="0"/>
    <x v="0"/>
    <x v="1"/>
  </r>
  <r>
    <x v="966"/>
    <s v="Sophia Allen"/>
    <x v="16"/>
    <x v="1"/>
    <x v="2"/>
    <s v="PhD"/>
    <x v="1"/>
    <n v="147101"/>
    <n v="584"/>
    <n v="30069"/>
    <x v="1"/>
    <n v="0.1288"/>
    <x v="3"/>
    <s v="Owned"/>
    <n v="11"/>
    <n v="4"/>
    <s v="Yes"/>
    <s v="Yes"/>
    <x v="1"/>
    <n v="73302"/>
    <x v="965"/>
    <x v="3"/>
    <x v="763"/>
    <x v="0"/>
    <x v="1"/>
    <x v="1"/>
  </r>
  <r>
    <x v="967"/>
    <s v="Emma Aguilar"/>
    <x v="7"/>
    <x v="0"/>
    <x v="2"/>
    <s v="High School"/>
    <x v="2"/>
    <n v="133870"/>
    <n v="584"/>
    <n v="25908"/>
    <x v="3"/>
    <n v="0.18440000000000001"/>
    <x v="5"/>
    <s v="Owned"/>
    <n v="7"/>
    <n v="1"/>
    <s v="Yes"/>
    <s v="Yes"/>
    <x v="3"/>
    <n v="196201"/>
    <x v="966"/>
    <x v="59"/>
    <x v="683"/>
    <x v="1"/>
    <x v="0"/>
    <x v="1"/>
  </r>
  <r>
    <x v="968"/>
    <s v="Charles Mcknight"/>
    <x v="15"/>
    <x v="1"/>
    <x v="1"/>
    <s v="PhD"/>
    <x v="1"/>
    <n v="80119"/>
    <n v="584"/>
    <n v="3460"/>
    <x v="2"/>
    <n v="0.19030000000000002"/>
    <x v="0"/>
    <s v="Mortgaged"/>
    <n v="8"/>
    <n v="4"/>
    <s v="Yes"/>
    <s v="Yes"/>
    <x v="4"/>
    <n v="126832"/>
    <x v="967"/>
    <x v="64"/>
    <x v="459"/>
    <x v="1"/>
    <x v="0"/>
    <x v="1"/>
  </r>
  <r>
    <x v="969"/>
    <s v="Betty Roach"/>
    <x v="24"/>
    <x v="0"/>
    <x v="3"/>
    <s v="Graduate"/>
    <x v="0"/>
    <n v="25609"/>
    <n v="583"/>
    <n v="38634"/>
    <x v="0"/>
    <n v="7.0999999999999994E-2"/>
    <x v="1"/>
    <s v="Rented"/>
    <n v="15"/>
    <n v="1"/>
    <s v="Yes"/>
    <s v="Yes"/>
    <x v="4"/>
    <n v="153960"/>
    <x v="968"/>
    <x v="23"/>
    <x v="764"/>
    <x v="0"/>
    <x v="0"/>
    <x v="1"/>
  </r>
  <r>
    <x v="970"/>
    <s v="Jeremiah Wilson"/>
    <x v="40"/>
    <x v="1"/>
    <x v="1"/>
    <s v="High School"/>
    <x v="3"/>
    <n v="43525"/>
    <n v="582"/>
    <n v="22071"/>
    <x v="4"/>
    <n v="6.0599999999999994E-2"/>
    <x v="3"/>
    <s v="Mortgaged"/>
    <n v="6"/>
    <n v="4"/>
    <s v="No"/>
    <s v="No"/>
    <x v="4"/>
    <n v="26477"/>
    <x v="969"/>
    <x v="64"/>
    <x v="428"/>
    <x v="0"/>
    <x v="0"/>
    <x v="1"/>
  </r>
  <r>
    <x v="971"/>
    <s v="Ricky Jones"/>
    <x v="17"/>
    <x v="1"/>
    <x v="2"/>
    <s v="Postgraduate"/>
    <x v="1"/>
    <n v="105657"/>
    <n v="581"/>
    <n v="36051"/>
    <x v="1"/>
    <n v="0.17309999999999998"/>
    <x v="4"/>
    <s v="Owned"/>
    <n v="7"/>
    <n v="3"/>
    <s v="Yes"/>
    <s v="No"/>
    <x v="3"/>
    <n v="175380"/>
    <x v="970"/>
    <x v="30"/>
    <x v="398"/>
    <x v="0"/>
    <x v="0"/>
    <x v="1"/>
  </r>
  <r>
    <x v="972"/>
    <s v="Brandon Morgan"/>
    <x v="15"/>
    <x v="0"/>
    <x v="1"/>
    <s v="High School"/>
    <x v="2"/>
    <n v="147514"/>
    <n v="581"/>
    <n v="42964"/>
    <x v="0"/>
    <n v="0.19409999999999999"/>
    <x v="2"/>
    <s v="Owned"/>
    <n v="10"/>
    <n v="0"/>
    <s v="Yes"/>
    <s v="No"/>
    <x v="4"/>
    <n v="186629"/>
    <x v="971"/>
    <x v="87"/>
    <x v="765"/>
    <x v="0"/>
    <x v="0"/>
    <x v="1"/>
  </r>
  <r>
    <x v="973"/>
    <s v="William Weiss"/>
    <x v="43"/>
    <x v="1"/>
    <x v="0"/>
    <s v="Postgraduate"/>
    <x v="1"/>
    <n v="87300"/>
    <n v="581"/>
    <n v="38710"/>
    <x v="0"/>
    <n v="9.4899999999999998E-2"/>
    <x v="2"/>
    <s v="Rented"/>
    <n v="9"/>
    <n v="0"/>
    <s v="No"/>
    <s v="Yes"/>
    <x v="3"/>
    <n v="92902"/>
    <x v="972"/>
    <x v="56"/>
    <x v="151"/>
    <x v="0"/>
    <x v="0"/>
    <x v="1"/>
  </r>
  <r>
    <x v="974"/>
    <s v="Patrick Price"/>
    <x v="16"/>
    <x v="0"/>
    <x v="0"/>
    <s v="Graduate"/>
    <x v="3"/>
    <n v="41360"/>
    <n v="581"/>
    <n v="14890"/>
    <x v="2"/>
    <n v="8.48E-2"/>
    <x v="2"/>
    <s v="Rented"/>
    <n v="20"/>
    <n v="1"/>
    <s v="No"/>
    <s v="Yes"/>
    <x v="1"/>
    <n v="49408"/>
    <x v="973"/>
    <x v="54"/>
    <x v="766"/>
    <x v="1"/>
    <x v="0"/>
    <x v="1"/>
  </r>
  <r>
    <x v="975"/>
    <s v="James Erickson"/>
    <x v="21"/>
    <x v="0"/>
    <x v="2"/>
    <s v="Postgraduate"/>
    <x v="3"/>
    <n v="74880"/>
    <n v="580"/>
    <n v="20043"/>
    <x v="4"/>
    <n v="0.1721"/>
    <x v="2"/>
    <s v="Rented"/>
    <n v="28"/>
    <n v="2"/>
    <s v="Yes"/>
    <s v="Yes"/>
    <x v="3"/>
    <n v="27151"/>
    <x v="974"/>
    <x v="56"/>
    <x v="767"/>
    <x v="1"/>
    <x v="0"/>
    <x v="1"/>
  </r>
  <r>
    <x v="976"/>
    <s v="Lauren Collins"/>
    <x v="8"/>
    <x v="1"/>
    <x v="3"/>
    <s v="High School"/>
    <x v="3"/>
    <n v="84994"/>
    <n v="580"/>
    <n v="40713"/>
    <x v="4"/>
    <n v="0.1014"/>
    <x v="1"/>
    <s v="Mortgaged"/>
    <n v="21"/>
    <n v="0"/>
    <s v="No"/>
    <s v="Yes"/>
    <x v="0"/>
    <n v="54654"/>
    <x v="975"/>
    <x v="25"/>
    <x v="204"/>
    <x v="0"/>
    <x v="0"/>
    <x v="1"/>
  </r>
  <r>
    <x v="977"/>
    <s v="Teresa Orr"/>
    <x v="19"/>
    <x v="0"/>
    <x v="3"/>
    <s v="Postgraduate"/>
    <x v="1"/>
    <n v="79473"/>
    <n v="580"/>
    <n v="27783"/>
    <x v="0"/>
    <n v="0.10589999999999999"/>
    <x v="0"/>
    <s v="Owned"/>
    <n v="19"/>
    <n v="0"/>
    <s v="No"/>
    <s v="Yes"/>
    <x v="1"/>
    <n v="29655"/>
    <x v="976"/>
    <x v="88"/>
    <x v="768"/>
    <x v="1"/>
    <x v="0"/>
    <x v="1"/>
  </r>
  <r>
    <x v="978"/>
    <s v="Jacob Frank"/>
    <x v="37"/>
    <x v="0"/>
    <x v="3"/>
    <s v="Postgraduate"/>
    <x v="3"/>
    <n v="143400"/>
    <n v="580"/>
    <n v="14965"/>
    <x v="1"/>
    <n v="0.1051"/>
    <x v="4"/>
    <s v="Owned"/>
    <n v="2"/>
    <n v="1"/>
    <s v="No"/>
    <s v="No"/>
    <x v="2"/>
    <n v="97196"/>
    <x v="977"/>
    <x v="22"/>
    <x v="769"/>
    <x v="0"/>
    <x v="0"/>
    <x v="1"/>
  </r>
  <r>
    <x v="979"/>
    <s v="Zachary Thompson DDS"/>
    <x v="9"/>
    <x v="1"/>
    <x v="0"/>
    <s v="Postgraduate"/>
    <x v="2"/>
    <n v="22739"/>
    <n v="580"/>
    <n v="49844"/>
    <x v="1"/>
    <n v="8.4900000000000003E-2"/>
    <x v="4"/>
    <s v="Mortgaged"/>
    <n v="13"/>
    <n v="0"/>
    <s v="Yes"/>
    <s v="Yes"/>
    <x v="2"/>
    <n v="89440"/>
    <x v="978"/>
    <x v="84"/>
    <x v="770"/>
    <x v="0"/>
    <x v="0"/>
    <x v="1"/>
  </r>
  <r>
    <x v="980"/>
    <s v="Brandon Erickson"/>
    <x v="5"/>
    <x v="0"/>
    <x v="2"/>
    <s v="Graduate"/>
    <x v="0"/>
    <n v="102410"/>
    <n v="579"/>
    <n v="44563"/>
    <x v="3"/>
    <n v="0.15609999999999999"/>
    <x v="2"/>
    <s v="Owned"/>
    <n v="20"/>
    <n v="3"/>
    <s v="Yes"/>
    <s v="No"/>
    <x v="2"/>
    <n v="129196"/>
    <x v="979"/>
    <x v="83"/>
    <x v="298"/>
    <x v="0"/>
    <x v="0"/>
    <x v="1"/>
  </r>
  <r>
    <x v="981"/>
    <s v="Cynthia Evans"/>
    <x v="37"/>
    <x v="1"/>
    <x v="2"/>
    <s v="Postgraduate"/>
    <x v="3"/>
    <n v="136854"/>
    <n v="579"/>
    <n v="3389"/>
    <x v="3"/>
    <n v="0.1361"/>
    <x v="2"/>
    <s v="Rented"/>
    <n v="16"/>
    <n v="1"/>
    <s v="Yes"/>
    <s v="No"/>
    <x v="4"/>
    <n v="172195"/>
    <x v="980"/>
    <x v="77"/>
    <x v="411"/>
    <x v="1"/>
    <x v="0"/>
    <x v="1"/>
  </r>
  <r>
    <x v="982"/>
    <s v="Cheryl Snyder"/>
    <x v="5"/>
    <x v="1"/>
    <x v="3"/>
    <s v="High School"/>
    <x v="1"/>
    <n v="30481"/>
    <n v="579"/>
    <n v="8253"/>
    <x v="3"/>
    <n v="8.5199999999999998E-2"/>
    <x v="5"/>
    <s v="Rented"/>
    <n v="5"/>
    <n v="2"/>
    <s v="Yes"/>
    <s v="Yes"/>
    <x v="2"/>
    <n v="159219"/>
    <x v="981"/>
    <x v="69"/>
    <x v="410"/>
    <x v="0"/>
    <x v="1"/>
    <x v="1"/>
  </r>
  <r>
    <x v="983"/>
    <s v="Juan Williams"/>
    <x v="24"/>
    <x v="1"/>
    <x v="2"/>
    <s v="Graduate"/>
    <x v="3"/>
    <n v="41168"/>
    <n v="579"/>
    <n v="6361"/>
    <x v="3"/>
    <n v="0.10039999999999999"/>
    <x v="4"/>
    <s v="Rented"/>
    <n v="19"/>
    <n v="0"/>
    <s v="No"/>
    <s v="No"/>
    <x v="2"/>
    <n v="98550"/>
    <x v="982"/>
    <x v="44"/>
    <x v="771"/>
    <x v="0"/>
    <x v="0"/>
    <x v="1"/>
  </r>
  <r>
    <x v="984"/>
    <s v="Tonya Stevens"/>
    <x v="28"/>
    <x v="1"/>
    <x v="3"/>
    <s v="Graduate"/>
    <x v="1"/>
    <n v="69692"/>
    <n v="578"/>
    <n v="14546"/>
    <x v="0"/>
    <n v="0.1069"/>
    <x v="1"/>
    <s v="Owned"/>
    <n v="10"/>
    <n v="1"/>
    <s v="Yes"/>
    <s v="Yes"/>
    <x v="0"/>
    <n v="75501"/>
    <x v="983"/>
    <x v="46"/>
    <x v="643"/>
    <x v="1"/>
    <x v="0"/>
    <x v="1"/>
  </r>
  <r>
    <x v="985"/>
    <s v="Mark Anderson"/>
    <x v="25"/>
    <x v="1"/>
    <x v="3"/>
    <s v="PhD"/>
    <x v="1"/>
    <n v="80646"/>
    <n v="578"/>
    <n v="7163"/>
    <x v="1"/>
    <n v="0.15429999999999999"/>
    <x v="5"/>
    <s v="Owned"/>
    <n v="24"/>
    <n v="0"/>
    <s v="No"/>
    <s v="Yes"/>
    <x v="1"/>
    <n v="192803"/>
    <x v="984"/>
    <x v="14"/>
    <x v="772"/>
    <x v="1"/>
    <x v="0"/>
    <x v="1"/>
  </r>
  <r>
    <x v="986"/>
    <s v="Kyle Martin"/>
    <x v="8"/>
    <x v="1"/>
    <x v="3"/>
    <s v="PhD"/>
    <x v="1"/>
    <n v="128132"/>
    <n v="578"/>
    <n v="4420"/>
    <x v="0"/>
    <n v="0.107"/>
    <x v="3"/>
    <s v="Mortgaged"/>
    <n v="14"/>
    <n v="3"/>
    <s v="Yes"/>
    <s v="Yes"/>
    <x v="3"/>
    <n v="144941"/>
    <x v="985"/>
    <x v="31"/>
    <x v="773"/>
    <x v="1"/>
    <x v="0"/>
    <x v="1"/>
  </r>
  <r>
    <x v="987"/>
    <s v="Steven Morgan"/>
    <x v="9"/>
    <x v="0"/>
    <x v="1"/>
    <s v="High School"/>
    <x v="2"/>
    <n v="35111"/>
    <n v="578"/>
    <n v="30894"/>
    <x v="0"/>
    <n v="0.17760000000000001"/>
    <x v="4"/>
    <s v="Owned"/>
    <n v="2"/>
    <n v="3"/>
    <s v="Yes"/>
    <s v="No"/>
    <x v="2"/>
    <n v="189857"/>
    <x v="986"/>
    <x v="18"/>
    <x v="524"/>
    <x v="1"/>
    <x v="0"/>
    <x v="1"/>
  </r>
  <r>
    <x v="988"/>
    <s v="Michele Cabrera"/>
    <x v="20"/>
    <x v="0"/>
    <x v="0"/>
    <s v="Graduate"/>
    <x v="3"/>
    <n v="84360"/>
    <n v="577"/>
    <n v="22740"/>
    <x v="4"/>
    <n v="6.9500000000000006E-2"/>
    <x v="1"/>
    <s v="Mortgaged"/>
    <n v="19"/>
    <n v="3"/>
    <s v="No"/>
    <s v="Yes"/>
    <x v="2"/>
    <n v="146631"/>
    <x v="987"/>
    <x v="71"/>
    <x v="774"/>
    <x v="0"/>
    <x v="0"/>
    <x v="1"/>
  </r>
  <r>
    <x v="989"/>
    <s v="Victoria Oneill"/>
    <x v="43"/>
    <x v="0"/>
    <x v="2"/>
    <s v="Graduate"/>
    <x v="1"/>
    <n v="78026"/>
    <n v="577"/>
    <n v="7189"/>
    <x v="4"/>
    <n v="0.14550000000000002"/>
    <x v="1"/>
    <s v="Owned"/>
    <n v="3"/>
    <n v="4"/>
    <s v="No"/>
    <s v="No"/>
    <x v="0"/>
    <n v="110661"/>
    <x v="988"/>
    <x v="74"/>
    <x v="141"/>
    <x v="1"/>
    <x v="0"/>
    <x v="1"/>
  </r>
  <r>
    <x v="990"/>
    <s v="Wesley Smith"/>
    <x v="8"/>
    <x v="1"/>
    <x v="1"/>
    <s v="Postgraduate"/>
    <x v="0"/>
    <n v="93366"/>
    <n v="577"/>
    <n v="7336"/>
    <x v="1"/>
    <n v="9.8599999999999993E-2"/>
    <x v="5"/>
    <s v="Rented"/>
    <n v="2"/>
    <n v="4"/>
    <s v="No"/>
    <s v="Yes"/>
    <x v="2"/>
    <n v="49158"/>
    <x v="153"/>
    <x v="36"/>
    <x v="596"/>
    <x v="0"/>
    <x v="0"/>
    <x v="1"/>
  </r>
  <r>
    <x v="991"/>
    <s v="Robert Jones"/>
    <x v="25"/>
    <x v="0"/>
    <x v="0"/>
    <s v="High School"/>
    <x v="3"/>
    <n v="82147"/>
    <n v="577"/>
    <n v="28915"/>
    <x v="4"/>
    <n v="0.17149999999999999"/>
    <x v="2"/>
    <s v="Owned"/>
    <n v="4"/>
    <n v="3"/>
    <s v="Yes"/>
    <s v="No"/>
    <x v="0"/>
    <n v="133212"/>
    <x v="989"/>
    <x v="17"/>
    <x v="270"/>
    <x v="1"/>
    <x v="0"/>
    <x v="1"/>
  </r>
  <r>
    <x v="992"/>
    <s v="Jo Nguyen"/>
    <x v="43"/>
    <x v="1"/>
    <x v="0"/>
    <s v="PhD"/>
    <x v="3"/>
    <n v="45993"/>
    <n v="576"/>
    <n v="49542"/>
    <x v="4"/>
    <n v="0.17190000000000003"/>
    <x v="4"/>
    <s v="Owned"/>
    <n v="29"/>
    <n v="1"/>
    <s v="No"/>
    <s v="No"/>
    <x v="0"/>
    <n v="139585"/>
    <x v="990"/>
    <x v="29"/>
    <x v="574"/>
    <x v="1"/>
    <x v="1"/>
    <x v="1"/>
  </r>
  <r>
    <x v="993"/>
    <s v="Tina Patterson"/>
    <x v="10"/>
    <x v="0"/>
    <x v="2"/>
    <s v="Postgraduate"/>
    <x v="3"/>
    <n v="136088"/>
    <n v="576"/>
    <n v="14142"/>
    <x v="0"/>
    <n v="0.1736"/>
    <x v="1"/>
    <s v="Mortgaged"/>
    <n v="25"/>
    <n v="1"/>
    <s v="Yes"/>
    <s v="No"/>
    <x v="1"/>
    <n v="142847"/>
    <x v="991"/>
    <x v="71"/>
    <x v="347"/>
    <x v="0"/>
    <x v="0"/>
    <x v="1"/>
  </r>
  <r>
    <x v="994"/>
    <s v="Roy White"/>
    <x v="19"/>
    <x v="0"/>
    <x v="3"/>
    <s v="High School"/>
    <x v="2"/>
    <n v="110748"/>
    <n v="575"/>
    <n v="25673"/>
    <x v="2"/>
    <n v="0.183"/>
    <x v="1"/>
    <s v="Mortgaged"/>
    <n v="24"/>
    <n v="0"/>
    <s v="No"/>
    <s v="Yes"/>
    <x v="3"/>
    <n v="191524"/>
    <x v="992"/>
    <x v="85"/>
    <x v="775"/>
    <x v="1"/>
    <x v="1"/>
    <x v="1"/>
  </r>
  <r>
    <x v="995"/>
    <s v="Ronald Odom"/>
    <x v="18"/>
    <x v="0"/>
    <x v="0"/>
    <s v="PhD"/>
    <x v="2"/>
    <n v="34650"/>
    <n v="575"/>
    <n v="49217"/>
    <x v="2"/>
    <n v="0.18160000000000001"/>
    <x v="5"/>
    <s v="Owned"/>
    <n v="4"/>
    <n v="0"/>
    <s v="Yes"/>
    <s v="Yes"/>
    <x v="0"/>
    <n v="93220"/>
    <x v="993"/>
    <x v="2"/>
    <x v="776"/>
    <x v="1"/>
    <x v="1"/>
    <x v="1"/>
  </r>
  <r>
    <x v="996"/>
    <s v="Michael Moran"/>
    <x v="36"/>
    <x v="1"/>
    <x v="2"/>
    <s v="High School"/>
    <x v="2"/>
    <n v="41059"/>
    <n v="575"/>
    <n v="6622"/>
    <x v="3"/>
    <n v="0.16289999999999999"/>
    <x v="3"/>
    <s v="Owned"/>
    <n v="10"/>
    <n v="3"/>
    <s v="Yes"/>
    <s v="No"/>
    <x v="3"/>
    <n v="110827"/>
    <x v="994"/>
    <x v="57"/>
    <x v="777"/>
    <x v="0"/>
    <x v="0"/>
    <x v="1"/>
  </r>
  <r>
    <x v="997"/>
    <s v="Jason Wright"/>
    <x v="2"/>
    <x v="1"/>
    <x v="3"/>
    <s v="Graduate"/>
    <x v="1"/>
    <n v="149321"/>
    <n v="575"/>
    <n v="36326"/>
    <x v="3"/>
    <n v="0.1033"/>
    <x v="2"/>
    <s v="Owned"/>
    <n v="3"/>
    <n v="3"/>
    <s v="Yes"/>
    <s v="Yes"/>
    <x v="2"/>
    <n v="181765"/>
    <x v="995"/>
    <x v="62"/>
    <x v="778"/>
    <x v="0"/>
    <x v="1"/>
    <x v="1"/>
  </r>
  <r>
    <x v="998"/>
    <s v="Greg James"/>
    <x v="42"/>
    <x v="0"/>
    <x v="1"/>
    <s v="Postgraduate"/>
    <x v="3"/>
    <n v="80390"/>
    <n v="574"/>
    <n v="32159"/>
    <x v="2"/>
    <n v="8.3400000000000002E-2"/>
    <x v="1"/>
    <s v="Mortgaged"/>
    <n v="13"/>
    <n v="2"/>
    <s v="No"/>
    <s v="No"/>
    <x v="0"/>
    <n v="199494"/>
    <x v="996"/>
    <x v="5"/>
    <x v="779"/>
    <x v="1"/>
    <x v="0"/>
    <x v="1"/>
  </r>
  <r>
    <x v="999"/>
    <s v="Jordan Nash"/>
    <x v="32"/>
    <x v="1"/>
    <x v="0"/>
    <s v="PhD"/>
    <x v="1"/>
    <n v="119108"/>
    <n v="574"/>
    <n v="45651"/>
    <x v="1"/>
    <n v="6.1200000000000004E-2"/>
    <x v="5"/>
    <s v="Mortgaged"/>
    <n v="8"/>
    <n v="3"/>
    <s v="Yes"/>
    <s v="Yes"/>
    <x v="3"/>
    <n v="161255"/>
    <x v="997"/>
    <x v="21"/>
    <x v="780"/>
    <x v="0"/>
    <x v="0"/>
    <x v="1"/>
  </r>
  <r>
    <x v="1000"/>
    <s v="Samantha Bradley"/>
    <x v="32"/>
    <x v="1"/>
    <x v="3"/>
    <s v="PhD"/>
    <x v="2"/>
    <n v="85140"/>
    <n v="574"/>
    <n v="4809"/>
    <x v="3"/>
    <n v="0.19550000000000001"/>
    <x v="1"/>
    <s v="Rented"/>
    <n v="4"/>
    <n v="3"/>
    <s v="Yes"/>
    <s v="Yes"/>
    <x v="0"/>
    <n v="76639"/>
    <x v="998"/>
    <x v="83"/>
    <x v="781"/>
    <x v="1"/>
    <x v="0"/>
    <x v="1"/>
  </r>
  <r>
    <x v="1001"/>
    <s v="Bridget Neal"/>
    <x v="21"/>
    <x v="1"/>
    <x v="0"/>
    <s v="Graduate"/>
    <x v="0"/>
    <n v="139289"/>
    <n v="574"/>
    <n v="11033"/>
    <x v="4"/>
    <n v="0.18280000000000002"/>
    <x v="1"/>
    <s v="Owned"/>
    <n v="24"/>
    <n v="4"/>
    <s v="No"/>
    <s v="No"/>
    <x v="0"/>
    <n v="109015"/>
    <x v="999"/>
    <x v="12"/>
    <x v="265"/>
    <x v="0"/>
    <x v="0"/>
    <x v="1"/>
  </r>
  <r>
    <x v="1002"/>
    <s v="Felicia Kennedy"/>
    <x v="14"/>
    <x v="1"/>
    <x v="2"/>
    <s v="Postgraduate"/>
    <x v="2"/>
    <n v="67934"/>
    <n v="574"/>
    <n v="8292"/>
    <x v="2"/>
    <n v="5.2400000000000002E-2"/>
    <x v="4"/>
    <s v="Mortgaged"/>
    <n v="18"/>
    <n v="4"/>
    <s v="Yes"/>
    <s v="No"/>
    <x v="2"/>
    <n v="113246"/>
    <x v="1000"/>
    <x v="49"/>
    <x v="782"/>
    <x v="0"/>
    <x v="0"/>
    <x v="1"/>
  </r>
  <r>
    <x v="1003"/>
    <s v="Patricia Lee"/>
    <x v="42"/>
    <x v="0"/>
    <x v="3"/>
    <s v="High School"/>
    <x v="1"/>
    <n v="115119"/>
    <n v="573"/>
    <n v="6674"/>
    <x v="2"/>
    <n v="0.13669999999999999"/>
    <x v="4"/>
    <s v="Mortgaged"/>
    <n v="23"/>
    <n v="2"/>
    <s v="No"/>
    <s v="No"/>
    <x v="1"/>
    <n v="9431"/>
    <x v="1001"/>
    <x v="3"/>
    <x v="490"/>
    <x v="0"/>
    <x v="0"/>
    <x v="1"/>
  </r>
  <r>
    <x v="1004"/>
    <s v="Donald Ho"/>
    <x v="23"/>
    <x v="1"/>
    <x v="1"/>
    <s v="PhD"/>
    <x v="3"/>
    <n v="55790"/>
    <n v="573"/>
    <n v="34529"/>
    <x v="1"/>
    <n v="6.13E-2"/>
    <x v="2"/>
    <s v="Rented"/>
    <n v="7"/>
    <n v="1"/>
    <s v="No"/>
    <s v="Yes"/>
    <x v="3"/>
    <n v="29237"/>
    <x v="1002"/>
    <x v="11"/>
    <x v="127"/>
    <x v="1"/>
    <x v="1"/>
    <x v="1"/>
  </r>
  <r>
    <x v="1005"/>
    <s v="Ronald Fischer"/>
    <x v="14"/>
    <x v="1"/>
    <x v="2"/>
    <s v="Graduate"/>
    <x v="2"/>
    <n v="101335"/>
    <n v="573"/>
    <n v="7553"/>
    <x v="3"/>
    <n v="0.1143"/>
    <x v="1"/>
    <s v="Owned"/>
    <n v="22"/>
    <n v="1"/>
    <s v="No"/>
    <s v="No"/>
    <x v="3"/>
    <n v="123505"/>
    <x v="1003"/>
    <x v="67"/>
    <x v="194"/>
    <x v="1"/>
    <x v="1"/>
    <x v="1"/>
  </r>
  <r>
    <x v="1006"/>
    <s v="Beth Moyer"/>
    <x v="1"/>
    <x v="1"/>
    <x v="1"/>
    <s v="High School"/>
    <x v="1"/>
    <n v="55694"/>
    <n v="572"/>
    <n v="27819"/>
    <x v="0"/>
    <n v="9.5000000000000001E-2"/>
    <x v="0"/>
    <s v="Rented"/>
    <n v="14"/>
    <n v="4"/>
    <s v="No"/>
    <s v="Yes"/>
    <x v="4"/>
    <n v="77567"/>
    <x v="1004"/>
    <x v="48"/>
    <x v="245"/>
    <x v="1"/>
    <x v="1"/>
    <x v="1"/>
  </r>
  <r>
    <x v="1007"/>
    <s v="David Bruce"/>
    <x v="38"/>
    <x v="0"/>
    <x v="0"/>
    <s v="Postgraduate"/>
    <x v="2"/>
    <n v="27910"/>
    <n v="572"/>
    <n v="34909"/>
    <x v="4"/>
    <n v="0.1"/>
    <x v="4"/>
    <s v="Owned"/>
    <n v="29"/>
    <n v="3"/>
    <s v="No"/>
    <s v="Yes"/>
    <x v="2"/>
    <n v="60269"/>
    <x v="1005"/>
    <x v="86"/>
    <x v="783"/>
    <x v="1"/>
    <x v="0"/>
    <x v="1"/>
  </r>
  <r>
    <x v="1008"/>
    <s v="Jennifer Gonzalez"/>
    <x v="21"/>
    <x v="0"/>
    <x v="0"/>
    <s v="High School"/>
    <x v="3"/>
    <n v="92388"/>
    <n v="572"/>
    <n v="20798"/>
    <x v="1"/>
    <n v="7.5800000000000006E-2"/>
    <x v="1"/>
    <s v="Owned"/>
    <n v="15"/>
    <n v="2"/>
    <s v="No"/>
    <s v="No"/>
    <x v="1"/>
    <n v="117622"/>
    <x v="1006"/>
    <x v="4"/>
    <x v="784"/>
    <x v="0"/>
    <x v="1"/>
    <x v="1"/>
  </r>
  <r>
    <x v="1009"/>
    <s v="Stephanie Best"/>
    <x v="16"/>
    <x v="0"/>
    <x v="2"/>
    <s v="PhD"/>
    <x v="3"/>
    <n v="65117"/>
    <n v="572"/>
    <n v="26208"/>
    <x v="2"/>
    <n v="0.19420000000000001"/>
    <x v="0"/>
    <s v="Rented"/>
    <n v="10"/>
    <n v="2"/>
    <s v="Yes"/>
    <s v="Yes"/>
    <x v="3"/>
    <n v="74060"/>
    <x v="1007"/>
    <x v="84"/>
    <x v="785"/>
    <x v="1"/>
    <x v="0"/>
    <x v="1"/>
  </r>
  <r>
    <x v="1010"/>
    <s v="Maria Perez"/>
    <x v="11"/>
    <x v="1"/>
    <x v="1"/>
    <s v="PhD"/>
    <x v="3"/>
    <n v="40595"/>
    <n v="572"/>
    <n v="3473"/>
    <x v="2"/>
    <n v="6.8199999999999997E-2"/>
    <x v="5"/>
    <s v="Owned"/>
    <n v="24"/>
    <n v="2"/>
    <s v="Yes"/>
    <s v="No"/>
    <x v="3"/>
    <n v="116386"/>
    <x v="1008"/>
    <x v="86"/>
    <x v="39"/>
    <x v="1"/>
    <x v="0"/>
    <x v="1"/>
  </r>
  <r>
    <x v="1011"/>
    <s v="Hannah Thomas"/>
    <x v="37"/>
    <x v="0"/>
    <x v="0"/>
    <s v="Graduate"/>
    <x v="0"/>
    <n v="57534"/>
    <n v="571"/>
    <n v="35433"/>
    <x v="3"/>
    <n v="0.1103"/>
    <x v="5"/>
    <s v="Mortgaged"/>
    <n v="11"/>
    <n v="0"/>
    <s v="Yes"/>
    <s v="No"/>
    <x v="3"/>
    <n v="180753"/>
    <x v="1009"/>
    <x v="71"/>
    <x v="786"/>
    <x v="1"/>
    <x v="1"/>
    <x v="1"/>
  </r>
  <r>
    <x v="1012"/>
    <s v="Andrew Johnson"/>
    <x v="42"/>
    <x v="1"/>
    <x v="2"/>
    <s v="Graduate"/>
    <x v="2"/>
    <n v="39563"/>
    <n v="571"/>
    <n v="2645"/>
    <x v="2"/>
    <n v="0.184"/>
    <x v="3"/>
    <s v="Rented"/>
    <n v="15"/>
    <n v="4"/>
    <s v="Yes"/>
    <s v="No"/>
    <x v="1"/>
    <n v="21021"/>
    <x v="1010"/>
    <x v="68"/>
    <x v="787"/>
    <x v="1"/>
    <x v="0"/>
    <x v="1"/>
  </r>
  <r>
    <x v="1013"/>
    <s v="Ryan Bright"/>
    <x v="22"/>
    <x v="0"/>
    <x v="0"/>
    <s v="Graduate"/>
    <x v="1"/>
    <n v="77692"/>
    <n v="570"/>
    <n v="25882"/>
    <x v="3"/>
    <n v="0.1009"/>
    <x v="5"/>
    <s v="Mortgaged"/>
    <n v="11"/>
    <n v="3"/>
    <s v="Yes"/>
    <s v="Yes"/>
    <x v="0"/>
    <n v="7461"/>
    <x v="1011"/>
    <x v="59"/>
    <x v="64"/>
    <x v="1"/>
    <x v="0"/>
    <x v="1"/>
  </r>
  <r>
    <x v="1014"/>
    <s v="Michael Wu"/>
    <x v="8"/>
    <x v="1"/>
    <x v="0"/>
    <s v="Postgraduate"/>
    <x v="3"/>
    <n v="123313"/>
    <n v="570"/>
    <n v="28209"/>
    <x v="3"/>
    <n v="0.1938"/>
    <x v="4"/>
    <s v="Rented"/>
    <n v="10"/>
    <n v="4"/>
    <s v="Yes"/>
    <s v="Yes"/>
    <x v="3"/>
    <n v="33991"/>
    <x v="1012"/>
    <x v="37"/>
    <x v="788"/>
    <x v="1"/>
    <x v="0"/>
    <x v="1"/>
  </r>
  <r>
    <x v="1015"/>
    <s v="Derek Thompson MD"/>
    <x v="26"/>
    <x v="0"/>
    <x v="0"/>
    <s v="Postgraduate"/>
    <x v="1"/>
    <n v="30195"/>
    <n v="570"/>
    <n v="26207"/>
    <x v="2"/>
    <n v="6.54E-2"/>
    <x v="5"/>
    <s v="Mortgaged"/>
    <n v="5"/>
    <n v="4"/>
    <s v="Yes"/>
    <s v="Yes"/>
    <x v="0"/>
    <n v="9839"/>
    <x v="1013"/>
    <x v="59"/>
    <x v="789"/>
    <x v="0"/>
    <x v="0"/>
    <x v="1"/>
  </r>
  <r>
    <x v="1016"/>
    <s v="Linda Hunt"/>
    <x v="33"/>
    <x v="1"/>
    <x v="2"/>
    <s v="Postgraduate"/>
    <x v="1"/>
    <n v="120377"/>
    <n v="570"/>
    <n v="17259"/>
    <x v="0"/>
    <n v="0.17069999999999999"/>
    <x v="4"/>
    <s v="Owned"/>
    <n v="28"/>
    <n v="1"/>
    <s v="Yes"/>
    <s v="Yes"/>
    <x v="3"/>
    <n v="75547"/>
    <x v="1014"/>
    <x v="17"/>
    <x v="37"/>
    <x v="0"/>
    <x v="0"/>
    <x v="1"/>
  </r>
  <r>
    <x v="1017"/>
    <s v="Kenneth Jones"/>
    <x v="11"/>
    <x v="0"/>
    <x v="0"/>
    <s v="High School"/>
    <x v="1"/>
    <n v="27610"/>
    <n v="570"/>
    <n v="29682"/>
    <x v="4"/>
    <n v="8.1900000000000001E-2"/>
    <x v="0"/>
    <s v="Rented"/>
    <n v="28"/>
    <n v="2"/>
    <s v="No"/>
    <s v="No"/>
    <x v="3"/>
    <n v="95029"/>
    <x v="1015"/>
    <x v="29"/>
    <x v="790"/>
    <x v="0"/>
    <x v="1"/>
    <x v="1"/>
  </r>
  <r>
    <x v="1018"/>
    <s v="Sarah Roach"/>
    <x v="34"/>
    <x v="0"/>
    <x v="1"/>
    <s v="Postgraduate"/>
    <x v="3"/>
    <n v="79274"/>
    <n v="570"/>
    <n v="25102"/>
    <x v="0"/>
    <n v="0.19940000000000002"/>
    <x v="0"/>
    <s v="Mortgaged"/>
    <n v="24"/>
    <n v="3"/>
    <s v="Yes"/>
    <s v="No"/>
    <x v="0"/>
    <n v="193097"/>
    <x v="1016"/>
    <x v="14"/>
    <x v="791"/>
    <x v="0"/>
    <x v="0"/>
    <x v="1"/>
  </r>
  <r>
    <x v="1019"/>
    <s v="Joshua Hansen"/>
    <x v="17"/>
    <x v="1"/>
    <x v="2"/>
    <s v="PhD"/>
    <x v="1"/>
    <n v="101426"/>
    <n v="570"/>
    <n v="34729"/>
    <x v="4"/>
    <n v="0.12300000000000001"/>
    <x v="2"/>
    <s v="Mortgaged"/>
    <n v="16"/>
    <n v="2"/>
    <s v="Yes"/>
    <s v="Yes"/>
    <x v="2"/>
    <n v="44560"/>
    <x v="1017"/>
    <x v="44"/>
    <x v="28"/>
    <x v="1"/>
    <x v="0"/>
    <x v="1"/>
  </r>
  <r>
    <x v="1020"/>
    <s v="Raymond Miller"/>
    <x v="24"/>
    <x v="0"/>
    <x v="3"/>
    <s v="Postgraduate"/>
    <x v="2"/>
    <n v="95515"/>
    <n v="569"/>
    <n v="23703"/>
    <x v="4"/>
    <n v="0.10890000000000001"/>
    <x v="2"/>
    <s v="Owned"/>
    <n v="25"/>
    <n v="2"/>
    <s v="Yes"/>
    <s v="Yes"/>
    <x v="0"/>
    <n v="46"/>
    <x v="1018"/>
    <x v="66"/>
    <x v="792"/>
    <x v="1"/>
    <x v="0"/>
    <x v="1"/>
  </r>
  <r>
    <x v="1021"/>
    <s v="Katie Harvey"/>
    <x v="31"/>
    <x v="0"/>
    <x v="2"/>
    <s v="High School"/>
    <x v="0"/>
    <n v="112282"/>
    <n v="569"/>
    <n v="41404"/>
    <x v="3"/>
    <n v="0.12809999999999999"/>
    <x v="3"/>
    <s v="Rented"/>
    <n v="19"/>
    <n v="0"/>
    <s v="Yes"/>
    <s v="Yes"/>
    <x v="0"/>
    <n v="198498"/>
    <x v="1019"/>
    <x v="59"/>
    <x v="152"/>
    <x v="0"/>
    <x v="0"/>
    <x v="1"/>
  </r>
  <r>
    <x v="1022"/>
    <s v="James Pacheco"/>
    <x v="26"/>
    <x v="1"/>
    <x v="1"/>
    <s v="PhD"/>
    <x v="2"/>
    <n v="69103"/>
    <n v="569"/>
    <n v="33274"/>
    <x v="1"/>
    <n v="6.0199999999999997E-2"/>
    <x v="4"/>
    <s v="Rented"/>
    <n v="12"/>
    <n v="1"/>
    <s v="Yes"/>
    <s v="No"/>
    <x v="4"/>
    <n v="171313"/>
    <x v="1020"/>
    <x v="55"/>
    <x v="507"/>
    <x v="1"/>
    <x v="1"/>
    <x v="1"/>
  </r>
  <r>
    <x v="1023"/>
    <s v="Dennis Olson"/>
    <x v="5"/>
    <x v="1"/>
    <x v="3"/>
    <s v="Graduate"/>
    <x v="0"/>
    <n v="56833"/>
    <n v="569"/>
    <n v="1910"/>
    <x v="1"/>
    <n v="0.1573"/>
    <x v="0"/>
    <s v="Rented"/>
    <n v="25"/>
    <n v="0"/>
    <s v="Yes"/>
    <s v="Yes"/>
    <x v="1"/>
    <n v="155673"/>
    <x v="1021"/>
    <x v="6"/>
    <x v="325"/>
    <x v="0"/>
    <x v="0"/>
    <x v="1"/>
  </r>
  <r>
    <x v="1024"/>
    <s v="Melissa Murphy MD"/>
    <x v="4"/>
    <x v="1"/>
    <x v="1"/>
    <s v="Postgraduate"/>
    <x v="3"/>
    <n v="51673"/>
    <n v="569"/>
    <n v="30685"/>
    <x v="1"/>
    <n v="0.1757"/>
    <x v="1"/>
    <s v="Mortgaged"/>
    <n v="6"/>
    <n v="0"/>
    <s v="Yes"/>
    <s v="No"/>
    <x v="3"/>
    <n v="93733"/>
    <x v="1022"/>
    <x v="10"/>
    <x v="793"/>
    <x v="1"/>
    <x v="0"/>
    <x v="1"/>
  </r>
  <r>
    <x v="1025"/>
    <s v="Daniel Kim"/>
    <x v="11"/>
    <x v="0"/>
    <x v="0"/>
    <s v="High School"/>
    <x v="3"/>
    <n v="119189"/>
    <n v="568"/>
    <n v="40673"/>
    <x v="1"/>
    <n v="0.1162"/>
    <x v="0"/>
    <s v="Owned"/>
    <n v="14"/>
    <n v="0"/>
    <s v="No"/>
    <s v="No"/>
    <x v="3"/>
    <n v="81736"/>
    <x v="1023"/>
    <x v="66"/>
    <x v="794"/>
    <x v="0"/>
    <x v="0"/>
    <x v="1"/>
  </r>
  <r>
    <x v="1026"/>
    <s v="Erika Santos"/>
    <x v="36"/>
    <x v="0"/>
    <x v="1"/>
    <s v="PhD"/>
    <x v="2"/>
    <n v="127791"/>
    <n v="568"/>
    <n v="1642"/>
    <x v="1"/>
    <n v="0.185"/>
    <x v="0"/>
    <s v="Rented"/>
    <n v="9"/>
    <n v="0"/>
    <s v="No"/>
    <s v="Yes"/>
    <x v="3"/>
    <n v="22474"/>
    <x v="1024"/>
    <x v="47"/>
    <x v="674"/>
    <x v="1"/>
    <x v="0"/>
    <x v="1"/>
  </r>
  <r>
    <x v="1027"/>
    <s v="David Lindsey"/>
    <x v="31"/>
    <x v="0"/>
    <x v="3"/>
    <s v="Graduate"/>
    <x v="1"/>
    <n v="118185"/>
    <n v="568"/>
    <n v="42911"/>
    <x v="1"/>
    <n v="0.12609999999999999"/>
    <x v="4"/>
    <s v="Rented"/>
    <n v="5"/>
    <n v="2"/>
    <s v="No"/>
    <s v="No"/>
    <x v="1"/>
    <n v="35088"/>
    <x v="1025"/>
    <x v="56"/>
    <x v="795"/>
    <x v="1"/>
    <x v="0"/>
    <x v="1"/>
  </r>
  <r>
    <x v="1028"/>
    <s v="Nicholas Morris"/>
    <x v="17"/>
    <x v="1"/>
    <x v="2"/>
    <s v="High School"/>
    <x v="3"/>
    <n v="34779"/>
    <n v="568"/>
    <n v="4574"/>
    <x v="0"/>
    <n v="7.7100000000000002E-2"/>
    <x v="5"/>
    <s v="Mortgaged"/>
    <n v="1"/>
    <n v="3"/>
    <s v="No"/>
    <s v="No"/>
    <x v="0"/>
    <n v="106017"/>
    <x v="1026"/>
    <x v="73"/>
    <x v="750"/>
    <x v="0"/>
    <x v="0"/>
    <x v="1"/>
  </r>
  <r>
    <x v="1029"/>
    <s v="Christine Russo"/>
    <x v="33"/>
    <x v="1"/>
    <x v="2"/>
    <s v="PhD"/>
    <x v="0"/>
    <n v="96325"/>
    <n v="567"/>
    <n v="21043"/>
    <x v="3"/>
    <n v="0.10050000000000001"/>
    <x v="3"/>
    <s v="Mortgaged"/>
    <n v="6"/>
    <n v="4"/>
    <s v="Yes"/>
    <s v="Yes"/>
    <x v="0"/>
    <n v="149151"/>
    <x v="1027"/>
    <x v="33"/>
    <x v="796"/>
    <x v="0"/>
    <x v="0"/>
    <x v="1"/>
  </r>
  <r>
    <x v="1030"/>
    <s v="Megan Valdez DDS"/>
    <x v="25"/>
    <x v="0"/>
    <x v="0"/>
    <s v="PhD"/>
    <x v="2"/>
    <n v="40183"/>
    <n v="567"/>
    <n v="5971"/>
    <x v="0"/>
    <n v="0.1182"/>
    <x v="5"/>
    <s v="Rented"/>
    <n v="13"/>
    <n v="3"/>
    <s v="No"/>
    <s v="Yes"/>
    <x v="2"/>
    <n v="171212"/>
    <x v="1028"/>
    <x v="9"/>
    <x v="493"/>
    <x v="1"/>
    <x v="0"/>
    <x v="1"/>
  </r>
  <r>
    <x v="1031"/>
    <s v="David Parks"/>
    <x v="22"/>
    <x v="0"/>
    <x v="2"/>
    <s v="Graduate"/>
    <x v="3"/>
    <n v="51416"/>
    <n v="567"/>
    <n v="49692"/>
    <x v="3"/>
    <n v="5.6799999999999996E-2"/>
    <x v="1"/>
    <s v="Mortgaged"/>
    <n v="4"/>
    <n v="2"/>
    <s v="No"/>
    <s v="No"/>
    <x v="4"/>
    <n v="22970"/>
    <x v="1029"/>
    <x v="38"/>
    <x v="50"/>
    <x v="0"/>
    <x v="0"/>
    <x v="1"/>
  </r>
  <r>
    <x v="1032"/>
    <s v="Abigail Allen"/>
    <x v="40"/>
    <x v="0"/>
    <x v="1"/>
    <s v="PhD"/>
    <x v="2"/>
    <n v="42760"/>
    <n v="567"/>
    <n v="23870"/>
    <x v="4"/>
    <n v="7.6399999999999996E-2"/>
    <x v="2"/>
    <s v="Owned"/>
    <n v="23"/>
    <n v="4"/>
    <s v="No"/>
    <s v="Yes"/>
    <x v="3"/>
    <n v="54058"/>
    <x v="1030"/>
    <x v="73"/>
    <x v="797"/>
    <x v="1"/>
    <x v="1"/>
    <x v="1"/>
  </r>
  <r>
    <x v="1033"/>
    <s v="John Brown"/>
    <x v="28"/>
    <x v="1"/>
    <x v="3"/>
    <s v="Postgraduate"/>
    <x v="1"/>
    <n v="68928"/>
    <n v="567"/>
    <n v="25016"/>
    <x v="3"/>
    <n v="6.2E-2"/>
    <x v="4"/>
    <s v="Mortgaged"/>
    <n v="2"/>
    <n v="4"/>
    <s v="No"/>
    <s v="Yes"/>
    <x v="3"/>
    <n v="74170"/>
    <x v="1031"/>
    <x v="12"/>
    <x v="798"/>
    <x v="0"/>
    <x v="0"/>
    <x v="1"/>
  </r>
  <r>
    <x v="1034"/>
    <s v="Christopher Taylor"/>
    <x v="4"/>
    <x v="0"/>
    <x v="0"/>
    <s v="Postgraduate"/>
    <x v="3"/>
    <n v="109826"/>
    <n v="567"/>
    <n v="29016"/>
    <x v="1"/>
    <n v="9.2799999999999994E-2"/>
    <x v="1"/>
    <s v="Mortgaged"/>
    <n v="28"/>
    <n v="4"/>
    <s v="Yes"/>
    <s v="No"/>
    <x v="1"/>
    <n v="8154"/>
    <x v="1032"/>
    <x v="81"/>
    <x v="799"/>
    <x v="1"/>
    <x v="0"/>
    <x v="1"/>
  </r>
  <r>
    <x v="1035"/>
    <s v="Joe Ellis"/>
    <x v="12"/>
    <x v="0"/>
    <x v="2"/>
    <s v="Postgraduate"/>
    <x v="3"/>
    <n v="77442"/>
    <n v="567"/>
    <n v="6738"/>
    <x v="4"/>
    <n v="0.17499999999999999"/>
    <x v="1"/>
    <s v="Owned"/>
    <n v="29"/>
    <n v="3"/>
    <s v="Yes"/>
    <s v="Yes"/>
    <x v="1"/>
    <n v="148035"/>
    <x v="1033"/>
    <x v="13"/>
    <x v="800"/>
    <x v="1"/>
    <x v="0"/>
    <x v="1"/>
  </r>
  <r>
    <x v="1036"/>
    <s v="Timothy May"/>
    <x v="37"/>
    <x v="0"/>
    <x v="0"/>
    <s v="PhD"/>
    <x v="2"/>
    <n v="110365"/>
    <n v="567"/>
    <n v="12218"/>
    <x v="2"/>
    <n v="0.14749999999999999"/>
    <x v="3"/>
    <s v="Rented"/>
    <n v="1"/>
    <n v="4"/>
    <s v="Yes"/>
    <s v="No"/>
    <x v="4"/>
    <n v="99751"/>
    <x v="1034"/>
    <x v="77"/>
    <x v="784"/>
    <x v="0"/>
    <x v="0"/>
    <x v="1"/>
  </r>
  <r>
    <x v="1037"/>
    <s v="Carolyn Dixon"/>
    <x v="23"/>
    <x v="0"/>
    <x v="1"/>
    <s v="High School"/>
    <x v="0"/>
    <n v="130100"/>
    <n v="566"/>
    <n v="24903"/>
    <x v="1"/>
    <n v="0.13780000000000001"/>
    <x v="5"/>
    <s v="Rented"/>
    <n v="22"/>
    <n v="2"/>
    <s v="No"/>
    <s v="No"/>
    <x v="4"/>
    <n v="31586"/>
    <x v="1035"/>
    <x v="9"/>
    <x v="225"/>
    <x v="1"/>
    <x v="0"/>
    <x v="1"/>
  </r>
  <r>
    <x v="1038"/>
    <s v="Robert Gonzales"/>
    <x v="24"/>
    <x v="1"/>
    <x v="0"/>
    <s v="Graduate"/>
    <x v="2"/>
    <n v="77572"/>
    <n v="566"/>
    <n v="28579"/>
    <x v="1"/>
    <n v="0.12820000000000001"/>
    <x v="3"/>
    <s v="Owned"/>
    <n v="3"/>
    <n v="3"/>
    <s v="No"/>
    <s v="No"/>
    <x v="1"/>
    <n v="115837"/>
    <x v="1036"/>
    <x v="51"/>
    <x v="416"/>
    <x v="1"/>
    <x v="0"/>
    <x v="1"/>
  </r>
  <r>
    <x v="1039"/>
    <s v="Ashlee Torres"/>
    <x v="5"/>
    <x v="0"/>
    <x v="1"/>
    <s v="Graduate"/>
    <x v="2"/>
    <n v="117372"/>
    <n v="565"/>
    <n v="5791"/>
    <x v="2"/>
    <n v="7.6999999999999999E-2"/>
    <x v="5"/>
    <s v="Mortgaged"/>
    <n v="13"/>
    <n v="1"/>
    <s v="No"/>
    <s v="Yes"/>
    <x v="2"/>
    <n v="30029"/>
    <x v="1037"/>
    <x v="9"/>
    <x v="76"/>
    <x v="0"/>
    <x v="0"/>
    <x v="1"/>
  </r>
  <r>
    <x v="1040"/>
    <s v="Travis Cline"/>
    <x v="2"/>
    <x v="1"/>
    <x v="0"/>
    <s v="PhD"/>
    <x v="2"/>
    <n v="55490"/>
    <n v="565"/>
    <n v="33161"/>
    <x v="1"/>
    <n v="5.3600000000000002E-2"/>
    <x v="4"/>
    <s v="Rented"/>
    <n v="13"/>
    <n v="0"/>
    <s v="No"/>
    <s v="Yes"/>
    <x v="0"/>
    <n v="62052"/>
    <x v="1038"/>
    <x v="59"/>
    <x v="801"/>
    <x v="1"/>
    <x v="1"/>
    <x v="1"/>
  </r>
  <r>
    <x v="1041"/>
    <s v="Derrick Parker"/>
    <x v="2"/>
    <x v="0"/>
    <x v="0"/>
    <s v="High School"/>
    <x v="3"/>
    <n v="135454"/>
    <n v="565"/>
    <n v="1666"/>
    <x v="4"/>
    <n v="0.19800000000000001"/>
    <x v="3"/>
    <s v="Owned"/>
    <n v="15"/>
    <n v="3"/>
    <s v="Yes"/>
    <s v="No"/>
    <x v="0"/>
    <n v="82635"/>
    <x v="1039"/>
    <x v="84"/>
    <x v="802"/>
    <x v="1"/>
    <x v="0"/>
    <x v="1"/>
  </r>
  <r>
    <x v="1042"/>
    <s v="Justin Goodwin"/>
    <x v="7"/>
    <x v="0"/>
    <x v="2"/>
    <s v="Postgraduate"/>
    <x v="0"/>
    <n v="101434"/>
    <n v="565"/>
    <n v="24925"/>
    <x v="2"/>
    <n v="0.16469999999999999"/>
    <x v="2"/>
    <s v="Rented"/>
    <n v="3"/>
    <n v="2"/>
    <s v="No"/>
    <s v="Yes"/>
    <x v="3"/>
    <n v="131177"/>
    <x v="1040"/>
    <x v="68"/>
    <x v="803"/>
    <x v="1"/>
    <x v="1"/>
    <x v="1"/>
  </r>
  <r>
    <x v="1043"/>
    <s v="Alex Jones"/>
    <x v="43"/>
    <x v="1"/>
    <x v="3"/>
    <s v="High School"/>
    <x v="1"/>
    <n v="76747"/>
    <n v="565"/>
    <n v="10745"/>
    <x v="1"/>
    <n v="0.18870000000000001"/>
    <x v="1"/>
    <s v="Owned"/>
    <n v="22"/>
    <n v="0"/>
    <s v="No"/>
    <s v="Yes"/>
    <x v="2"/>
    <n v="183575"/>
    <x v="1041"/>
    <x v="13"/>
    <x v="804"/>
    <x v="0"/>
    <x v="1"/>
    <x v="1"/>
  </r>
  <r>
    <x v="1044"/>
    <s v="Adrian Foster"/>
    <x v="25"/>
    <x v="1"/>
    <x v="2"/>
    <s v="High School"/>
    <x v="0"/>
    <n v="26895"/>
    <n v="565"/>
    <n v="17447"/>
    <x v="4"/>
    <n v="0.16140000000000002"/>
    <x v="4"/>
    <s v="Rented"/>
    <n v="20"/>
    <n v="3"/>
    <s v="No"/>
    <s v="Yes"/>
    <x v="2"/>
    <n v="46084"/>
    <x v="1042"/>
    <x v="39"/>
    <x v="565"/>
    <x v="0"/>
    <x v="0"/>
    <x v="1"/>
  </r>
  <r>
    <x v="1045"/>
    <s v="Alexis Daniels"/>
    <x v="10"/>
    <x v="1"/>
    <x v="0"/>
    <s v="High School"/>
    <x v="2"/>
    <n v="146340"/>
    <n v="564"/>
    <n v="13521"/>
    <x v="3"/>
    <n v="0.1961"/>
    <x v="2"/>
    <s v="Rented"/>
    <n v="7"/>
    <n v="2"/>
    <s v="Yes"/>
    <s v="Yes"/>
    <x v="3"/>
    <n v="156991"/>
    <x v="1043"/>
    <x v="37"/>
    <x v="805"/>
    <x v="1"/>
    <x v="1"/>
    <x v="1"/>
  </r>
  <r>
    <x v="1046"/>
    <s v="Andrea Taylor"/>
    <x v="42"/>
    <x v="1"/>
    <x v="2"/>
    <s v="Graduate"/>
    <x v="3"/>
    <n v="64247"/>
    <n v="564"/>
    <n v="48609"/>
    <x v="0"/>
    <n v="0.19539999999999999"/>
    <x v="4"/>
    <s v="Mortgaged"/>
    <n v="27"/>
    <n v="3"/>
    <s v="No"/>
    <s v="No"/>
    <x v="2"/>
    <n v="30920"/>
    <x v="1044"/>
    <x v="74"/>
    <x v="806"/>
    <x v="1"/>
    <x v="0"/>
    <x v="1"/>
  </r>
  <r>
    <x v="1047"/>
    <s v="Andrea Smith"/>
    <x v="33"/>
    <x v="0"/>
    <x v="2"/>
    <s v="PhD"/>
    <x v="0"/>
    <n v="100317"/>
    <n v="564"/>
    <n v="47664"/>
    <x v="1"/>
    <n v="8.539999999999999E-2"/>
    <x v="0"/>
    <s v="Owned"/>
    <n v="16"/>
    <n v="4"/>
    <s v="Yes"/>
    <s v="Yes"/>
    <x v="0"/>
    <n v="36469"/>
    <x v="1045"/>
    <x v="11"/>
    <x v="364"/>
    <x v="1"/>
    <x v="0"/>
    <x v="1"/>
  </r>
  <r>
    <x v="1048"/>
    <s v="Amy White"/>
    <x v="23"/>
    <x v="1"/>
    <x v="3"/>
    <s v="Postgraduate"/>
    <x v="2"/>
    <n v="55851"/>
    <n v="564"/>
    <n v="5674"/>
    <x v="0"/>
    <n v="0.15609999999999999"/>
    <x v="0"/>
    <s v="Rented"/>
    <n v="15"/>
    <n v="2"/>
    <s v="Yes"/>
    <s v="Yes"/>
    <x v="2"/>
    <n v="169198"/>
    <x v="1046"/>
    <x v="50"/>
    <x v="807"/>
    <x v="0"/>
    <x v="0"/>
    <x v="1"/>
  </r>
  <r>
    <x v="1049"/>
    <s v="Kirk Hughes"/>
    <x v="14"/>
    <x v="1"/>
    <x v="1"/>
    <s v="Postgraduate"/>
    <x v="1"/>
    <n v="50028"/>
    <n v="564"/>
    <n v="36001"/>
    <x v="0"/>
    <n v="0.1867"/>
    <x v="4"/>
    <s v="Owned"/>
    <n v="28"/>
    <n v="1"/>
    <s v="No"/>
    <s v="Yes"/>
    <x v="3"/>
    <n v="58820"/>
    <x v="1047"/>
    <x v="88"/>
    <x v="808"/>
    <x v="0"/>
    <x v="0"/>
    <x v="1"/>
  </r>
  <r>
    <x v="1050"/>
    <s v="James Campbell"/>
    <x v="0"/>
    <x v="1"/>
    <x v="0"/>
    <s v="PhD"/>
    <x v="0"/>
    <n v="127339"/>
    <n v="564"/>
    <n v="47870"/>
    <x v="3"/>
    <n v="0.1149"/>
    <x v="3"/>
    <s v="Mortgaged"/>
    <n v="11"/>
    <n v="1"/>
    <s v="Yes"/>
    <s v="Yes"/>
    <x v="1"/>
    <n v="155337"/>
    <x v="1048"/>
    <x v="66"/>
    <x v="809"/>
    <x v="1"/>
    <x v="0"/>
    <x v="1"/>
  </r>
  <r>
    <x v="1051"/>
    <s v="Joel Smith"/>
    <x v="12"/>
    <x v="0"/>
    <x v="2"/>
    <s v="High School"/>
    <x v="2"/>
    <n v="106322"/>
    <n v="563"/>
    <n v="18300"/>
    <x v="4"/>
    <n v="0.1552"/>
    <x v="5"/>
    <s v="Rented"/>
    <n v="7"/>
    <n v="2"/>
    <s v="Yes"/>
    <s v="No"/>
    <x v="0"/>
    <n v="9990"/>
    <x v="1049"/>
    <x v="18"/>
    <x v="810"/>
    <x v="0"/>
    <x v="0"/>
    <x v="1"/>
  </r>
  <r>
    <x v="1052"/>
    <s v="Joanne Miller"/>
    <x v="31"/>
    <x v="1"/>
    <x v="3"/>
    <s v="Postgraduate"/>
    <x v="1"/>
    <n v="76630"/>
    <n v="563"/>
    <n v="14435"/>
    <x v="3"/>
    <n v="0.17319999999999999"/>
    <x v="2"/>
    <s v="Owned"/>
    <n v="12"/>
    <n v="0"/>
    <s v="No"/>
    <s v="No"/>
    <x v="1"/>
    <n v="117257"/>
    <x v="1050"/>
    <x v="47"/>
    <x v="811"/>
    <x v="1"/>
    <x v="0"/>
    <x v="1"/>
  </r>
  <r>
    <x v="1053"/>
    <s v="Amy Kerr"/>
    <x v="9"/>
    <x v="1"/>
    <x v="3"/>
    <s v="Graduate"/>
    <x v="0"/>
    <n v="137996"/>
    <n v="563"/>
    <n v="37978"/>
    <x v="2"/>
    <n v="6.1699999999999998E-2"/>
    <x v="4"/>
    <s v="Mortgaged"/>
    <n v="11"/>
    <n v="3"/>
    <s v="No"/>
    <s v="No"/>
    <x v="1"/>
    <n v="187244"/>
    <x v="1051"/>
    <x v="25"/>
    <x v="783"/>
    <x v="1"/>
    <x v="1"/>
    <x v="1"/>
  </r>
  <r>
    <x v="1054"/>
    <s v="Todd Mcdonald"/>
    <x v="38"/>
    <x v="0"/>
    <x v="0"/>
    <s v="High School"/>
    <x v="1"/>
    <n v="135947"/>
    <n v="563"/>
    <n v="16748"/>
    <x v="1"/>
    <n v="0.13519999999999999"/>
    <x v="5"/>
    <s v="Owned"/>
    <n v="15"/>
    <n v="4"/>
    <s v="Yes"/>
    <s v="No"/>
    <x v="4"/>
    <n v="89463"/>
    <x v="1052"/>
    <x v="90"/>
    <x v="132"/>
    <x v="0"/>
    <x v="1"/>
    <x v="1"/>
  </r>
  <r>
    <x v="1055"/>
    <s v="Michael Jones"/>
    <x v="15"/>
    <x v="1"/>
    <x v="1"/>
    <s v="Postgraduate"/>
    <x v="2"/>
    <n v="21242"/>
    <n v="562"/>
    <n v="49175"/>
    <x v="0"/>
    <n v="0.13449999999999998"/>
    <x v="1"/>
    <s v="Mortgaged"/>
    <n v="23"/>
    <n v="0"/>
    <s v="No"/>
    <s v="No"/>
    <x v="1"/>
    <n v="12839"/>
    <x v="1053"/>
    <x v="60"/>
    <x v="805"/>
    <x v="1"/>
    <x v="1"/>
    <x v="1"/>
  </r>
  <r>
    <x v="1056"/>
    <s v="Peter Lawson"/>
    <x v="13"/>
    <x v="0"/>
    <x v="1"/>
    <s v="High School"/>
    <x v="3"/>
    <n v="51225"/>
    <n v="561"/>
    <n v="38651"/>
    <x v="4"/>
    <n v="7.6100000000000001E-2"/>
    <x v="4"/>
    <s v="Rented"/>
    <n v="27"/>
    <n v="4"/>
    <s v="Yes"/>
    <s v="No"/>
    <x v="2"/>
    <n v="92214"/>
    <x v="1054"/>
    <x v="17"/>
    <x v="812"/>
    <x v="1"/>
    <x v="0"/>
    <x v="1"/>
  </r>
  <r>
    <x v="1057"/>
    <s v="Jessica Lambert"/>
    <x v="19"/>
    <x v="0"/>
    <x v="0"/>
    <s v="PhD"/>
    <x v="1"/>
    <n v="112377"/>
    <n v="561"/>
    <n v="44481"/>
    <x v="4"/>
    <n v="9.0800000000000006E-2"/>
    <x v="1"/>
    <s v="Rented"/>
    <n v="21"/>
    <n v="3"/>
    <s v="No"/>
    <s v="No"/>
    <x v="0"/>
    <n v="103820"/>
    <x v="1055"/>
    <x v="53"/>
    <x v="813"/>
    <x v="0"/>
    <x v="0"/>
    <x v="1"/>
  </r>
  <r>
    <x v="1058"/>
    <s v="Victoria Ponce"/>
    <x v="2"/>
    <x v="1"/>
    <x v="0"/>
    <s v="PhD"/>
    <x v="3"/>
    <n v="109787"/>
    <n v="560"/>
    <n v="42241"/>
    <x v="2"/>
    <n v="0.19359999999999999"/>
    <x v="0"/>
    <s v="Mortgaged"/>
    <n v="18"/>
    <n v="0"/>
    <s v="No"/>
    <s v="Yes"/>
    <x v="1"/>
    <n v="106229"/>
    <x v="1056"/>
    <x v="38"/>
    <x v="814"/>
    <x v="1"/>
    <x v="0"/>
    <x v="1"/>
  </r>
  <r>
    <x v="1059"/>
    <s v="Nancy Sanford"/>
    <x v="9"/>
    <x v="0"/>
    <x v="1"/>
    <s v="PhD"/>
    <x v="1"/>
    <n v="33335"/>
    <n v="560"/>
    <n v="29391"/>
    <x v="3"/>
    <n v="9.8299999999999998E-2"/>
    <x v="0"/>
    <s v="Owned"/>
    <n v="17"/>
    <n v="2"/>
    <s v="Yes"/>
    <s v="Yes"/>
    <x v="4"/>
    <n v="37697"/>
    <x v="1057"/>
    <x v="61"/>
    <x v="330"/>
    <x v="0"/>
    <x v="0"/>
    <x v="1"/>
  </r>
  <r>
    <x v="1060"/>
    <s v="Kevin Goodman"/>
    <x v="22"/>
    <x v="1"/>
    <x v="0"/>
    <s v="PhD"/>
    <x v="1"/>
    <n v="39157"/>
    <n v="559"/>
    <n v="30158"/>
    <x v="0"/>
    <n v="9.9000000000000005E-2"/>
    <x v="4"/>
    <s v="Mortgaged"/>
    <n v="9"/>
    <n v="4"/>
    <s v="Yes"/>
    <s v="Yes"/>
    <x v="4"/>
    <n v="130311"/>
    <x v="1058"/>
    <x v="21"/>
    <x v="815"/>
    <x v="1"/>
    <x v="0"/>
    <x v="1"/>
  </r>
  <r>
    <x v="1061"/>
    <s v="Eric York"/>
    <x v="32"/>
    <x v="1"/>
    <x v="1"/>
    <s v="High School"/>
    <x v="1"/>
    <n v="109654"/>
    <n v="559"/>
    <n v="49386"/>
    <x v="0"/>
    <n v="0.17019999999999999"/>
    <x v="3"/>
    <s v="Owned"/>
    <n v="16"/>
    <n v="2"/>
    <s v="Yes"/>
    <s v="No"/>
    <x v="4"/>
    <n v="23149"/>
    <x v="1059"/>
    <x v="75"/>
    <x v="129"/>
    <x v="0"/>
    <x v="0"/>
    <x v="1"/>
  </r>
  <r>
    <x v="1062"/>
    <s v="Sara Fitzgerald"/>
    <x v="26"/>
    <x v="1"/>
    <x v="0"/>
    <s v="Postgraduate"/>
    <x v="3"/>
    <n v="125566"/>
    <n v="559"/>
    <n v="22947"/>
    <x v="1"/>
    <n v="0.15049999999999999"/>
    <x v="0"/>
    <s v="Mortgaged"/>
    <n v="15"/>
    <n v="4"/>
    <s v="No"/>
    <s v="No"/>
    <x v="4"/>
    <n v="8324"/>
    <x v="1060"/>
    <x v="63"/>
    <x v="411"/>
    <x v="0"/>
    <x v="0"/>
    <x v="1"/>
  </r>
  <r>
    <x v="1063"/>
    <s v="David Wu"/>
    <x v="35"/>
    <x v="1"/>
    <x v="0"/>
    <s v="Graduate"/>
    <x v="3"/>
    <n v="109299"/>
    <n v="559"/>
    <n v="6004"/>
    <x v="1"/>
    <n v="0.1525"/>
    <x v="3"/>
    <s v="Rented"/>
    <n v="28"/>
    <n v="0"/>
    <s v="Yes"/>
    <s v="No"/>
    <x v="4"/>
    <n v="48091"/>
    <x v="1061"/>
    <x v="82"/>
    <x v="694"/>
    <x v="0"/>
    <x v="0"/>
    <x v="1"/>
  </r>
  <r>
    <x v="1064"/>
    <s v="Timothy Calhoun"/>
    <x v="0"/>
    <x v="0"/>
    <x v="0"/>
    <s v="Graduate"/>
    <x v="3"/>
    <n v="148181"/>
    <n v="558"/>
    <n v="26551"/>
    <x v="3"/>
    <n v="0.13739999999999999"/>
    <x v="0"/>
    <s v="Owned"/>
    <n v="9"/>
    <n v="2"/>
    <s v="Yes"/>
    <s v="No"/>
    <x v="0"/>
    <n v="131356"/>
    <x v="1062"/>
    <x v="53"/>
    <x v="570"/>
    <x v="0"/>
    <x v="0"/>
    <x v="1"/>
  </r>
  <r>
    <x v="1065"/>
    <s v="Jamie Kline"/>
    <x v="33"/>
    <x v="0"/>
    <x v="1"/>
    <s v="High School"/>
    <x v="3"/>
    <n v="43290"/>
    <n v="558"/>
    <n v="6056"/>
    <x v="4"/>
    <n v="8.1000000000000003E-2"/>
    <x v="0"/>
    <s v="Mortgaged"/>
    <n v="28"/>
    <n v="2"/>
    <s v="Yes"/>
    <s v="No"/>
    <x v="3"/>
    <n v="139258"/>
    <x v="1063"/>
    <x v="0"/>
    <x v="793"/>
    <x v="0"/>
    <x v="0"/>
    <x v="1"/>
  </r>
  <r>
    <x v="1066"/>
    <s v="Sherry Fernandez"/>
    <x v="27"/>
    <x v="0"/>
    <x v="3"/>
    <s v="Graduate"/>
    <x v="1"/>
    <n v="114192"/>
    <n v="557"/>
    <n v="2469"/>
    <x v="1"/>
    <n v="0.1075"/>
    <x v="5"/>
    <s v="Rented"/>
    <n v="7"/>
    <n v="4"/>
    <s v="No"/>
    <s v="No"/>
    <x v="2"/>
    <n v="84568"/>
    <x v="1064"/>
    <x v="23"/>
    <x v="816"/>
    <x v="0"/>
    <x v="0"/>
    <x v="1"/>
  </r>
  <r>
    <x v="1067"/>
    <s v="Sarah Chandler"/>
    <x v="8"/>
    <x v="1"/>
    <x v="0"/>
    <s v="PhD"/>
    <x v="0"/>
    <n v="24532"/>
    <n v="557"/>
    <n v="36595"/>
    <x v="4"/>
    <n v="0.1234"/>
    <x v="4"/>
    <s v="Rented"/>
    <n v="11"/>
    <n v="4"/>
    <s v="Yes"/>
    <s v="Yes"/>
    <x v="2"/>
    <n v="6037"/>
    <x v="1065"/>
    <x v="55"/>
    <x v="613"/>
    <x v="0"/>
    <x v="1"/>
    <x v="1"/>
  </r>
  <r>
    <x v="1068"/>
    <s v="Edward Welch"/>
    <x v="21"/>
    <x v="1"/>
    <x v="3"/>
    <s v="Graduate"/>
    <x v="1"/>
    <n v="127369"/>
    <n v="557"/>
    <n v="35063"/>
    <x v="2"/>
    <n v="0.12189999999999999"/>
    <x v="5"/>
    <s v="Mortgaged"/>
    <n v="5"/>
    <n v="0"/>
    <s v="Yes"/>
    <s v="No"/>
    <x v="2"/>
    <n v="23161"/>
    <x v="1066"/>
    <x v="23"/>
    <x v="817"/>
    <x v="1"/>
    <x v="0"/>
    <x v="1"/>
  </r>
  <r>
    <x v="1069"/>
    <s v="Nathan Cruz"/>
    <x v="43"/>
    <x v="1"/>
    <x v="3"/>
    <s v="PhD"/>
    <x v="0"/>
    <n v="89468"/>
    <n v="556"/>
    <n v="35319"/>
    <x v="2"/>
    <n v="0.15190000000000001"/>
    <x v="1"/>
    <s v="Owned"/>
    <n v="11"/>
    <n v="2"/>
    <s v="Yes"/>
    <s v="No"/>
    <x v="2"/>
    <n v="140469"/>
    <x v="1067"/>
    <x v="29"/>
    <x v="818"/>
    <x v="1"/>
    <x v="0"/>
    <x v="1"/>
  </r>
  <r>
    <x v="1070"/>
    <s v="Megan Barnett"/>
    <x v="38"/>
    <x v="0"/>
    <x v="1"/>
    <s v="PhD"/>
    <x v="0"/>
    <n v="40541"/>
    <n v="556"/>
    <n v="41167"/>
    <x v="0"/>
    <n v="0.1144"/>
    <x v="1"/>
    <s v="Rented"/>
    <n v="26"/>
    <n v="0"/>
    <s v="Yes"/>
    <s v="No"/>
    <x v="1"/>
    <n v="89418"/>
    <x v="1068"/>
    <x v="42"/>
    <x v="638"/>
    <x v="1"/>
    <x v="1"/>
    <x v="1"/>
  </r>
  <r>
    <x v="1071"/>
    <s v="Jeremy Hunter"/>
    <x v="35"/>
    <x v="1"/>
    <x v="0"/>
    <s v="PhD"/>
    <x v="3"/>
    <n v="76022"/>
    <n v="556"/>
    <n v="9120"/>
    <x v="3"/>
    <n v="0.18179999999999999"/>
    <x v="4"/>
    <s v="Mortgaged"/>
    <n v="25"/>
    <n v="0"/>
    <s v="Yes"/>
    <s v="No"/>
    <x v="1"/>
    <n v="166375"/>
    <x v="1069"/>
    <x v="58"/>
    <x v="819"/>
    <x v="1"/>
    <x v="0"/>
    <x v="1"/>
  </r>
  <r>
    <x v="1072"/>
    <s v="Melanie Brown"/>
    <x v="20"/>
    <x v="0"/>
    <x v="1"/>
    <s v="Postgraduate"/>
    <x v="2"/>
    <n v="123173"/>
    <n v="556"/>
    <n v="36670"/>
    <x v="2"/>
    <n v="6.9199999999999998E-2"/>
    <x v="1"/>
    <s v="Mortgaged"/>
    <n v="19"/>
    <n v="3"/>
    <s v="Yes"/>
    <s v="No"/>
    <x v="2"/>
    <n v="195578"/>
    <x v="1070"/>
    <x v="26"/>
    <x v="820"/>
    <x v="1"/>
    <x v="0"/>
    <x v="1"/>
  </r>
  <r>
    <x v="1073"/>
    <s v="Amber Bowen"/>
    <x v="21"/>
    <x v="0"/>
    <x v="3"/>
    <s v="Postgraduate"/>
    <x v="2"/>
    <n v="138454"/>
    <n v="556"/>
    <n v="3368"/>
    <x v="1"/>
    <n v="5.4900000000000004E-2"/>
    <x v="1"/>
    <s v="Rented"/>
    <n v="9"/>
    <n v="2"/>
    <s v="No"/>
    <s v="Yes"/>
    <x v="0"/>
    <n v="157788"/>
    <x v="1071"/>
    <x v="5"/>
    <x v="821"/>
    <x v="1"/>
    <x v="0"/>
    <x v="1"/>
  </r>
  <r>
    <x v="1074"/>
    <s v="Trevor Thompson"/>
    <x v="14"/>
    <x v="0"/>
    <x v="3"/>
    <s v="High School"/>
    <x v="3"/>
    <n v="86576"/>
    <n v="556"/>
    <n v="14942"/>
    <x v="0"/>
    <n v="0.18739999999999998"/>
    <x v="0"/>
    <s v="Mortgaged"/>
    <n v="24"/>
    <n v="1"/>
    <s v="No"/>
    <s v="No"/>
    <x v="3"/>
    <n v="159849"/>
    <x v="1072"/>
    <x v="31"/>
    <x v="620"/>
    <x v="1"/>
    <x v="0"/>
    <x v="1"/>
  </r>
  <r>
    <x v="1075"/>
    <s v="Marc Rowe"/>
    <x v="13"/>
    <x v="0"/>
    <x v="3"/>
    <s v="Graduate"/>
    <x v="3"/>
    <n v="121505"/>
    <n v="556"/>
    <n v="22507"/>
    <x v="1"/>
    <n v="6.9199999999999998E-2"/>
    <x v="0"/>
    <s v="Owned"/>
    <n v="28"/>
    <n v="1"/>
    <s v="No"/>
    <s v="No"/>
    <x v="1"/>
    <n v="78702"/>
    <x v="1073"/>
    <x v="21"/>
    <x v="78"/>
    <x v="1"/>
    <x v="0"/>
    <x v="1"/>
  </r>
  <r>
    <x v="1076"/>
    <s v="Veronica James"/>
    <x v="36"/>
    <x v="0"/>
    <x v="1"/>
    <s v="Postgraduate"/>
    <x v="3"/>
    <n v="88371"/>
    <n v="556"/>
    <n v="44732"/>
    <x v="1"/>
    <n v="0.13470000000000001"/>
    <x v="4"/>
    <s v="Rented"/>
    <n v="6"/>
    <n v="4"/>
    <s v="No"/>
    <s v="No"/>
    <x v="2"/>
    <n v="38009"/>
    <x v="1074"/>
    <x v="24"/>
    <x v="822"/>
    <x v="1"/>
    <x v="0"/>
    <x v="1"/>
  </r>
  <r>
    <x v="1077"/>
    <s v="Jorge Sanders"/>
    <x v="8"/>
    <x v="1"/>
    <x v="0"/>
    <s v="PhD"/>
    <x v="0"/>
    <n v="73915"/>
    <n v="555"/>
    <n v="36725"/>
    <x v="2"/>
    <n v="6.6299999999999998E-2"/>
    <x v="1"/>
    <s v="Rented"/>
    <n v="6"/>
    <n v="1"/>
    <s v="Yes"/>
    <s v="Yes"/>
    <x v="2"/>
    <n v="21433"/>
    <x v="1075"/>
    <x v="69"/>
    <x v="213"/>
    <x v="0"/>
    <x v="1"/>
    <x v="1"/>
  </r>
  <r>
    <x v="1078"/>
    <s v="Kayla Perez"/>
    <x v="6"/>
    <x v="1"/>
    <x v="0"/>
    <s v="Graduate"/>
    <x v="1"/>
    <n v="130494"/>
    <n v="555"/>
    <n v="17292"/>
    <x v="4"/>
    <n v="9.1600000000000001E-2"/>
    <x v="2"/>
    <s v="Rented"/>
    <n v="3"/>
    <n v="2"/>
    <s v="Yes"/>
    <s v="Yes"/>
    <x v="1"/>
    <n v="158159"/>
    <x v="1076"/>
    <x v="87"/>
    <x v="823"/>
    <x v="1"/>
    <x v="0"/>
    <x v="1"/>
  </r>
  <r>
    <x v="1079"/>
    <s v="Matthew Murphy"/>
    <x v="39"/>
    <x v="1"/>
    <x v="0"/>
    <s v="High School"/>
    <x v="2"/>
    <n v="122842"/>
    <n v="555"/>
    <n v="10815"/>
    <x v="3"/>
    <n v="0.1671"/>
    <x v="0"/>
    <s v="Owned"/>
    <n v="2"/>
    <n v="2"/>
    <s v="No"/>
    <s v="No"/>
    <x v="4"/>
    <n v="56898"/>
    <x v="1077"/>
    <x v="29"/>
    <x v="824"/>
    <x v="1"/>
    <x v="0"/>
    <x v="1"/>
  </r>
  <r>
    <x v="1080"/>
    <s v="Joel Malone"/>
    <x v="14"/>
    <x v="1"/>
    <x v="3"/>
    <s v="PhD"/>
    <x v="1"/>
    <n v="93169"/>
    <n v="554"/>
    <n v="4259"/>
    <x v="2"/>
    <n v="0.1207"/>
    <x v="3"/>
    <s v="Rented"/>
    <n v="12"/>
    <n v="4"/>
    <s v="Yes"/>
    <s v="Yes"/>
    <x v="2"/>
    <n v="67145"/>
    <x v="1078"/>
    <x v="32"/>
    <x v="825"/>
    <x v="0"/>
    <x v="0"/>
    <x v="1"/>
  </r>
  <r>
    <x v="1081"/>
    <s v="Leonard Garcia"/>
    <x v="29"/>
    <x v="0"/>
    <x v="2"/>
    <s v="High School"/>
    <x v="1"/>
    <n v="98218"/>
    <n v="554"/>
    <n v="44270"/>
    <x v="4"/>
    <n v="9.7500000000000003E-2"/>
    <x v="1"/>
    <s v="Mortgaged"/>
    <n v="28"/>
    <n v="3"/>
    <s v="Yes"/>
    <s v="No"/>
    <x v="1"/>
    <n v="99199"/>
    <x v="1079"/>
    <x v="0"/>
    <x v="826"/>
    <x v="0"/>
    <x v="0"/>
    <x v="1"/>
  </r>
  <r>
    <x v="1082"/>
    <s v="Austin Elliott"/>
    <x v="14"/>
    <x v="1"/>
    <x v="2"/>
    <s v="High School"/>
    <x v="1"/>
    <n v="57792"/>
    <n v="554"/>
    <n v="45835"/>
    <x v="3"/>
    <n v="5.1799999999999999E-2"/>
    <x v="2"/>
    <s v="Owned"/>
    <n v="27"/>
    <n v="1"/>
    <s v="Yes"/>
    <s v="No"/>
    <x v="1"/>
    <n v="172992"/>
    <x v="1080"/>
    <x v="90"/>
    <x v="827"/>
    <x v="0"/>
    <x v="1"/>
    <x v="1"/>
  </r>
  <r>
    <x v="1083"/>
    <s v="Mary White"/>
    <x v="21"/>
    <x v="0"/>
    <x v="0"/>
    <s v="Postgraduate"/>
    <x v="3"/>
    <n v="128435"/>
    <n v="554"/>
    <n v="38890"/>
    <x v="1"/>
    <n v="0.17749999999999999"/>
    <x v="0"/>
    <s v="Owned"/>
    <n v="10"/>
    <n v="3"/>
    <s v="No"/>
    <s v="No"/>
    <x v="2"/>
    <n v="193514"/>
    <x v="1081"/>
    <x v="67"/>
    <x v="744"/>
    <x v="0"/>
    <x v="0"/>
    <x v="1"/>
  </r>
  <r>
    <x v="1084"/>
    <s v="Paige Grant"/>
    <x v="5"/>
    <x v="0"/>
    <x v="1"/>
    <s v="Postgraduate"/>
    <x v="3"/>
    <n v="112385"/>
    <n v="553"/>
    <n v="45207"/>
    <x v="1"/>
    <n v="6.9000000000000006E-2"/>
    <x v="5"/>
    <s v="Owned"/>
    <n v="27"/>
    <n v="0"/>
    <s v="Yes"/>
    <s v="No"/>
    <x v="2"/>
    <n v="35287"/>
    <x v="1082"/>
    <x v="8"/>
    <x v="828"/>
    <x v="1"/>
    <x v="0"/>
    <x v="1"/>
  </r>
  <r>
    <x v="1085"/>
    <s v="Philip Orr"/>
    <x v="26"/>
    <x v="0"/>
    <x v="3"/>
    <s v="High School"/>
    <x v="3"/>
    <n v="122455"/>
    <n v="553"/>
    <n v="40386"/>
    <x v="2"/>
    <n v="0.10349999999999999"/>
    <x v="2"/>
    <s v="Rented"/>
    <n v="11"/>
    <n v="2"/>
    <s v="Yes"/>
    <s v="No"/>
    <x v="1"/>
    <n v="132602"/>
    <x v="1083"/>
    <x v="15"/>
    <x v="829"/>
    <x v="1"/>
    <x v="0"/>
    <x v="1"/>
  </r>
  <r>
    <x v="1086"/>
    <s v="Debbie Gould"/>
    <x v="25"/>
    <x v="0"/>
    <x v="0"/>
    <s v="Postgraduate"/>
    <x v="0"/>
    <n v="30940"/>
    <n v="553"/>
    <n v="46968"/>
    <x v="3"/>
    <n v="0.115"/>
    <x v="0"/>
    <s v="Mortgaged"/>
    <n v="6"/>
    <n v="0"/>
    <s v="Yes"/>
    <s v="Yes"/>
    <x v="2"/>
    <n v="186621"/>
    <x v="1084"/>
    <x v="7"/>
    <x v="122"/>
    <x v="1"/>
    <x v="1"/>
    <x v="1"/>
  </r>
  <r>
    <x v="1087"/>
    <s v="Jonathan Taylor"/>
    <x v="27"/>
    <x v="0"/>
    <x v="3"/>
    <s v="Graduate"/>
    <x v="0"/>
    <n v="77241"/>
    <n v="552"/>
    <n v="5267"/>
    <x v="4"/>
    <n v="0.19039999999999999"/>
    <x v="3"/>
    <s v="Owned"/>
    <n v="12"/>
    <n v="4"/>
    <s v="No"/>
    <s v="No"/>
    <x v="1"/>
    <n v="38197"/>
    <x v="1085"/>
    <x v="56"/>
    <x v="830"/>
    <x v="0"/>
    <x v="0"/>
    <x v="1"/>
  </r>
  <r>
    <x v="1088"/>
    <s v="Elizabeth Hall"/>
    <x v="43"/>
    <x v="1"/>
    <x v="2"/>
    <s v="PhD"/>
    <x v="3"/>
    <n v="142002"/>
    <n v="552"/>
    <n v="43432"/>
    <x v="0"/>
    <n v="0.14679999999999999"/>
    <x v="0"/>
    <s v="Owned"/>
    <n v="15"/>
    <n v="2"/>
    <s v="No"/>
    <s v="No"/>
    <x v="1"/>
    <n v="46988"/>
    <x v="1086"/>
    <x v="30"/>
    <x v="831"/>
    <x v="0"/>
    <x v="0"/>
    <x v="1"/>
  </r>
  <r>
    <x v="1089"/>
    <s v="Tami Perez"/>
    <x v="11"/>
    <x v="0"/>
    <x v="3"/>
    <s v="PhD"/>
    <x v="2"/>
    <n v="68542"/>
    <n v="552"/>
    <n v="26651"/>
    <x v="3"/>
    <n v="6.9400000000000003E-2"/>
    <x v="0"/>
    <s v="Owned"/>
    <n v="1"/>
    <n v="0"/>
    <s v="No"/>
    <s v="Yes"/>
    <x v="4"/>
    <n v="128167"/>
    <x v="1087"/>
    <x v="87"/>
    <x v="543"/>
    <x v="0"/>
    <x v="1"/>
    <x v="1"/>
  </r>
  <r>
    <x v="1090"/>
    <s v="Mark Rice"/>
    <x v="40"/>
    <x v="0"/>
    <x v="2"/>
    <s v="Graduate"/>
    <x v="2"/>
    <n v="148949"/>
    <n v="552"/>
    <n v="44027"/>
    <x v="0"/>
    <n v="0.15010000000000001"/>
    <x v="3"/>
    <s v="Owned"/>
    <n v="16"/>
    <n v="2"/>
    <s v="No"/>
    <s v="No"/>
    <x v="4"/>
    <n v="13376"/>
    <x v="1088"/>
    <x v="4"/>
    <x v="832"/>
    <x v="1"/>
    <x v="0"/>
    <x v="1"/>
  </r>
  <r>
    <x v="1091"/>
    <s v="Gary Pena"/>
    <x v="1"/>
    <x v="0"/>
    <x v="3"/>
    <s v="Postgraduate"/>
    <x v="3"/>
    <n v="83884"/>
    <n v="552"/>
    <n v="3400"/>
    <x v="3"/>
    <n v="0.16600000000000001"/>
    <x v="0"/>
    <s v="Mortgaged"/>
    <n v="26"/>
    <n v="0"/>
    <s v="Yes"/>
    <s v="Yes"/>
    <x v="3"/>
    <n v="192880"/>
    <x v="1089"/>
    <x v="83"/>
    <x v="833"/>
    <x v="0"/>
    <x v="0"/>
    <x v="1"/>
  </r>
  <r>
    <x v="1092"/>
    <s v="Nicholas Johnson"/>
    <x v="21"/>
    <x v="0"/>
    <x v="3"/>
    <s v="High School"/>
    <x v="3"/>
    <n v="78760"/>
    <n v="552"/>
    <n v="46592"/>
    <x v="0"/>
    <n v="0.19899999999999998"/>
    <x v="5"/>
    <s v="Mortgaged"/>
    <n v="28"/>
    <n v="0"/>
    <s v="Yes"/>
    <s v="Yes"/>
    <x v="0"/>
    <n v="65183"/>
    <x v="1090"/>
    <x v="27"/>
    <x v="215"/>
    <x v="0"/>
    <x v="0"/>
    <x v="1"/>
  </r>
  <r>
    <x v="1093"/>
    <s v="Michael Harvey"/>
    <x v="4"/>
    <x v="1"/>
    <x v="2"/>
    <s v="Postgraduate"/>
    <x v="2"/>
    <n v="119251"/>
    <n v="552"/>
    <n v="25204"/>
    <x v="1"/>
    <n v="0.153"/>
    <x v="0"/>
    <s v="Mortgaged"/>
    <n v="15"/>
    <n v="0"/>
    <s v="No"/>
    <s v="No"/>
    <x v="4"/>
    <n v="76418"/>
    <x v="1091"/>
    <x v="7"/>
    <x v="382"/>
    <x v="0"/>
    <x v="0"/>
    <x v="1"/>
  </r>
  <r>
    <x v="1094"/>
    <s v="Amy Robertson"/>
    <x v="43"/>
    <x v="1"/>
    <x v="0"/>
    <s v="Graduate"/>
    <x v="0"/>
    <n v="93970"/>
    <n v="552"/>
    <n v="17568"/>
    <x v="1"/>
    <n v="0.1744"/>
    <x v="1"/>
    <s v="Rented"/>
    <n v="10"/>
    <n v="3"/>
    <s v="No"/>
    <s v="No"/>
    <x v="0"/>
    <n v="140786"/>
    <x v="1092"/>
    <x v="14"/>
    <x v="834"/>
    <x v="1"/>
    <x v="0"/>
    <x v="1"/>
  </r>
  <r>
    <x v="1095"/>
    <s v="Laura Wolf"/>
    <x v="6"/>
    <x v="1"/>
    <x v="2"/>
    <s v="PhD"/>
    <x v="3"/>
    <n v="61964"/>
    <n v="552"/>
    <n v="3786"/>
    <x v="0"/>
    <n v="0.15390000000000001"/>
    <x v="4"/>
    <s v="Rented"/>
    <n v="25"/>
    <n v="4"/>
    <s v="No"/>
    <s v="Yes"/>
    <x v="4"/>
    <n v="3111"/>
    <x v="1093"/>
    <x v="23"/>
    <x v="656"/>
    <x v="1"/>
    <x v="0"/>
    <x v="1"/>
  </r>
  <r>
    <x v="1096"/>
    <s v="Courtney Hooper"/>
    <x v="18"/>
    <x v="1"/>
    <x v="2"/>
    <s v="High School"/>
    <x v="0"/>
    <n v="141670"/>
    <n v="552"/>
    <n v="9097"/>
    <x v="1"/>
    <n v="9.3299999999999994E-2"/>
    <x v="2"/>
    <s v="Mortgaged"/>
    <n v="17"/>
    <n v="3"/>
    <s v="Yes"/>
    <s v="No"/>
    <x v="3"/>
    <n v="31024"/>
    <x v="1094"/>
    <x v="49"/>
    <x v="835"/>
    <x v="0"/>
    <x v="0"/>
    <x v="1"/>
  </r>
  <r>
    <x v="1097"/>
    <s v="Carolyn Mcdonald"/>
    <x v="29"/>
    <x v="0"/>
    <x v="0"/>
    <s v="Postgraduate"/>
    <x v="3"/>
    <n v="87067"/>
    <n v="551"/>
    <n v="21545"/>
    <x v="2"/>
    <n v="6.4899999999999999E-2"/>
    <x v="3"/>
    <s v="Rented"/>
    <n v="12"/>
    <n v="2"/>
    <s v="No"/>
    <s v="Yes"/>
    <x v="3"/>
    <n v="70602"/>
    <x v="1095"/>
    <x v="58"/>
    <x v="836"/>
    <x v="0"/>
    <x v="0"/>
    <x v="1"/>
  </r>
  <r>
    <x v="1098"/>
    <s v="Michael May"/>
    <x v="29"/>
    <x v="0"/>
    <x v="2"/>
    <s v="Graduate"/>
    <x v="1"/>
    <n v="21909"/>
    <n v="551"/>
    <n v="7560"/>
    <x v="2"/>
    <n v="0.1867"/>
    <x v="4"/>
    <s v="Owned"/>
    <n v="20"/>
    <n v="2"/>
    <s v="No"/>
    <s v="Yes"/>
    <x v="3"/>
    <n v="144720"/>
    <x v="1096"/>
    <x v="22"/>
    <x v="837"/>
    <x v="1"/>
    <x v="0"/>
    <x v="1"/>
  </r>
  <r>
    <x v="1099"/>
    <s v="Michelle Miller"/>
    <x v="0"/>
    <x v="1"/>
    <x v="3"/>
    <s v="High School"/>
    <x v="1"/>
    <n v="46149"/>
    <n v="550"/>
    <n v="7007"/>
    <x v="2"/>
    <n v="0.15439999999999998"/>
    <x v="4"/>
    <s v="Rented"/>
    <n v="14"/>
    <n v="0"/>
    <s v="No"/>
    <s v="No"/>
    <x v="2"/>
    <n v="108894"/>
    <x v="1097"/>
    <x v="30"/>
    <x v="838"/>
    <x v="1"/>
    <x v="1"/>
    <x v="1"/>
  </r>
  <r>
    <x v="1100"/>
    <s v="Denise Hanna"/>
    <x v="34"/>
    <x v="0"/>
    <x v="2"/>
    <s v="High School"/>
    <x v="2"/>
    <n v="90968"/>
    <n v="549"/>
    <n v="26009"/>
    <x v="4"/>
    <n v="0.1389"/>
    <x v="5"/>
    <s v="Mortgaged"/>
    <n v="27"/>
    <n v="3"/>
    <s v="Yes"/>
    <s v="Yes"/>
    <x v="4"/>
    <n v="58844"/>
    <x v="1098"/>
    <x v="16"/>
    <x v="296"/>
    <x v="0"/>
    <x v="0"/>
    <x v="2"/>
  </r>
  <r>
    <x v="1101"/>
    <s v="Michele Smith"/>
    <x v="10"/>
    <x v="1"/>
    <x v="1"/>
    <s v="PhD"/>
    <x v="2"/>
    <n v="100052"/>
    <n v="548"/>
    <n v="4065"/>
    <x v="3"/>
    <n v="0.12539999999999998"/>
    <x v="4"/>
    <s v="Owned"/>
    <n v="11"/>
    <n v="3"/>
    <s v="Yes"/>
    <s v="Yes"/>
    <x v="2"/>
    <n v="139699"/>
    <x v="1099"/>
    <x v="30"/>
    <x v="839"/>
    <x v="0"/>
    <x v="0"/>
    <x v="2"/>
  </r>
  <r>
    <x v="1102"/>
    <s v="Stephen Maldonado"/>
    <x v="28"/>
    <x v="0"/>
    <x v="3"/>
    <s v="High School"/>
    <x v="1"/>
    <n v="21044"/>
    <n v="548"/>
    <n v="21927"/>
    <x v="1"/>
    <n v="0.14000000000000001"/>
    <x v="2"/>
    <s v="Mortgaged"/>
    <n v="18"/>
    <n v="3"/>
    <s v="No"/>
    <s v="Yes"/>
    <x v="3"/>
    <n v="76479"/>
    <x v="1100"/>
    <x v="62"/>
    <x v="840"/>
    <x v="0"/>
    <x v="0"/>
    <x v="2"/>
  </r>
  <r>
    <x v="1103"/>
    <s v="Daniel Miranda"/>
    <x v="13"/>
    <x v="0"/>
    <x v="1"/>
    <s v="Postgraduate"/>
    <x v="3"/>
    <n v="94632"/>
    <n v="548"/>
    <n v="33021"/>
    <x v="4"/>
    <n v="0.14150000000000001"/>
    <x v="2"/>
    <s v="Owned"/>
    <n v="13"/>
    <n v="2"/>
    <s v="No"/>
    <s v="No"/>
    <x v="4"/>
    <n v="14432"/>
    <x v="1101"/>
    <x v="2"/>
    <x v="294"/>
    <x v="0"/>
    <x v="0"/>
    <x v="2"/>
  </r>
  <r>
    <x v="1104"/>
    <s v="Mr. Hector Wade"/>
    <x v="33"/>
    <x v="0"/>
    <x v="1"/>
    <s v="High School"/>
    <x v="3"/>
    <n v="43027"/>
    <n v="548"/>
    <n v="42435"/>
    <x v="2"/>
    <n v="7.4099999999999999E-2"/>
    <x v="5"/>
    <s v="Rented"/>
    <n v="4"/>
    <n v="0"/>
    <s v="No"/>
    <s v="Yes"/>
    <x v="0"/>
    <n v="108850"/>
    <x v="1102"/>
    <x v="27"/>
    <x v="811"/>
    <x v="0"/>
    <x v="0"/>
    <x v="2"/>
  </r>
  <r>
    <x v="1105"/>
    <s v="Lauren Blanchard"/>
    <x v="18"/>
    <x v="0"/>
    <x v="3"/>
    <s v="PhD"/>
    <x v="1"/>
    <n v="96669"/>
    <n v="548"/>
    <n v="2773"/>
    <x v="3"/>
    <n v="0.1166"/>
    <x v="2"/>
    <s v="Mortgaged"/>
    <n v="17"/>
    <n v="1"/>
    <s v="Yes"/>
    <s v="Yes"/>
    <x v="1"/>
    <n v="115730"/>
    <x v="1103"/>
    <x v="43"/>
    <x v="841"/>
    <x v="1"/>
    <x v="1"/>
    <x v="2"/>
  </r>
  <r>
    <x v="1106"/>
    <s v="Claire Conway"/>
    <x v="3"/>
    <x v="0"/>
    <x v="2"/>
    <s v="High School"/>
    <x v="2"/>
    <n v="134316"/>
    <n v="548"/>
    <n v="7822"/>
    <x v="4"/>
    <n v="0.1862"/>
    <x v="4"/>
    <s v="Owned"/>
    <n v="13"/>
    <n v="3"/>
    <s v="Yes"/>
    <s v="No"/>
    <x v="2"/>
    <n v="86352"/>
    <x v="1104"/>
    <x v="65"/>
    <x v="508"/>
    <x v="0"/>
    <x v="0"/>
    <x v="2"/>
  </r>
  <r>
    <x v="1107"/>
    <s v="Robert Clark"/>
    <x v="25"/>
    <x v="0"/>
    <x v="3"/>
    <s v="High School"/>
    <x v="2"/>
    <n v="106840"/>
    <n v="547"/>
    <n v="48468"/>
    <x v="3"/>
    <n v="0.1356"/>
    <x v="1"/>
    <s v="Owned"/>
    <n v="29"/>
    <n v="1"/>
    <s v="No"/>
    <s v="Yes"/>
    <x v="1"/>
    <n v="18658"/>
    <x v="1105"/>
    <x v="11"/>
    <x v="670"/>
    <x v="1"/>
    <x v="0"/>
    <x v="2"/>
  </r>
  <r>
    <x v="1108"/>
    <s v="Tyler Ray"/>
    <x v="39"/>
    <x v="0"/>
    <x v="2"/>
    <s v="Postgraduate"/>
    <x v="2"/>
    <n v="62929"/>
    <n v="547"/>
    <n v="5300"/>
    <x v="0"/>
    <n v="0.1192"/>
    <x v="1"/>
    <s v="Owned"/>
    <n v="11"/>
    <n v="1"/>
    <s v="No"/>
    <s v="Yes"/>
    <x v="1"/>
    <n v="43813"/>
    <x v="1106"/>
    <x v="30"/>
    <x v="842"/>
    <x v="1"/>
    <x v="0"/>
    <x v="2"/>
  </r>
  <r>
    <x v="1109"/>
    <s v="David Jackson"/>
    <x v="11"/>
    <x v="0"/>
    <x v="2"/>
    <s v="Postgraduate"/>
    <x v="0"/>
    <n v="35791"/>
    <n v="546"/>
    <n v="20323"/>
    <x v="4"/>
    <n v="0.15410000000000001"/>
    <x v="2"/>
    <s v="Mortgaged"/>
    <n v="3"/>
    <n v="0"/>
    <s v="Yes"/>
    <s v="Yes"/>
    <x v="0"/>
    <n v="107889"/>
    <x v="1107"/>
    <x v="3"/>
    <x v="630"/>
    <x v="0"/>
    <x v="0"/>
    <x v="2"/>
  </r>
  <r>
    <x v="1110"/>
    <s v="Lisa Garcia"/>
    <x v="42"/>
    <x v="1"/>
    <x v="1"/>
    <s v="PhD"/>
    <x v="0"/>
    <n v="146736"/>
    <n v="546"/>
    <n v="39680"/>
    <x v="1"/>
    <n v="8.6800000000000002E-2"/>
    <x v="1"/>
    <s v="Rented"/>
    <n v="3"/>
    <n v="0"/>
    <s v="Yes"/>
    <s v="Yes"/>
    <x v="2"/>
    <n v="32291"/>
    <x v="1108"/>
    <x v="44"/>
    <x v="521"/>
    <x v="1"/>
    <x v="0"/>
    <x v="2"/>
  </r>
  <r>
    <x v="1111"/>
    <s v="Lisa Elliott"/>
    <x v="22"/>
    <x v="1"/>
    <x v="0"/>
    <s v="Graduate"/>
    <x v="3"/>
    <n v="30367"/>
    <n v="545"/>
    <n v="6988"/>
    <x v="0"/>
    <n v="0.1105"/>
    <x v="1"/>
    <s v="Rented"/>
    <n v="4"/>
    <n v="3"/>
    <s v="Yes"/>
    <s v="Yes"/>
    <x v="4"/>
    <n v="77694"/>
    <x v="1109"/>
    <x v="24"/>
    <x v="843"/>
    <x v="1"/>
    <x v="0"/>
    <x v="2"/>
  </r>
  <r>
    <x v="1112"/>
    <s v="Sandra Nelson"/>
    <x v="27"/>
    <x v="0"/>
    <x v="1"/>
    <s v="Postgraduate"/>
    <x v="1"/>
    <n v="112227"/>
    <n v="545"/>
    <n v="33499"/>
    <x v="0"/>
    <n v="7.0800000000000002E-2"/>
    <x v="0"/>
    <s v="Mortgaged"/>
    <n v="22"/>
    <n v="1"/>
    <s v="No"/>
    <s v="Yes"/>
    <x v="0"/>
    <n v="160012"/>
    <x v="1110"/>
    <x v="52"/>
    <x v="843"/>
    <x v="1"/>
    <x v="0"/>
    <x v="2"/>
  </r>
  <r>
    <x v="1113"/>
    <s v="Scott Mcdonald"/>
    <x v="18"/>
    <x v="0"/>
    <x v="0"/>
    <s v="Postgraduate"/>
    <x v="3"/>
    <n v="66691"/>
    <n v="545"/>
    <n v="35579"/>
    <x v="2"/>
    <n v="0.10249999999999999"/>
    <x v="5"/>
    <s v="Mortgaged"/>
    <n v="22"/>
    <n v="4"/>
    <s v="Yes"/>
    <s v="No"/>
    <x v="1"/>
    <n v="136882"/>
    <x v="1111"/>
    <x v="34"/>
    <x v="313"/>
    <x v="1"/>
    <x v="0"/>
    <x v="2"/>
  </r>
  <r>
    <x v="1114"/>
    <s v="Jenna Washington"/>
    <x v="29"/>
    <x v="0"/>
    <x v="3"/>
    <s v="Postgraduate"/>
    <x v="2"/>
    <n v="140050"/>
    <n v="545"/>
    <n v="16932"/>
    <x v="0"/>
    <n v="0.19359999999999999"/>
    <x v="0"/>
    <s v="Mortgaged"/>
    <n v="2"/>
    <n v="0"/>
    <s v="No"/>
    <s v="Yes"/>
    <x v="4"/>
    <n v="32567"/>
    <x v="1112"/>
    <x v="42"/>
    <x v="816"/>
    <x v="1"/>
    <x v="0"/>
    <x v="2"/>
  </r>
  <r>
    <x v="1115"/>
    <s v="Shannon Smith"/>
    <x v="0"/>
    <x v="0"/>
    <x v="0"/>
    <s v="Graduate"/>
    <x v="2"/>
    <n v="39643"/>
    <n v="544"/>
    <n v="9308"/>
    <x v="1"/>
    <n v="0.18539999999999998"/>
    <x v="0"/>
    <s v="Mortgaged"/>
    <n v="16"/>
    <n v="3"/>
    <s v="No"/>
    <s v="Yes"/>
    <x v="4"/>
    <n v="190923"/>
    <x v="1113"/>
    <x v="14"/>
    <x v="844"/>
    <x v="1"/>
    <x v="1"/>
    <x v="2"/>
  </r>
  <r>
    <x v="1116"/>
    <s v="Julia Williams"/>
    <x v="43"/>
    <x v="1"/>
    <x v="0"/>
    <s v="Graduate"/>
    <x v="0"/>
    <n v="125754"/>
    <n v="544"/>
    <n v="43548"/>
    <x v="3"/>
    <n v="0.15429999999999999"/>
    <x v="2"/>
    <s v="Rented"/>
    <n v="8"/>
    <n v="4"/>
    <s v="No"/>
    <s v="No"/>
    <x v="1"/>
    <n v="173403"/>
    <x v="1114"/>
    <x v="21"/>
    <x v="845"/>
    <x v="0"/>
    <x v="0"/>
    <x v="2"/>
  </r>
  <r>
    <x v="1117"/>
    <s v="Julian Gonzales"/>
    <x v="2"/>
    <x v="1"/>
    <x v="1"/>
    <s v="Graduate"/>
    <x v="0"/>
    <n v="39276"/>
    <n v="544"/>
    <n v="12881"/>
    <x v="3"/>
    <n v="0.16370000000000001"/>
    <x v="3"/>
    <s v="Mortgaged"/>
    <n v="7"/>
    <n v="4"/>
    <s v="No"/>
    <s v="Yes"/>
    <x v="3"/>
    <n v="7223"/>
    <x v="1115"/>
    <x v="49"/>
    <x v="846"/>
    <x v="1"/>
    <x v="0"/>
    <x v="2"/>
  </r>
  <r>
    <x v="1118"/>
    <s v="Gerald Shannon"/>
    <x v="9"/>
    <x v="1"/>
    <x v="2"/>
    <s v="Postgraduate"/>
    <x v="1"/>
    <n v="79238"/>
    <n v="543"/>
    <n v="28897"/>
    <x v="3"/>
    <n v="0.185"/>
    <x v="2"/>
    <s v="Mortgaged"/>
    <n v="4"/>
    <n v="4"/>
    <s v="No"/>
    <s v="Yes"/>
    <x v="3"/>
    <n v="126385"/>
    <x v="1116"/>
    <x v="67"/>
    <x v="66"/>
    <x v="0"/>
    <x v="0"/>
    <x v="2"/>
  </r>
  <r>
    <x v="1119"/>
    <s v="Jessica Gray"/>
    <x v="25"/>
    <x v="0"/>
    <x v="3"/>
    <s v="Graduate"/>
    <x v="3"/>
    <n v="57387"/>
    <n v="543"/>
    <n v="28794"/>
    <x v="2"/>
    <n v="0.1376"/>
    <x v="4"/>
    <s v="Owned"/>
    <n v="1"/>
    <n v="1"/>
    <s v="No"/>
    <s v="No"/>
    <x v="0"/>
    <n v="36264"/>
    <x v="1117"/>
    <x v="79"/>
    <x v="847"/>
    <x v="1"/>
    <x v="0"/>
    <x v="2"/>
  </r>
  <r>
    <x v="1120"/>
    <s v="Rodney Evans"/>
    <x v="19"/>
    <x v="1"/>
    <x v="3"/>
    <s v="Postgraduate"/>
    <x v="1"/>
    <n v="50782"/>
    <n v="543"/>
    <n v="41148"/>
    <x v="4"/>
    <n v="0.16789999999999999"/>
    <x v="5"/>
    <s v="Mortgaged"/>
    <n v="12"/>
    <n v="0"/>
    <s v="No"/>
    <s v="No"/>
    <x v="0"/>
    <n v="165518"/>
    <x v="1118"/>
    <x v="40"/>
    <x v="391"/>
    <x v="1"/>
    <x v="0"/>
    <x v="2"/>
  </r>
  <r>
    <x v="1121"/>
    <s v="Donna Gonzalez"/>
    <x v="40"/>
    <x v="1"/>
    <x v="2"/>
    <s v="Graduate"/>
    <x v="3"/>
    <n v="57381"/>
    <n v="543"/>
    <n v="32976"/>
    <x v="0"/>
    <n v="0.10980000000000001"/>
    <x v="4"/>
    <s v="Rented"/>
    <n v="2"/>
    <n v="1"/>
    <s v="Yes"/>
    <s v="Yes"/>
    <x v="1"/>
    <n v="139335"/>
    <x v="1119"/>
    <x v="31"/>
    <x v="848"/>
    <x v="1"/>
    <x v="0"/>
    <x v="2"/>
  </r>
  <r>
    <x v="1122"/>
    <s v="Tracy Martinez"/>
    <x v="9"/>
    <x v="0"/>
    <x v="2"/>
    <s v="Postgraduate"/>
    <x v="0"/>
    <n v="33163"/>
    <n v="542"/>
    <n v="47947"/>
    <x v="1"/>
    <n v="0.1948"/>
    <x v="5"/>
    <s v="Owned"/>
    <n v="2"/>
    <n v="0"/>
    <s v="Yes"/>
    <s v="Yes"/>
    <x v="0"/>
    <n v="170350"/>
    <x v="1120"/>
    <x v="16"/>
    <x v="178"/>
    <x v="0"/>
    <x v="0"/>
    <x v="2"/>
  </r>
  <r>
    <x v="1123"/>
    <s v="Michelle Foley"/>
    <x v="17"/>
    <x v="1"/>
    <x v="2"/>
    <s v="PhD"/>
    <x v="2"/>
    <n v="28998"/>
    <n v="542"/>
    <n v="27118"/>
    <x v="2"/>
    <n v="8.2400000000000001E-2"/>
    <x v="4"/>
    <s v="Owned"/>
    <n v="6"/>
    <n v="3"/>
    <s v="No"/>
    <s v="Yes"/>
    <x v="0"/>
    <n v="113417"/>
    <x v="1121"/>
    <x v="53"/>
    <x v="83"/>
    <x v="0"/>
    <x v="0"/>
    <x v="2"/>
  </r>
  <r>
    <x v="1124"/>
    <s v="Kristi Castillo"/>
    <x v="15"/>
    <x v="1"/>
    <x v="1"/>
    <s v="High School"/>
    <x v="3"/>
    <n v="88274"/>
    <n v="542"/>
    <n v="31105"/>
    <x v="2"/>
    <n v="0.16210000000000002"/>
    <x v="4"/>
    <s v="Owned"/>
    <n v="2"/>
    <n v="2"/>
    <s v="No"/>
    <s v="Yes"/>
    <x v="3"/>
    <n v="114210"/>
    <x v="1122"/>
    <x v="54"/>
    <x v="849"/>
    <x v="0"/>
    <x v="0"/>
    <x v="2"/>
  </r>
  <r>
    <x v="1125"/>
    <s v="James Cross"/>
    <x v="40"/>
    <x v="0"/>
    <x v="3"/>
    <s v="Graduate"/>
    <x v="1"/>
    <n v="95956"/>
    <n v="542"/>
    <n v="17600"/>
    <x v="4"/>
    <n v="0.18440000000000001"/>
    <x v="4"/>
    <s v="Rented"/>
    <n v="7"/>
    <n v="4"/>
    <s v="Yes"/>
    <s v="Yes"/>
    <x v="3"/>
    <n v="47595"/>
    <x v="1123"/>
    <x v="49"/>
    <x v="844"/>
    <x v="1"/>
    <x v="0"/>
    <x v="2"/>
  </r>
  <r>
    <x v="1126"/>
    <s v="Angela Collier"/>
    <x v="26"/>
    <x v="1"/>
    <x v="2"/>
    <s v="Postgraduate"/>
    <x v="1"/>
    <n v="100664"/>
    <n v="541"/>
    <n v="18488"/>
    <x v="2"/>
    <n v="6.0199999999999997E-2"/>
    <x v="4"/>
    <s v="Owned"/>
    <n v="19"/>
    <n v="2"/>
    <s v="No"/>
    <s v="Yes"/>
    <x v="3"/>
    <n v="180207"/>
    <x v="1124"/>
    <x v="25"/>
    <x v="850"/>
    <x v="1"/>
    <x v="0"/>
    <x v="2"/>
  </r>
  <r>
    <x v="1127"/>
    <s v="Dr. Nicholas Horn"/>
    <x v="32"/>
    <x v="0"/>
    <x v="2"/>
    <s v="PhD"/>
    <x v="0"/>
    <n v="68340"/>
    <n v="541"/>
    <n v="14861"/>
    <x v="3"/>
    <n v="8.4499999999999992E-2"/>
    <x v="2"/>
    <s v="Rented"/>
    <n v="2"/>
    <n v="3"/>
    <s v="Yes"/>
    <s v="Yes"/>
    <x v="3"/>
    <n v="125593"/>
    <x v="1125"/>
    <x v="77"/>
    <x v="851"/>
    <x v="1"/>
    <x v="1"/>
    <x v="2"/>
  </r>
  <r>
    <x v="1128"/>
    <s v="Scott Hull"/>
    <x v="32"/>
    <x v="0"/>
    <x v="0"/>
    <s v="Graduate"/>
    <x v="0"/>
    <n v="25796"/>
    <n v="540"/>
    <n v="11529"/>
    <x v="0"/>
    <n v="5.2199999999999996E-2"/>
    <x v="1"/>
    <s v="Owned"/>
    <n v="24"/>
    <n v="0"/>
    <s v="Yes"/>
    <s v="Yes"/>
    <x v="0"/>
    <n v="13699"/>
    <x v="286"/>
    <x v="10"/>
    <x v="852"/>
    <x v="1"/>
    <x v="0"/>
    <x v="2"/>
  </r>
  <r>
    <x v="1129"/>
    <s v="Anthony Hernandez"/>
    <x v="26"/>
    <x v="1"/>
    <x v="2"/>
    <s v="Graduate"/>
    <x v="1"/>
    <n v="29677"/>
    <n v="540"/>
    <n v="37355"/>
    <x v="2"/>
    <n v="0.14810000000000001"/>
    <x v="0"/>
    <s v="Mortgaged"/>
    <n v="26"/>
    <n v="2"/>
    <s v="Yes"/>
    <s v="Yes"/>
    <x v="2"/>
    <n v="23409"/>
    <x v="1126"/>
    <x v="10"/>
    <x v="853"/>
    <x v="1"/>
    <x v="0"/>
    <x v="2"/>
  </r>
  <r>
    <x v="1130"/>
    <s v="Joseph Williams"/>
    <x v="41"/>
    <x v="0"/>
    <x v="3"/>
    <s v="Postgraduate"/>
    <x v="2"/>
    <n v="145014"/>
    <n v="540"/>
    <n v="48109"/>
    <x v="4"/>
    <n v="0.1668"/>
    <x v="0"/>
    <s v="Rented"/>
    <n v="23"/>
    <n v="4"/>
    <s v="No"/>
    <s v="No"/>
    <x v="0"/>
    <n v="146977"/>
    <x v="1127"/>
    <x v="29"/>
    <x v="100"/>
    <x v="0"/>
    <x v="0"/>
    <x v="2"/>
  </r>
  <r>
    <x v="1131"/>
    <s v="Kimberly Brown"/>
    <x v="31"/>
    <x v="0"/>
    <x v="3"/>
    <s v="High School"/>
    <x v="3"/>
    <n v="81991"/>
    <n v="539"/>
    <n v="45669"/>
    <x v="1"/>
    <n v="8.4499999999999992E-2"/>
    <x v="5"/>
    <s v="Mortgaged"/>
    <n v="10"/>
    <n v="0"/>
    <s v="Yes"/>
    <s v="Yes"/>
    <x v="1"/>
    <n v="85066"/>
    <x v="1128"/>
    <x v="37"/>
    <x v="358"/>
    <x v="0"/>
    <x v="0"/>
    <x v="2"/>
  </r>
  <r>
    <x v="1132"/>
    <s v="Mrs. Haley Evans MD"/>
    <x v="2"/>
    <x v="0"/>
    <x v="2"/>
    <s v="PhD"/>
    <x v="2"/>
    <n v="34385"/>
    <n v="539"/>
    <n v="27974"/>
    <x v="0"/>
    <n v="0.17710000000000001"/>
    <x v="5"/>
    <s v="Owned"/>
    <n v="14"/>
    <n v="3"/>
    <s v="No"/>
    <s v="Yes"/>
    <x v="3"/>
    <n v="14388"/>
    <x v="1129"/>
    <x v="76"/>
    <x v="216"/>
    <x v="0"/>
    <x v="1"/>
    <x v="2"/>
  </r>
  <r>
    <x v="1133"/>
    <s v="Tyler White"/>
    <x v="10"/>
    <x v="0"/>
    <x v="0"/>
    <s v="Graduate"/>
    <x v="2"/>
    <n v="78703"/>
    <n v="539"/>
    <n v="1763"/>
    <x v="4"/>
    <n v="0.1103"/>
    <x v="1"/>
    <s v="Owned"/>
    <n v="22"/>
    <n v="4"/>
    <s v="Yes"/>
    <s v="Yes"/>
    <x v="1"/>
    <n v="130596"/>
    <x v="1130"/>
    <x v="19"/>
    <x v="636"/>
    <x v="0"/>
    <x v="0"/>
    <x v="2"/>
  </r>
  <r>
    <x v="1134"/>
    <s v="Mark Sanders"/>
    <x v="14"/>
    <x v="0"/>
    <x v="2"/>
    <s v="Postgraduate"/>
    <x v="3"/>
    <n v="23052"/>
    <n v="538"/>
    <n v="38097"/>
    <x v="0"/>
    <n v="9.4E-2"/>
    <x v="4"/>
    <s v="Rented"/>
    <n v="10"/>
    <n v="2"/>
    <s v="Yes"/>
    <s v="No"/>
    <x v="2"/>
    <n v="32137"/>
    <x v="1131"/>
    <x v="87"/>
    <x v="854"/>
    <x v="1"/>
    <x v="0"/>
    <x v="2"/>
  </r>
  <r>
    <x v="1135"/>
    <s v="Randy White"/>
    <x v="19"/>
    <x v="1"/>
    <x v="1"/>
    <s v="Postgraduate"/>
    <x v="0"/>
    <n v="77602"/>
    <n v="538"/>
    <n v="7057"/>
    <x v="0"/>
    <n v="5.3399999999999996E-2"/>
    <x v="0"/>
    <s v="Owned"/>
    <n v="10"/>
    <n v="0"/>
    <s v="Yes"/>
    <s v="No"/>
    <x v="1"/>
    <n v="164653"/>
    <x v="1132"/>
    <x v="53"/>
    <x v="855"/>
    <x v="0"/>
    <x v="1"/>
    <x v="2"/>
  </r>
  <r>
    <x v="1136"/>
    <s v="William Gordon"/>
    <x v="34"/>
    <x v="0"/>
    <x v="0"/>
    <s v="Postgraduate"/>
    <x v="3"/>
    <n v="100632"/>
    <n v="538"/>
    <n v="28567"/>
    <x v="3"/>
    <n v="7.4099999999999999E-2"/>
    <x v="4"/>
    <s v="Mortgaged"/>
    <n v="5"/>
    <n v="1"/>
    <s v="Yes"/>
    <s v="No"/>
    <x v="0"/>
    <n v="133009"/>
    <x v="1133"/>
    <x v="86"/>
    <x v="30"/>
    <x v="1"/>
    <x v="0"/>
    <x v="2"/>
  </r>
  <r>
    <x v="1137"/>
    <s v="William Turner"/>
    <x v="39"/>
    <x v="0"/>
    <x v="1"/>
    <s v="Graduate"/>
    <x v="0"/>
    <n v="70713"/>
    <n v="538"/>
    <n v="42723"/>
    <x v="1"/>
    <n v="5.0700000000000002E-2"/>
    <x v="2"/>
    <s v="Mortgaged"/>
    <n v="15"/>
    <n v="3"/>
    <s v="Yes"/>
    <s v="Yes"/>
    <x v="2"/>
    <n v="96895"/>
    <x v="1134"/>
    <x v="88"/>
    <x v="856"/>
    <x v="0"/>
    <x v="0"/>
    <x v="2"/>
  </r>
  <r>
    <x v="1138"/>
    <s v="Nancy Hudson"/>
    <x v="2"/>
    <x v="0"/>
    <x v="3"/>
    <s v="PhD"/>
    <x v="0"/>
    <n v="57755"/>
    <n v="537"/>
    <n v="9933"/>
    <x v="0"/>
    <n v="0.1018"/>
    <x v="1"/>
    <s v="Mortgaged"/>
    <n v="10"/>
    <n v="2"/>
    <s v="No"/>
    <s v="Yes"/>
    <x v="3"/>
    <n v="106342"/>
    <x v="1135"/>
    <x v="50"/>
    <x v="857"/>
    <x v="0"/>
    <x v="1"/>
    <x v="2"/>
  </r>
  <r>
    <x v="1139"/>
    <s v="William Morse"/>
    <x v="11"/>
    <x v="1"/>
    <x v="3"/>
    <s v="Postgraduate"/>
    <x v="0"/>
    <n v="127814"/>
    <n v="537"/>
    <n v="5427"/>
    <x v="1"/>
    <n v="0.17199999999999999"/>
    <x v="2"/>
    <s v="Mortgaged"/>
    <n v="2"/>
    <n v="3"/>
    <s v="No"/>
    <s v="No"/>
    <x v="1"/>
    <n v="96940"/>
    <x v="1136"/>
    <x v="9"/>
    <x v="858"/>
    <x v="0"/>
    <x v="0"/>
    <x v="2"/>
  </r>
  <r>
    <x v="1140"/>
    <s v="Amber Brooks"/>
    <x v="11"/>
    <x v="0"/>
    <x v="2"/>
    <s v="Postgraduate"/>
    <x v="3"/>
    <n v="103996"/>
    <n v="536"/>
    <n v="2614"/>
    <x v="2"/>
    <n v="0.1827"/>
    <x v="2"/>
    <s v="Mortgaged"/>
    <n v="1"/>
    <n v="1"/>
    <s v="Yes"/>
    <s v="No"/>
    <x v="3"/>
    <n v="142377"/>
    <x v="1137"/>
    <x v="31"/>
    <x v="859"/>
    <x v="0"/>
    <x v="0"/>
    <x v="2"/>
  </r>
  <r>
    <x v="1141"/>
    <s v="Felicia Singh"/>
    <x v="6"/>
    <x v="1"/>
    <x v="2"/>
    <s v="Graduate"/>
    <x v="1"/>
    <n v="58170"/>
    <n v="536"/>
    <n v="15690"/>
    <x v="4"/>
    <n v="6.08E-2"/>
    <x v="3"/>
    <s v="Owned"/>
    <n v="18"/>
    <n v="1"/>
    <s v="Yes"/>
    <s v="No"/>
    <x v="3"/>
    <n v="135574"/>
    <x v="1138"/>
    <x v="70"/>
    <x v="339"/>
    <x v="1"/>
    <x v="1"/>
    <x v="2"/>
  </r>
  <r>
    <x v="1142"/>
    <s v="Megan Ward"/>
    <x v="7"/>
    <x v="1"/>
    <x v="1"/>
    <s v="High School"/>
    <x v="0"/>
    <n v="88359"/>
    <n v="535"/>
    <n v="24880"/>
    <x v="1"/>
    <n v="0.11840000000000001"/>
    <x v="5"/>
    <s v="Rented"/>
    <n v="26"/>
    <n v="1"/>
    <s v="No"/>
    <s v="Yes"/>
    <x v="2"/>
    <n v="154412"/>
    <x v="1139"/>
    <x v="33"/>
    <x v="788"/>
    <x v="0"/>
    <x v="0"/>
    <x v="2"/>
  </r>
  <r>
    <x v="1143"/>
    <s v="Christopher Wyatt"/>
    <x v="0"/>
    <x v="1"/>
    <x v="0"/>
    <s v="Postgraduate"/>
    <x v="1"/>
    <n v="94854"/>
    <n v="535"/>
    <n v="49257"/>
    <x v="2"/>
    <n v="0.18640000000000001"/>
    <x v="5"/>
    <s v="Owned"/>
    <n v="28"/>
    <n v="3"/>
    <s v="No"/>
    <s v="Yes"/>
    <x v="2"/>
    <n v="110423"/>
    <x v="1140"/>
    <x v="38"/>
    <x v="256"/>
    <x v="1"/>
    <x v="0"/>
    <x v="2"/>
  </r>
  <r>
    <x v="1144"/>
    <s v="Amber Alexander"/>
    <x v="42"/>
    <x v="0"/>
    <x v="1"/>
    <s v="Graduate"/>
    <x v="3"/>
    <n v="87313"/>
    <n v="535"/>
    <n v="20675"/>
    <x v="3"/>
    <n v="0.13150000000000001"/>
    <x v="5"/>
    <s v="Mortgaged"/>
    <n v="27"/>
    <n v="4"/>
    <s v="Yes"/>
    <s v="Yes"/>
    <x v="2"/>
    <n v="1591"/>
    <x v="1141"/>
    <x v="33"/>
    <x v="860"/>
    <x v="1"/>
    <x v="0"/>
    <x v="2"/>
  </r>
  <r>
    <x v="1145"/>
    <s v="Amber Cabrera"/>
    <x v="13"/>
    <x v="0"/>
    <x v="3"/>
    <s v="Postgraduate"/>
    <x v="3"/>
    <n v="147173"/>
    <n v="534"/>
    <n v="44271"/>
    <x v="3"/>
    <n v="0.1918"/>
    <x v="0"/>
    <s v="Owned"/>
    <n v="13"/>
    <n v="0"/>
    <s v="Yes"/>
    <s v="No"/>
    <x v="1"/>
    <n v="69384"/>
    <x v="1142"/>
    <x v="42"/>
    <x v="276"/>
    <x v="0"/>
    <x v="0"/>
    <x v="2"/>
  </r>
  <r>
    <x v="1146"/>
    <s v="Tracy Mosley"/>
    <x v="34"/>
    <x v="0"/>
    <x v="2"/>
    <s v="High School"/>
    <x v="2"/>
    <n v="117605"/>
    <n v="534"/>
    <n v="29214"/>
    <x v="4"/>
    <n v="0.05"/>
    <x v="2"/>
    <s v="Owned"/>
    <n v="23"/>
    <n v="0"/>
    <s v="Yes"/>
    <s v="Yes"/>
    <x v="3"/>
    <n v="99689"/>
    <x v="1143"/>
    <x v="47"/>
    <x v="861"/>
    <x v="1"/>
    <x v="1"/>
    <x v="2"/>
  </r>
  <r>
    <x v="1147"/>
    <s v="Brittany Lam"/>
    <x v="33"/>
    <x v="0"/>
    <x v="0"/>
    <s v="High School"/>
    <x v="3"/>
    <n v="46739"/>
    <n v="534"/>
    <n v="31823"/>
    <x v="1"/>
    <n v="0.08"/>
    <x v="3"/>
    <s v="Mortgaged"/>
    <n v="26"/>
    <n v="4"/>
    <s v="Yes"/>
    <s v="Yes"/>
    <x v="3"/>
    <n v="85938"/>
    <x v="1144"/>
    <x v="65"/>
    <x v="862"/>
    <x v="1"/>
    <x v="0"/>
    <x v="2"/>
  </r>
  <r>
    <x v="1148"/>
    <s v="Eugene Black"/>
    <x v="14"/>
    <x v="0"/>
    <x v="3"/>
    <s v="Postgraduate"/>
    <x v="1"/>
    <n v="42419"/>
    <n v="534"/>
    <n v="47639"/>
    <x v="4"/>
    <n v="9.5399999999999985E-2"/>
    <x v="3"/>
    <s v="Mortgaged"/>
    <n v="28"/>
    <n v="3"/>
    <s v="No"/>
    <s v="No"/>
    <x v="0"/>
    <n v="180275"/>
    <x v="1145"/>
    <x v="69"/>
    <x v="863"/>
    <x v="1"/>
    <x v="0"/>
    <x v="2"/>
  </r>
  <r>
    <x v="1149"/>
    <s v="Austin Bartlett"/>
    <x v="26"/>
    <x v="1"/>
    <x v="2"/>
    <s v="PhD"/>
    <x v="0"/>
    <n v="120028"/>
    <n v="534"/>
    <n v="48046"/>
    <x v="3"/>
    <n v="7.1099999999999997E-2"/>
    <x v="2"/>
    <s v="Mortgaged"/>
    <n v="25"/>
    <n v="0"/>
    <s v="No"/>
    <s v="Yes"/>
    <x v="3"/>
    <n v="146336"/>
    <x v="1146"/>
    <x v="36"/>
    <x v="455"/>
    <x v="0"/>
    <x v="0"/>
    <x v="2"/>
  </r>
  <r>
    <x v="1150"/>
    <s v="Steve Mcdonald"/>
    <x v="24"/>
    <x v="0"/>
    <x v="0"/>
    <s v="Postgraduate"/>
    <x v="3"/>
    <n v="118971"/>
    <n v="534"/>
    <n v="26968"/>
    <x v="2"/>
    <n v="5.8799999999999998E-2"/>
    <x v="1"/>
    <s v="Rented"/>
    <n v="25"/>
    <n v="4"/>
    <s v="No"/>
    <s v="No"/>
    <x v="4"/>
    <n v="122155"/>
    <x v="1147"/>
    <x v="37"/>
    <x v="864"/>
    <x v="1"/>
    <x v="0"/>
    <x v="2"/>
  </r>
  <r>
    <x v="1151"/>
    <s v="Stephen Taylor"/>
    <x v="24"/>
    <x v="1"/>
    <x v="1"/>
    <s v="Graduate"/>
    <x v="0"/>
    <n v="38608"/>
    <n v="534"/>
    <n v="34541"/>
    <x v="4"/>
    <n v="8.72E-2"/>
    <x v="0"/>
    <s v="Mortgaged"/>
    <n v="27"/>
    <n v="4"/>
    <s v="Yes"/>
    <s v="Yes"/>
    <x v="2"/>
    <n v="53176"/>
    <x v="1148"/>
    <x v="11"/>
    <x v="865"/>
    <x v="1"/>
    <x v="0"/>
    <x v="2"/>
  </r>
  <r>
    <x v="1152"/>
    <s v="Alexander Taylor"/>
    <x v="38"/>
    <x v="1"/>
    <x v="3"/>
    <s v="Graduate"/>
    <x v="3"/>
    <n v="104363"/>
    <n v="533"/>
    <n v="25879"/>
    <x v="3"/>
    <n v="0.1421"/>
    <x v="4"/>
    <s v="Mortgaged"/>
    <n v="10"/>
    <n v="2"/>
    <s v="Yes"/>
    <s v="Yes"/>
    <x v="1"/>
    <n v="57970"/>
    <x v="1149"/>
    <x v="13"/>
    <x v="866"/>
    <x v="0"/>
    <x v="0"/>
    <x v="2"/>
  </r>
  <r>
    <x v="1153"/>
    <s v="Isabella Castaneda"/>
    <x v="13"/>
    <x v="1"/>
    <x v="0"/>
    <s v="High School"/>
    <x v="0"/>
    <n v="96870"/>
    <n v="533"/>
    <n v="22224"/>
    <x v="1"/>
    <n v="0.18809999999999999"/>
    <x v="0"/>
    <s v="Owned"/>
    <n v="5"/>
    <n v="0"/>
    <s v="No"/>
    <s v="Yes"/>
    <x v="3"/>
    <n v="147227"/>
    <x v="1150"/>
    <x v="2"/>
    <x v="721"/>
    <x v="0"/>
    <x v="1"/>
    <x v="2"/>
  </r>
  <r>
    <x v="1154"/>
    <s v="James Valdez PhD"/>
    <x v="4"/>
    <x v="1"/>
    <x v="0"/>
    <s v="High School"/>
    <x v="0"/>
    <n v="46849"/>
    <n v="533"/>
    <n v="4188"/>
    <x v="4"/>
    <n v="0.15010000000000001"/>
    <x v="5"/>
    <s v="Owned"/>
    <n v="4"/>
    <n v="4"/>
    <s v="No"/>
    <s v="Yes"/>
    <x v="4"/>
    <n v="76695"/>
    <x v="1151"/>
    <x v="14"/>
    <x v="481"/>
    <x v="1"/>
    <x v="0"/>
    <x v="2"/>
  </r>
  <r>
    <x v="1155"/>
    <s v="David Alvarez"/>
    <x v="10"/>
    <x v="0"/>
    <x v="1"/>
    <s v="Graduate"/>
    <x v="2"/>
    <n v="67708"/>
    <n v="533"/>
    <n v="31540"/>
    <x v="0"/>
    <n v="0.11210000000000001"/>
    <x v="4"/>
    <s v="Rented"/>
    <n v="27"/>
    <n v="3"/>
    <s v="No"/>
    <s v="No"/>
    <x v="2"/>
    <n v="177866"/>
    <x v="1152"/>
    <x v="20"/>
    <x v="431"/>
    <x v="0"/>
    <x v="0"/>
    <x v="2"/>
  </r>
  <r>
    <x v="1156"/>
    <s v="Mary Fox"/>
    <x v="13"/>
    <x v="1"/>
    <x v="1"/>
    <s v="High School"/>
    <x v="0"/>
    <n v="27490"/>
    <n v="533"/>
    <n v="49807"/>
    <x v="1"/>
    <n v="0.12230000000000001"/>
    <x v="5"/>
    <s v="Owned"/>
    <n v="23"/>
    <n v="3"/>
    <s v="Yes"/>
    <s v="Yes"/>
    <x v="1"/>
    <n v="33061"/>
    <x v="1153"/>
    <x v="84"/>
    <x v="867"/>
    <x v="1"/>
    <x v="1"/>
    <x v="2"/>
  </r>
  <r>
    <x v="1157"/>
    <s v="Brad Thomas"/>
    <x v="34"/>
    <x v="0"/>
    <x v="3"/>
    <s v="PhD"/>
    <x v="1"/>
    <n v="28071"/>
    <n v="533"/>
    <n v="18601"/>
    <x v="4"/>
    <n v="0.19109999999999999"/>
    <x v="0"/>
    <s v="Mortgaged"/>
    <n v="25"/>
    <n v="3"/>
    <s v="Yes"/>
    <s v="No"/>
    <x v="4"/>
    <n v="69201"/>
    <x v="1154"/>
    <x v="3"/>
    <x v="751"/>
    <x v="1"/>
    <x v="0"/>
    <x v="2"/>
  </r>
  <r>
    <x v="1158"/>
    <s v="Jesus White"/>
    <x v="11"/>
    <x v="0"/>
    <x v="3"/>
    <s v="High School"/>
    <x v="1"/>
    <n v="44074"/>
    <n v="532"/>
    <n v="6374"/>
    <x v="2"/>
    <n v="0.11779999999999999"/>
    <x v="2"/>
    <s v="Mortgaged"/>
    <n v="19"/>
    <n v="2"/>
    <s v="Yes"/>
    <s v="Yes"/>
    <x v="2"/>
    <n v="195438"/>
    <x v="1155"/>
    <x v="62"/>
    <x v="268"/>
    <x v="1"/>
    <x v="0"/>
    <x v="2"/>
  </r>
  <r>
    <x v="1159"/>
    <s v="Lisa Deleon"/>
    <x v="40"/>
    <x v="1"/>
    <x v="3"/>
    <s v="High School"/>
    <x v="1"/>
    <n v="134337"/>
    <n v="532"/>
    <n v="37527"/>
    <x v="0"/>
    <n v="0.12609999999999999"/>
    <x v="0"/>
    <s v="Rented"/>
    <n v="18"/>
    <n v="3"/>
    <s v="No"/>
    <s v="No"/>
    <x v="4"/>
    <n v="51305"/>
    <x v="1156"/>
    <x v="23"/>
    <x v="309"/>
    <x v="1"/>
    <x v="0"/>
    <x v="2"/>
  </r>
  <r>
    <x v="1160"/>
    <s v="Kerri Mendez"/>
    <x v="20"/>
    <x v="1"/>
    <x v="0"/>
    <s v="PhD"/>
    <x v="2"/>
    <n v="50815"/>
    <n v="532"/>
    <n v="32971"/>
    <x v="1"/>
    <n v="5.5199999999999999E-2"/>
    <x v="5"/>
    <s v="Rented"/>
    <n v="16"/>
    <n v="3"/>
    <s v="No"/>
    <s v="No"/>
    <x v="0"/>
    <n v="99176"/>
    <x v="1157"/>
    <x v="74"/>
    <x v="868"/>
    <x v="0"/>
    <x v="0"/>
    <x v="2"/>
  </r>
  <r>
    <x v="1161"/>
    <s v="David Mitchell"/>
    <x v="38"/>
    <x v="1"/>
    <x v="0"/>
    <s v="Postgraduate"/>
    <x v="0"/>
    <n v="106246"/>
    <n v="531"/>
    <n v="2934"/>
    <x v="2"/>
    <n v="0.16850000000000001"/>
    <x v="3"/>
    <s v="Owned"/>
    <n v="26"/>
    <n v="3"/>
    <s v="No"/>
    <s v="Yes"/>
    <x v="1"/>
    <n v="176849"/>
    <x v="1158"/>
    <x v="58"/>
    <x v="869"/>
    <x v="1"/>
    <x v="0"/>
    <x v="2"/>
  </r>
  <r>
    <x v="1162"/>
    <s v="Kyle Weaver"/>
    <x v="11"/>
    <x v="1"/>
    <x v="1"/>
    <s v="Graduate"/>
    <x v="0"/>
    <n v="76947"/>
    <n v="531"/>
    <n v="7574"/>
    <x v="4"/>
    <n v="9.2600000000000002E-2"/>
    <x v="0"/>
    <s v="Rented"/>
    <n v="13"/>
    <n v="4"/>
    <s v="No"/>
    <s v="No"/>
    <x v="2"/>
    <n v="60574"/>
    <x v="1159"/>
    <x v="29"/>
    <x v="870"/>
    <x v="1"/>
    <x v="0"/>
    <x v="2"/>
  </r>
  <r>
    <x v="1163"/>
    <s v="Derrick Nash"/>
    <x v="33"/>
    <x v="0"/>
    <x v="1"/>
    <s v="PhD"/>
    <x v="3"/>
    <n v="73019"/>
    <n v="531"/>
    <n v="11190"/>
    <x v="1"/>
    <n v="8.199999999999999E-2"/>
    <x v="3"/>
    <s v="Rented"/>
    <n v="7"/>
    <n v="1"/>
    <s v="Yes"/>
    <s v="Yes"/>
    <x v="0"/>
    <n v="72610"/>
    <x v="1160"/>
    <x v="15"/>
    <x v="429"/>
    <x v="0"/>
    <x v="1"/>
    <x v="2"/>
  </r>
  <r>
    <x v="1164"/>
    <s v="Amanda Allen"/>
    <x v="37"/>
    <x v="0"/>
    <x v="2"/>
    <s v="PhD"/>
    <x v="1"/>
    <n v="25972"/>
    <n v="530"/>
    <n v="37491"/>
    <x v="1"/>
    <n v="0.19879999999999998"/>
    <x v="1"/>
    <s v="Mortgaged"/>
    <n v="26"/>
    <n v="2"/>
    <s v="No"/>
    <s v="Yes"/>
    <x v="1"/>
    <n v="64989"/>
    <x v="1161"/>
    <x v="76"/>
    <x v="871"/>
    <x v="1"/>
    <x v="0"/>
    <x v="2"/>
  </r>
  <r>
    <x v="1165"/>
    <s v="Jonathan Mendoza"/>
    <x v="32"/>
    <x v="0"/>
    <x v="3"/>
    <s v="PhD"/>
    <x v="3"/>
    <n v="44127"/>
    <n v="529"/>
    <n v="37843"/>
    <x v="1"/>
    <n v="0.16149999999999998"/>
    <x v="3"/>
    <s v="Mortgaged"/>
    <n v="10"/>
    <n v="4"/>
    <s v="No"/>
    <s v="No"/>
    <x v="3"/>
    <n v="95039"/>
    <x v="1162"/>
    <x v="79"/>
    <x v="872"/>
    <x v="0"/>
    <x v="0"/>
    <x v="2"/>
  </r>
  <r>
    <x v="1166"/>
    <s v="Natalie Hinton"/>
    <x v="12"/>
    <x v="0"/>
    <x v="0"/>
    <s v="Postgraduate"/>
    <x v="0"/>
    <n v="79180"/>
    <n v="529"/>
    <n v="45498"/>
    <x v="2"/>
    <n v="0.1598"/>
    <x v="5"/>
    <s v="Rented"/>
    <n v="11"/>
    <n v="1"/>
    <s v="Yes"/>
    <s v="Yes"/>
    <x v="3"/>
    <n v="11366"/>
    <x v="1163"/>
    <x v="74"/>
    <x v="692"/>
    <x v="0"/>
    <x v="0"/>
    <x v="2"/>
  </r>
  <r>
    <x v="1167"/>
    <s v="Mark Avila"/>
    <x v="40"/>
    <x v="0"/>
    <x v="0"/>
    <s v="High School"/>
    <x v="2"/>
    <n v="120417"/>
    <n v="529"/>
    <n v="37295"/>
    <x v="3"/>
    <n v="0.1467"/>
    <x v="2"/>
    <s v="Rented"/>
    <n v="10"/>
    <n v="0"/>
    <s v="No"/>
    <s v="No"/>
    <x v="3"/>
    <n v="157010"/>
    <x v="183"/>
    <x v="23"/>
    <x v="625"/>
    <x v="1"/>
    <x v="0"/>
    <x v="2"/>
  </r>
  <r>
    <x v="1168"/>
    <s v="Karen Little"/>
    <x v="6"/>
    <x v="0"/>
    <x v="0"/>
    <s v="High School"/>
    <x v="2"/>
    <n v="120848"/>
    <n v="529"/>
    <n v="4679"/>
    <x v="3"/>
    <n v="0.13570000000000002"/>
    <x v="4"/>
    <s v="Owned"/>
    <n v="11"/>
    <n v="4"/>
    <s v="Yes"/>
    <s v="Yes"/>
    <x v="4"/>
    <n v="147712"/>
    <x v="1164"/>
    <x v="50"/>
    <x v="583"/>
    <x v="0"/>
    <x v="0"/>
    <x v="2"/>
  </r>
  <r>
    <x v="1169"/>
    <s v="Hailey Lopez"/>
    <x v="35"/>
    <x v="1"/>
    <x v="0"/>
    <s v="Graduate"/>
    <x v="3"/>
    <n v="90601"/>
    <n v="528"/>
    <n v="33442"/>
    <x v="0"/>
    <n v="0.17710000000000001"/>
    <x v="4"/>
    <s v="Owned"/>
    <n v="18"/>
    <n v="3"/>
    <s v="Yes"/>
    <s v="No"/>
    <x v="3"/>
    <n v="47767"/>
    <x v="1165"/>
    <x v="59"/>
    <x v="873"/>
    <x v="0"/>
    <x v="0"/>
    <x v="2"/>
  </r>
  <r>
    <x v="1170"/>
    <s v="Diane King"/>
    <x v="9"/>
    <x v="0"/>
    <x v="2"/>
    <s v="PhD"/>
    <x v="2"/>
    <n v="93282"/>
    <n v="528"/>
    <n v="1634"/>
    <x v="0"/>
    <n v="0.13919999999999999"/>
    <x v="3"/>
    <s v="Rented"/>
    <n v="16"/>
    <n v="0"/>
    <s v="Yes"/>
    <s v="No"/>
    <x v="4"/>
    <n v="116909"/>
    <x v="1166"/>
    <x v="70"/>
    <x v="874"/>
    <x v="1"/>
    <x v="0"/>
    <x v="2"/>
  </r>
  <r>
    <x v="1171"/>
    <s v="Michael Mcconnell"/>
    <x v="12"/>
    <x v="0"/>
    <x v="2"/>
    <s v="PhD"/>
    <x v="0"/>
    <n v="116264"/>
    <n v="528"/>
    <n v="11355"/>
    <x v="1"/>
    <n v="0.15570000000000001"/>
    <x v="2"/>
    <s v="Mortgaged"/>
    <n v="20"/>
    <n v="2"/>
    <s v="Yes"/>
    <s v="No"/>
    <x v="0"/>
    <n v="101701"/>
    <x v="1167"/>
    <x v="20"/>
    <x v="19"/>
    <x v="1"/>
    <x v="0"/>
    <x v="2"/>
  </r>
  <r>
    <x v="1172"/>
    <s v="Danielle Cooper"/>
    <x v="35"/>
    <x v="0"/>
    <x v="1"/>
    <s v="High School"/>
    <x v="1"/>
    <n v="104664"/>
    <n v="528"/>
    <n v="22175"/>
    <x v="4"/>
    <n v="0.15439999999999998"/>
    <x v="5"/>
    <s v="Mortgaged"/>
    <n v="22"/>
    <n v="4"/>
    <s v="No"/>
    <s v="No"/>
    <x v="4"/>
    <n v="5243"/>
    <x v="1168"/>
    <x v="29"/>
    <x v="388"/>
    <x v="1"/>
    <x v="0"/>
    <x v="2"/>
  </r>
  <r>
    <x v="1173"/>
    <s v="Angela Ellison"/>
    <x v="19"/>
    <x v="1"/>
    <x v="0"/>
    <s v="High School"/>
    <x v="3"/>
    <n v="49825"/>
    <n v="528"/>
    <n v="13204"/>
    <x v="4"/>
    <n v="0.18179999999999999"/>
    <x v="5"/>
    <s v="Rented"/>
    <n v="2"/>
    <n v="1"/>
    <s v="No"/>
    <s v="No"/>
    <x v="2"/>
    <n v="108985"/>
    <x v="1169"/>
    <x v="69"/>
    <x v="623"/>
    <x v="0"/>
    <x v="1"/>
    <x v="2"/>
  </r>
  <r>
    <x v="1174"/>
    <s v="Brian Bentley"/>
    <x v="38"/>
    <x v="1"/>
    <x v="0"/>
    <s v="PhD"/>
    <x v="2"/>
    <n v="127585"/>
    <n v="528"/>
    <n v="22303"/>
    <x v="2"/>
    <n v="0.13009999999999999"/>
    <x v="1"/>
    <s v="Owned"/>
    <n v="23"/>
    <n v="1"/>
    <s v="Yes"/>
    <s v="No"/>
    <x v="4"/>
    <n v="89543"/>
    <x v="1170"/>
    <x v="29"/>
    <x v="670"/>
    <x v="0"/>
    <x v="1"/>
    <x v="2"/>
  </r>
  <r>
    <x v="1175"/>
    <s v="Deborah Hoffman"/>
    <x v="3"/>
    <x v="0"/>
    <x v="1"/>
    <s v="Graduate"/>
    <x v="2"/>
    <n v="23232"/>
    <n v="528"/>
    <n v="24580"/>
    <x v="4"/>
    <n v="6.6900000000000001E-2"/>
    <x v="0"/>
    <s v="Owned"/>
    <n v="28"/>
    <n v="3"/>
    <s v="No"/>
    <s v="No"/>
    <x v="0"/>
    <n v="184658"/>
    <x v="1171"/>
    <x v="28"/>
    <x v="875"/>
    <x v="0"/>
    <x v="0"/>
    <x v="2"/>
  </r>
  <r>
    <x v="1176"/>
    <s v="Nathan Carter"/>
    <x v="27"/>
    <x v="1"/>
    <x v="2"/>
    <s v="Graduate"/>
    <x v="2"/>
    <n v="40316"/>
    <n v="527"/>
    <n v="30263"/>
    <x v="1"/>
    <n v="0.18969999999999998"/>
    <x v="2"/>
    <s v="Mortgaged"/>
    <n v="6"/>
    <n v="2"/>
    <s v="No"/>
    <s v="Yes"/>
    <x v="1"/>
    <n v="167647"/>
    <x v="1172"/>
    <x v="46"/>
    <x v="500"/>
    <x v="0"/>
    <x v="0"/>
    <x v="2"/>
  </r>
  <r>
    <x v="1177"/>
    <s v="Kimberly Villegas"/>
    <x v="27"/>
    <x v="0"/>
    <x v="1"/>
    <s v="Postgraduate"/>
    <x v="3"/>
    <n v="129545"/>
    <n v="527"/>
    <n v="18563"/>
    <x v="3"/>
    <n v="0.1709"/>
    <x v="4"/>
    <s v="Owned"/>
    <n v="26"/>
    <n v="2"/>
    <s v="No"/>
    <s v="No"/>
    <x v="3"/>
    <n v="107041"/>
    <x v="1173"/>
    <x v="45"/>
    <x v="876"/>
    <x v="0"/>
    <x v="0"/>
    <x v="2"/>
  </r>
  <r>
    <x v="1178"/>
    <s v="Sean Rodriguez"/>
    <x v="27"/>
    <x v="0"/>
    <x v="2"/>
    <s v="PhD"/>
    <x v="0"/>
    <n v="112103"/>
    <n v="527"/>
    <n v="7406"/>
    <x v="3"/>
    <n v="0.16440000000000002"/>
    <x v="5"/>
    <s v="Owned"/>
    <n v="24"/>
    <n v="4"/>
    <s v="Yes"/>
    <s v="Yes"/>
    <x v="4"/>
    <n v="157968"/>
    <x v="1174"/>
    <x v="76"/>
    <x v="877"/>
    <x v="0"/>
    <x v="0"/>
    <x v="2"/>
  </r>
  <r>
    <x v="1179"/>
    <s v="Michael Lucas"/>
    <x v="12"/>
    <x v="1"/>
    <x v="0"/>
    <s v="Postgraduate"/>
    <x v="0"/>
    <n v="129346"/>
    <n v="527"/>
    <n v="38981"/>
    <x v="1"/>
    <n v="6.4899999999999999E-2"/>
    <x v="2"/>
    <s v="Owned"/>
    <n v="4"/>
    <n v="3"/>
    <s v="Yes"/>
    <s v="Yes"/>
    <x v="0"/>
    <n v="52464"/>
    <x v="1175"/>
    <x v="42"/>
    <x v="115"/>
    <x v="0"/>
    <x v="0"/>
    <x v="2"/>
  </r>
  <r>
    <x v="1180"/>
    <s v="Derrick Beard"/>
    <x v="33"/>
    <x v="0"/>
    <x v="1"/>
    <s v="High School"/>
    <x v="0"/>
    <n v="119174"/>
    <n v="526"/>
    <n v="45036"/>
    <x v="0"/>
    <n v="6.93E-2"/>
    <x v="1"/>
    <s v="Mortgaged"/>
    <n v="20"/>
    <n v="0"/>
    <s v="No"/>
    <s v="Yes"/>
    <x v="1"/>
    <n v="130025"/>
    <x v="1176"/>
    <x v="73"/>
    <x v="878"/>
    <x v="0"/>
    <x v="0"/>
    <x v="2"/>
  </r>
  <r>
    <x v="1181"/>
    <s v="Bruce Wilson"/>
    <x v="22"/>
    <x v="1"/>
    <x v="1"/>
    <s v="Postgraduate"/>
    <x v="1"/>
    <n v="147560"/>
    <n v="526"/>
    <n v="40028"/>
    <x v="3"/>
    <n v="0.159"/>
    <x v="5"/>
    <s v="Owned"/>
    <n v="18"/>
    <n v="1"/>
    <s v="No"/>
    <s v="No"/>
    <x v="3"/>
    <n v="50737"/>
    <x v="1177"/>
    <x v="8"/>
    <x v="727"/>
    <x v="1"/>
    <x v="0"/>
    <x v="2"/>
  </r>
  <r>
    <x v="1182"/>
    <s v="Nathaniel Cochran"/>
    <x v="26"/>
    <x v="1"/>
    <x v="1"/>
    <s v="Postgraduate"/>
    <x v="1"/>
    <n v="128306"/>
    <n v="526"/>
    <n v="14515"/>
    <x v="1"/>
    <n v="0.1109"/>
    <x v="3"/>
    <s v="Owned"/>
    <n v="3"/>
    <n v="0"/>
    <s v="Yes"/>
    <s v="Yes"/>
    <x v="3"/>
    <n v="157525"/>
    <x v="1178"/>
    <x v="59"/>
    <x v="879"/>
    <x v="1"/>
    <x v="1"/>
    <x v="2"/>
  </r>
  <r>
    <x v="1183"/>
    <s v="Danny Smith"/>
    <x v="32"/>
    <x v="0"/>
    <x v="0"/>
    <s v="High School"/>
    <x v="0"/>
    <n v="39641"/>
    <n v="525"/>
    <n v="39057"/>
    <x v="4"/>
    <n v="8.9700000000000002E-2"/>
    <x v="0"/>
    <s v="Mortgaged"/>
    <n v="10"/>
    <n v="1"/>
    <s v="Yes"/>
    <s v="Yes"/>
    <x v="4"/>
    <n v="73917"/>
    <x v="1179"/>
    <x v="3"/>
    <x v="739"/>
    <x v="1"/>
    <x v="0"/>
    <x v="2"/>
  </r>
  <r>
    <x v="1184"/>
    <s v="Colleen Harvey"/>
    <x v="14"/>
    <x v="1"/>
    <x v="1"/>
    <s v="Postgraduate"/>
    <x v="1"/>
    <n v="68893"/>
    <n v="525"/>
    <n v="3459"/>
    <x v="2"/>
    <n v="0.1148"/>
    <x v="0"/>
    <s v="Owned"/>
    <n v="17"/>
    <n v="0"/>
    <s v="Yes"/>
    <s v="No"/>
    <x v="3"/>
    <n v="54929"/>
    <x v="1180"/>
    <x v="42"/>
    <x v="545"/>
    <x v="1"/>
    <x v="1"/>
    <x v="2"/>
  </r>
  <r>
    <x v="1185"/>
    <s v="Bob Hunter"/>
    <x v="24"/>
    <x v="0"/>
    <x v="1"/>
    <s v="PhD"/>
    <x v="3"/>
    <n v="95039"/>
    <n v="525"/>
    <n v="43607"/>
    <x v="1"/>
    <n v="6.2800000000000009E-2"/>
    <x v="4"/>
    <s v="Rented"/>
    <n v="13"/>
    <n v="2"/>
    <s v="Yes"/>
    <s v="Yes"/>
    <x v="4"/>
    <n v="160412"/>
    <x v="1181"/>
    <x v="70"/>
    <x v="661"/>
    <x v="0"/>
    <x v="1"/>
    <x v="2"/>
  </r>
  <r>
    <x v="1186"/>
    <s v="Kathryn Zimmerman"/>
    <x v="14"/>
    <x v="0"/>
    <x v="3"/>
    <s v="High School"/>
    <x v="0"/>
    <n v="33334"/>
    <n v="525"/>
    <n v="36191"/>
    <x v="1"/>
    <n v="0.15090000000000001"/>
    <x v="5"/>
    <s v="Mortgaged"/>
    <n v="1"/>
    <n v="0"/>
    <s v="No"/>
    <s v="No"/>
    <x v="1"/>
    <n v="72853"/>
    <x v="1182"/>
    <x v="50"/>
    <x v="778"/>
    <x v="0"/>
    <x v="0"/>
    <x v="2"/>
  </r>
  <r>
    <x v="1187"/>
    <s v="Grant Smith"/>
    <x v="31"/>
    <x v="1"/>
    <x v="3"/>
    <s v="Postgraduate"/>
    <x v="0"/>
    <n v="81030"/>
    <n v="524"/>
    <n v="21012"/>
    <x v="4"/>
    <n v="0.14510000000000001"/>
    <x v="4"/>
    <s v="Mortgaged"/>
    <n v="10"/>
    <n v="2"/>
    <s v="Yes"/>
    <s v="No"/>
    <x v="2"/>
    <n v="17740"/>
    <x v="1183"/>
    <x v="88"/>
    <x v="256"/>
    <x v="0"/>
    <x v="0"/>
    <x v="2"/>
  </r>
  <r>
    <x v="1188"/>
    <s v="Adrian Elliott"/>
    <x v="8"/>
    <x v="0"/>
    <x v="0"/>
    <s v="Graduate"/>
    <x v="2"/>
    <n v="67636"/>
    <n v="524"/>
    <n v="6430"/>
    <x v="2"/>
    <n v="8.2400000000000001E-2"/>
    <x v="4"/>
    <s v="Rented"/>
    <n v="22"/>
    <n v="4"/>
    <s v="Yes"/>
    <s v="Yes"/>
    <x v="1"/>
    <n v="61110"/>
    <x v="1184"/>
    <x v="12"/>
    <x v="880"/>
    <x v="0"/>
    <x v="1"/>
    <x v="2"/>
  </r>
  <r>
    <x v="1189"/>
    <s v="Ellen Flores"/>
    <x v="41"/>
    <x v="1"/>
    <x v="3"/>
    <s v="Graduate"/>
    <x v="0"/>
    <n v="46811"/>
    <n v="524"/>
    <n v="10596"/>
    <x v="4"/>
    <n v="0.1618"/>
    <x v="3"/>
    <s v="Mortgaged"/>
    <n v="7"/>
    <n v="3"/>
    <s v="Yes"/>
    <s v="Yes"/>
    <x v="3"/>
    <n v="16347"/>
    <x v="1185"/>
    <x v="65"/>
    <x v="666"/>
    <x v="1"/>
    <x v="0"/>
    <x v="2"/>
  </r>
  <r>
    <x v="1190"/>
    <s v="Brenda Clayton"/>
    <x v="29"/>
    <x v="1"/>
    <x v="0"/>
    <s v="PhD"/>
    <x v="0"/>
    <n v="106669"/>
    <n v="524"/>
    <n v="40986"/>
    <x v="0"/>
    <n v="0.15990000000000001"/>
    <x v="3"/>
    <s v="Owned"/>
    <n v="5"/>
    <n v="3"/>
    <s v="Yes"/>
    <s v="Yes"/>
    <x v="2"/>
    <n v="52754"/>
    <x v="1186"/>
    <x v="64"/>
    <x v="881"/>
    <x v="1"/>
    <x v="0"/>
    <x v="2"/>
  </r>
  <r>
    <x v="1191"/>
    <s v="Haley Ritter"/>
    <x v="16"/>
    <x v="1"/>
    <x v="0"/>
    <s v="PhD"/>
    <x v="3"/>
    <n v="80740"/>
    <n v="523"/>
    <n v="14136"/>
    <x v="4"/>
    <n v="0.1678"/>
    <x v="5"/>
    <s v="Mortgaged"/>
    <n v="18"/>
    <n v="3"/>
    <s v="No"/>
    <s v="No"/>
    <x v="2"/>
    <n v="98235"/>
    <x v="1187"/>
    <x v="40"/>
    <x v="63"/>
    <x v="1"/>
    <x v="0"/>
    <x v="2"/>
  </r>
  <r>
    <x v="1192"/>
    <s v="Samantha Warner"/>
    <x v="33"/>
    <x v="1"/>
    <x v="2"/>
    <s v="PhD"/>
    <x v="2"/>
    <n v="74225"/>
    <n v="522"/>
    <n v="19727"/>
    <x v="3"/>
    <n v="0.11449999999999999"/>
    <x v="4"/>
    <s v="Mortgaged"/>
    <n v="18"/>
    <n v="0"/>
    <s v="No"/>
    <s v="No"/>
    <x v="1"/>
    <n v="190672"/>
    <x v="1188"/>
    <x v="34"/>
    <x v="882"/>
    <x v="0"/>
    <x v="0"/>
    <x v="2"/>
  </r>
  <r>
    <x v="1193"/>
    <s v="Andres Hines"/>
    <x v="28"/>
    <x v="0"/>
    <x v="1"/>
    <s v="PhD"/>
    <x v="2"/>
    <n v="139773"/>
    <n v="522"/>
    <n v="3019"/>
    <x v="4"/>
    <n v="6.6100000000000006E-2"/>
    <x v="4"/>
    <s v="Owned"/>
    <n v="23"/>
    <n v="0"/>
    <s v="Yes"/>
    <s v="Yes"/>
    <x v="0"/>
    <n v="1921"/>
    <x v="1189"/>
    <x v="47"/>
    <x v="870"/>
    <x v="1"/>
    <x v="1"/>
    <x v="2"/>
  </r>
  <r>
    <x v="1194"/>
    <s v="Sara Wheeler"/>
    <x v="42"/>
    <x v="1"/>
    <x v="3"/>
    <s v="High School"/>
    <x v="2"/>
    <n v="56113"/>
    <n v="522"/>
    <n v="36399"/>
    <x v="0"/>
    <n v="0.1628"/>
    <x v="4"/>
    <s v="Owned"/>
    <n v="1"/>
    <n v="3"/>
    <s v="Yes"/>
    <s v="No"/>
    <x v="1"/>
    <n v="70264"/>
    <x v="1190"/>
    <x v="66"/>
    <x v="883"/>
    <x v="0"/>
    <x v="0"/>
    <x v="2"/>
  </r>
  <r>
    <x v="1195"/>
    <s v="Randall Rios"/>
    <x v="27"/>
    <x v="1"/>
    <x v="0"/>
    <s v="PhD"/>
    <x v="0"/>
    <n v="20767"/>
    <n v="521"/>
    <n v="8432"/>
    <x v="1"/>
    <n v="0.11019999999999999"/>
    <x v="3"/>
    <s v="Mortgaged"/>
    <n v="10"/>
    <n v="3"/>
    <s v="No"/>
    <s v="No"/>
    <x v="0"/>
    <n v="169623"/>
    <x v="1191"/>
    <x v="8"/>
    <x v="371"/>
    <x v="1"/>
    <x v="0"/>
    <x v="2"/>
  </r>
  <r>
    <x v="1196"/>
    <s v="Sabrina Lawrence"/>
    <x v="21"/>
    <x v="1"/>
    <x v="3"/>
    <s v="Graduate"/>
    <x v="1"/>
    <n v="141690"/>
    <n v="521"/>
    <n v="40107"/>
    <x v="0"/>
    <n v="6.2400000000000004E-2"/>
    <x v="4"/>
    <s v="Rented"/>
    <n v="24"/>
    <n v="4"/>
    <s v="Yes"/>
    <s v="Yes"/>
    <x v="3"/>
    <n v="60521"/>
    <x v="1192"/>
    <x v="65"/>
    <x v="861"/>
    <x v="0"/>
    <x v="0"/>
    <x v="2"/>
  </r>
  <r>
    <x v="1197"/>
    <s v="Samantha Barber"/>
    <x v="14"/>
    <x v="1"/>
    <x v="3"/>
    <s v="Postgraduate"/>
    <x v="0"/>
    <n v="50974"/>
    <n v="520"/>
    <n v="35948"/>
    <x v="4"/>
    <n v="0.15620000000000001"/>
    <x v="4"/>
    <s v="Owned"/>
    <n v="1"/>
    <n v="2"/>
    <s v="Yes"/>
    <s v="Yes"/>
    <x v="0"/>
    <n v="8292"/>
    <x v="1193"/>
    <x v="58"/>
    <x v="348"/>
    <x v="1"/>
    <x v="1"/>
    <x v="2"/>
  </r>
  <r>
    <x v="1198"/>
    <s v="Erica Smith"/>
    <x v="40"/>
    <x v="0"/>
    <x v="2"/>
    <s v="Graduate"/>
    <x v="0"/>
    <n v="27856"/>
    <n v="520"/>
    <n v="43255"/>
    <x v="0"/>
    <n v="5.0199999999999995E-2"/>
    <x v="1"/>
    <s v="Mortgaged"/>
    <n v="4"/>
    <n v="1"/>
    <s v="Yes"/>
    <s v="Yes"/>
    <x v="0"/>
    <n v="198063"/>
    <x v="1194"/>
    <x v="10"/>
    <x v="884"/>
    <x v="1"/>
    <x v="0"/>
    <x v="2"/>
  </r>
  <r>
    <x v="1199"/>
    <s v="Laura Gonzalez"/>
    <x v="31"/>
    <x v="0"/>
    <x v="0"/>
    <s v="High School"/>
    <x v="2"/>
    <n v="58192"/>
    <n v="520"/>
    <n v="25070"/>
    <x v="1"/>
    <n v="0.1188"/>
    <x v="1"/>
    <s v="Owned"/>
    <n v="26"/>
    <n v="3"/>
    <s v="Yes"/>
    <s v="No"/>
    <x v="4"/>
    <n v="64784"/>
    <x v="1195"/>
    <x v="85"/>
    <x v="651"/>
    <x v="1"/>
    <x v="0"/>
    <x v="2"/>
  </r>
  <r>
    <x v="1200"/>
    <s v="Logan Delacruz"/>
    <x v="32"/>
    <x v="1"/>
    <x v="2"/>
    <s v="High School"/>
    <x v="0"/>
    <n v="36608"/>
    <n v="520"/>
    <n v="38372"/>
    <x v="4"/>
    <n v="6.8099999999999994E-2"/>
    <x v="5"/>
    <s v="Owned"/>
    <n v="22"/>
    <n v="0"/>
    <s v="Yes"/>
    <s v="No"/>
    <x v="3"/>
    <n v="121563"/>
    <x v="1196"/>
    <x v="44"/>
    <x v="885"/>
    <x v="0"/>
    <x v="1"/>
    <x v="2"/>
  </r>
  <r>
    <x v="1201"/>
    <s v="Shirley Smith"/>
    <x v="9"/>
    <x v="1"/>
    <x v="2"/>
    <s v="PhD"/>
    <x v="0"/>
    <n v="87359"/>
    <n v="520"/>
    <n v="18570"/>
    <x v="3"/>
    <n v="0.18820000000000001"/>
    <x v="4"/>
    <s v="Mortgaged"/>
    <n v="12"/>
    <n v="1"/>
    <s v="Yes"/>
    <s v="Yes"/>
    <x v="3"/>
    <n v="130180"/>
    <x v="1197"/>
    <x v="34"/>
    <x v="886"/>
    <x v="1"/>
    <x v="0"/>
    <x v="2"/>
  </r>
  <r>
    <x v="1202"/>
    <s v="Richard Shaw"/>
    <x v="8"/>
    <x v="1"/>
    <x v="0"/>
    <s v="High School"/>
    <x v="2"/>
    <n v="121026"/>
    <n v="520"/>
    <n v="49704"/>
    <x v="4"/>
    <n v="0.11220000000000001"/>
    <x v="3"/>
    <s v="Owned"/>
    <n v="24"/>
    <n v="2"/>
    <s v="No"/>
    <s v="Yes"/>
    <x v="3"/>
    <n v="187541"/>
    <x v="1198"/>
    <x v="64"/>
    <x v="887"/>
    <x v="1"/>
    <x v="0"/>
    <x v="2"/>
  </r>
  <r>
    <x v="1203"/>
    <s v="Jennifer Bautista"/>
    <x v="1"/>
    <x v="1"/>
    <x v="1"/>
    <s v="High School"/>
    <x v="3"/>
    <n v="30292"/>
    <n v="520"/>
    <n v="26685"/>
    <x v="0"/>
    <n v="6.5099999999999991E-2"/>
    <x v="5"/>
    <s v="Rented"/>
    <n v="10"/>
    <n v="4"/>
    <s v="No"/>
    <s v="Yes"/>
    <x v="2"/>
    <n v="11204"/>
    <x v="1199"/>
    <x v="32"/>
    <x v="888"/>
    <x v="1"/>
    <x v="0"/>
    <x v="2"/>
  </r>
  <r>
    <x v="1204"/>
    <s v="Joseph Nichols"/>
    <x v="5"/>
    <x v="1"/>
    <x v="0"/>
    <s v="PhD"/>
    <x v="0"/>
    <n v="146695"/>
    <n v="520"/>
    <n v="6506"/>
    <x v="2"/>
    <n v="0.15140000000000001"/>
    <x v="2"/>
    <s v="Owned"/>
    <n v="18"/>
    <n v="0"/>
    <s v="No"/>
    <s v="Yes"/>
    <x v="0"/>
    <n v="187326"/>
    <x v="1200"/>
    <x v="77"/>
    <x v="889"/>
    <x v="0"/>
    <x v="0"/>
    <x v="2"/>
  </r>
  <r>
    <x v="1205"/>
    <s v="Michael Boyle"/>
    <x v="31"/>
    <x v="0"/>
    <x v="2"/>
    <s v="PhD"/>
    <x v="1"/>
    <n v="27435"/>
    <n v="519"/>
    <n v="26105"/>
    <x v="2"/>
    <n v="0.1137"/>
    <x v="1"/>
    <s v="Mortgaged"/>
    <n v="5"/>
    <n v="1"/>
    <s v="Yes"/>
    <s v="No"/>
    <x v="4"/>
    <n v="142059"/>
    <x v="1201"/>
    <x v="38"/>
    <x v="495"/>
    <x v="1"/>
    <x v="0"/>
    <x v="2"/>
  </r>
  <r>
    <x v="1206"/>
    <s v="Kimberly Chan"/>
    <x v="7"/>
    <x v="0"/>
    <x v="2"/>
    <s v="Postgraduate"/>
    <x v="3"/>
    <n v="135652"/>
    <n v="518"/>
    <n v="26360"/>
    <x v="2"/>
    <n v="7.51E-2"/>
    <x v="2"/>
    <s v="Rented"/>
    <n v="14"/>
    <n v="1"/>
    <s v="Yes"/>
    <s v="Yes"/>
    <x v="3"/>
    <n v="139585"/>
    <x v="1202"/>
    <x v="53"/>
    <x v="420"/>
    <x v="1"/>
    <x v="0"/>
    <x v="2"/>
  </r>
  <r>
    <x v="1207"/>
    <s v="John Jackson"/>
    <x v="28"/>
    <x v="0"/>
    <x v="0"/>
    <s v="High School"/>
    <x v="3"/>
    <n v="136041"/>
    <n v="517"/>
    <n v="12920"/>
    <x v="2"/>
    <n v="0.15109999999999998"/>
    <x v="3"/>
    <s v="Mortgaged"/>
    <n v="24"/>
    <n v="4"/>
    <s v="No"/>
    <s v="Yes"/>
    <x v="0"/>
    <n v="5156"/>
    <x v="1203"/>
    <x v="14"/>
    <x v="424"/>
    <x v="0"/>
    <x v="0"/>
    <x v="2"/>
  </r>
  <r>
    <x v="1208"/>
    <s v="Taylor Perry"/>
    <x v="16"/>
    <x v="1"/>
    <x v="2"/>
    <s v="High School"/>
    <x v="3"/>
    <n v="77851"/>
    <n v="517"/>
    <n v="6487"/>
    <x v="3"/>
    <n v="0.1202"/>
    <x v="3"/>
    <s v="Mortgaged"/>
    <n v="2"/>
    <n v="2"/>
    <s v="No"/>
    <s v="No"/>
    <x v="3"/>
    <n v="11684"/>
    <x v="1204"/>
    <x v="62"/>
    <x v="890"/>
    <x v="1"/>
    <x v="0"/>
    <x v="2"/>
  </r>
  <r>
    <x v="1209"/>
    <s v="David Fowler"/>
    <x v="25"/>
    <x v="1"/>
    <x v="3"/>
    <s v="PhD"/>
    <x v="2"/>
    <n v="77894"/>
    <n v="517"/>
    <n v="12158"/>
    <x v="3"/>
    <n v="0.19550000000000001"/>
    <x v="0"/>
    <s v="Owned"/>
    <n v="12"/>
    <n v="3"/>
    <s v="Yes"/>
    <s v="Yes"/>
    <x v="2"/>
    <n v="103144"/>
    <x v="1205"/>
    <x v="76"/>
    <x v="614"/>
    <x v="0"/>
    <x v="0"/>
    <x v="2"/>
  </r>
  <r>
    <x v="1210"/>
    <s v="Andres Jimenez"/>
    <x v="7"/>
    <x v="1"/>
    <x v="3"/>
    <s v="High School"/>
    <x v="2"/>
    <n v="139324"/>
    <n v="517"/>
    <n v="41253"/>
    <x v="2"/>
    <n v="0.15820000000000001"/>
    <x v="1"/>
    <s v="Rented"/>
    <n v="29"/>
    <n v="3"/>
    <s v="Yes"/>
    <s v="No"/>
    <x v="4"/>
    <n v="133770"/>
    <x v="1206"/>
    <x v="83"/>
    <x v="686"/>
    <x v="1"/>
    <x v="1"/>
    <x v="2"/>
  </r>
  <r>
    <x v="1211"/>
    <s v="William Gay"/>
    <x v="4"/>
    <x v="1"/>
    <x v="0"/>
    <s v="PhD"/>
    <x v="1"/>
    <n v="129419"/>
    <n v="517"/>
    <n v="44555"/>
    <x v="2"/>
    <n v="9.9399999999999988E-2"/>
    <x v="4"/>
    <s v="Mortgaged"/>
    <n v="27"/>
    <n v="4"/>
    <s v="No"/>
    <s v="No"/>
    <x v="0"/>
    <n v="65509"/>
    <x v="1207"/>
    <x v="25"/>
    <x v="891"/>
    <x v="0"/>
    <x v="0"/>
    <x v="2"/>
  </r>
  <r>
    <x v="1212"/>
    <s v="James Oconnor"/>
    <x v="43"/>
    <x v="0"/>
    <x v="0"/>
    <s v="High School"/>
    <x v="2"/>
    <n v="29969"/>
    <n v="516"/>
    <n v="7021"/>
    <x v="3"/>
    <n v="0.13300000000000001"/>
    <x v="5"/>
    <s v="Mortgaged"/>
    <n v="26"/>
    <n v="3"/>
    <s v="No"/>
    <s v="Yes"/>
    <x v="3"/>
    <n v="145277"/>
    <x v="1208"/>
    <x v="34"/>
    <x v="892"/>
    <x v="0"/>
    <x v="1"/>
    <x v="2"/>
  </r>
  <r>
    <x v="1213"/>
    <s v="Tonya Diaz"/>
    <x v="39"/>
    <x v="1"/>
    <x v="1"/>
    <s v="Graduate"/>
    <x v="0"/>
    <n v="59339"/>
    <n v="516"/>
    <n v="9559"/>
    <x v="3"/>
    <n v="0.1421"/>
    <x v="0"/>
    <s v="Rented"/>
    <n v="10"/>
    <n v="4"/>
    <s v="No"/>
    <s v="No"/>
    <x v="4"/>
    <n v="6878"/>
    <x v="1209"/>
    <x v="89"/>
    <x v="148"/>
    <x v="1"/>
    <x v="0"/>
    <x v="2"/>
  </r>
  <r>
    <x v="1214"/>
    <s v="Brianna Blake"/>
    <x v="33"/>
    <x v="0"/>
    <x v="0"/>
    <s v="Graduate"/>
    <x v="1"/>
    <n v="107421"/>
    <n v="516"/>
    <n v="13460"/>
    <x v="3"/>
    <n v="0.19489999999999999"/>
    <x v="5"/>
    <s v="Owned"/>
    <n v="29"/>
    <n v="0"/>
    <s v="No"/>
    <s v="No"/>
    <x v="1"/>
    <n v="93605"/>
    <x v="1210"/>
    <x v="7"/>
    <x v="893"/>
    <x v="1"/>
    <x v="0"/>
    <x v="2"/>
  </r>
  <r>
    <x v="1215"/>
    <s v="Raymond Martin"/>
    <x v="42"/>
    <x v="1"/>
    <x v="0"/>
    <s v="PhD"/>
    <x v="3"/>
    <n v="116058"/>
    <n v="515"/>
    <n v="4676"/>
    <x v="1"/>
    <n v="0.1033"/>
    <x v="0"/>
    <s v="Rented"/>
    <n v="6"/>
    <n v="3"/>
    <s v="Yes"/>
    <s v="No"/>
    <x v="1"/>
    <n v="150878"/>
    <x v="1211"/>
    <x v="43"/>
    <x v="894"/>
    <x v="1"/>
    <x v="0"/>
    <x v="2"/>
  </r>
  <r>
    <x v="1216"/>
    <s v="Alex Hayden"/>
    <x v="43"/>
    <x v="1"/>
    <x v="1"/>
    <s v="High School"/>
    <x v="3"/>
    <n v="36939"/>
    <n v="515"/>
    <n v="37534"/>
    <x v="1"/>
    <n v="0.14749999999999999"/>
    <x v="4"/>
    <s v="Mortgaged"/>
    <n v="10"/>
    <n v="3"/>
    <s v="Yes"/>
    <s v="Yes"/>
    <x v="0"/>
    <n v="143103"/>
    <x v="1212"/>
    <x v="0"/>
    <x v="223"/>
    <x v="0"/>
    <x v="0"/>
    <x v="2"/>
  </r>
  <r>
    <x v="1217"/>
    <s v="Shawn Fischer"/>
    <x v="43"/>
    <x v="0"/>
    <x v="1"/>
    <s v="PhD"/>
    <x v="2"/>
    <n v="68113"/>
    <n v="515"/>
    <n v="2454"/>
    <x v="2"/>
    <n v="0.18940000000000001"/>
    <x v="1"/>
    <s v="Rented"/>
    <n v="25"/>
    <n v="0"/>
    <s v="Yes"/>
    <s v="Yes"/>
    <x v="1"/>
    <n v="26025"/>
    <x v="1213"/>
    <x v="84"/>
    <x v="895"/>
    <x v="0"/>
    <x v="0"/>
    <x v="2"/>
  </r>
  <r>
    <x v="1218"/>
    <s v="Carolyn Mckinney"/>
    <x v="18"/>
    <x v="0"/>
    <x v="2"/>
    <s v="Postgraduate"/>
    <x v="0"/>
    <n v="83370"/>
    <n v="514"/>
    <n v="30265"/>
    <x v="4"/>
    <n v="5.8200000000000002E-2"/>
    <x v="2"/>
    <s v="Rented"/>
    <n v="26"/>
    <n v="3"/>
    <s v="Yes"/>
    <s v="Yes"/>
    <x v="4"/>
    <n v="118624"/>
    <x v="1214"/>
    <x v="0"/>
    <x v="547"/>
    <x v="0"/>
    <x v="0"/>
    <x v="2"/>
  </r>
  <r>
    <x v="1219"/>
    <s v="Anthony Turner"/>
    <x v="7"/>
    <x v="0"/>
    <x v="3"/>
    <s v="PhD"/>
    <x v="0"/>
    <n v="92233"/>
    <n v="514"/>
    <n v="25028"/>
    <x v="4"/>
    <n v="7.9000000000000001E-2"/>
    <x v="0"/>
    <s v="Mortgaged"/>
    <n v="26"/>
    <n v="0"/>
    <s v="Yes"/>
    <s v="No"/>
    <x v="2"/>
    <n v="153972"/>
    <x v="1215"/>
    <x v="86"/>
    <x v="896"/>
    <x v="0"/>
    <x v="0"/>
    <x v="2"/>
  </r>
  <r>
    <x v="1220"/>
    <s v="Sara York"/>
    <x v="24"/>
    <x v="1"/>
    <x v="1"/>
    <s v="PhD"/>
    <x v="2"/>
    <n v="132196"/>
    <n v="514"/>
    <n v="2903"/>
    <x v="4"/>
    <n v="0.18109999999999998"/>
    <x v="5"/>
    <s v="Owned"/>
    <n v="12"/>
    <n v="2"/>
    <s v="Yes"/>
    <s v="Yes"/>
    <x v="3"/>
    <n v="81580"/>
    <x v="1216"/>
    <x v="22"/>
    <x v="897"/>
    <x v="1"/>
    <x v="0"/>
    <x v="2"/>
  </r>
  <r>
    <x v="1221"/>
    <s v="Maureen Young"/>
    <x v="33"/>
    <x v="1"/>
    <x v="2"/>
    <s v="Graduate"/>
    <x v="0"/>
    <n v="29472"/>
    <n v="513"/>
    <n v="8210"/>
    <x v="1"/>
    <n v="6.1600000000000002E-2"/>
    <x v="3"/>
    <s v="Owned"/>
    <n v="11"/>
    <n v="1"/>
    <s v="No"/>
    <s v="No"/>
    <x v="3"/>
    <n v="110041"/>
    <x v="1217"/>
    <x v="83"/>
    <x v="898"/>
    <x v="0"/>
    <x v="0"/>
    <x v="2"/>
  </r>
  <r>
    <x v="1222"/>
    <s v="Benjamin Vaughn"/>
    <x v="31"/>
    <x v="1"/>
    <x v="1"/>
    <s v="High School"/>
    <x v="3"/>
    <n v="26794"/>
    <n v="513"/>
    <n v="3366"/>
    <x v="1"/>
    <n v="7.5300000000000006E-2"/>
    <x v="4"/>
    <s v="Mortgaged"/>
    <n v="11"/>
    <n v="0"/>
    <s v="Yes"/>
    <s v="No"/>
    <x v="3"/>
    <n v="60044"/>
    <x v="1218"/>
    <x v="31"/>
    <x v="899"/>
    <x v="1"/>
    <x v="1"/>
    <x v="2"/>
  </r>
  <r>
    <x v="1223"/>
    <s v="Miss Danielle Phillips"/>
    <x v="31"/>
    <x v="0"/>
    <x v="2"/>
    <s v="Graduate"/>
    <x v="3"/>
    <n v="63005"/>
    <n v="513"/>
    <n v="8549"/>
    <x v="0"/>
    <n v="0.1321"/>
    <x v="1"/>
    <s v="Mortgaged"/>
    <n v="29"/>
    <n v="3"/>
    <s v="Yes"/>
    <s v="Yes"/>
    <x v="1"/>
    <n v="174941"/>
    <x v="1219"/>
    <x v="1"/>
    <x v="472"/>
    <x v="1"/>
    <x v="1"/>
    <x v="2"/>
  </r>
  <r>
    <x v="1224"/>
    <s v="Anna Jones"/>
    <x v="4"/>
    <x v="0"/>
    <x v="2"/>
    <s v="Postgraduate"/>
    <x v="3"/>
    <n v="79412"/>
    <n v="512"/>
    <n v="23063"/>
    <x v="1"/>
    <n v="0.1003"/>
    <x v="4"/>
    <s v="Mortgaged"/>
    <n v="6"/>
    <n v="2"/>
    <s v="Yes"/>
    <s v="No"/>
    <x v="3"/>
    <n v="92465"/>
    <x v="1220"/>
    <x v="59"/>
    <x v="374"/>
    <x v="0"/>
    <x v="0"/>
    <x v="2"/>
  </r>
  <r>
    <x v="1225"/>
    <s v="Angel Reynolds"/>
    <x v="18"/>
    <x v="0"/>
    <x v="3"/>
    <s v="Postgraduate"/>
    <x v="2"/>
    <n v="71360"/>
    <n v="512"/>
    <n v="16957"/>
    <x v="0"/>
    <n v="0.18059999999999998"/>
    <x v="4"/>
    <s v="Mortgaged"/>
    <n v="23"/>
    <n v="4"/>
    <s v="No"/>
    <s v="No"/>
    <x v="1"/>
    <n v="53165"/>
    <x v="1221"/>
    <x v="72"/>
    <x v="644"/>
    <x v="1"/>
    <x v="0"/>
    <x v="2"/>
  </r>
  <r>
    <x v="1226"/>
    <s v="Todd Wood"/>
    <x v="22"/>
    <x v="0"/>
    <x v="2"/>
    <s v="High School"/>
    <x v="3"/>
    <n v="127112"/>
    <n v="512"/>
    <n v="34593"/>
    <x v="0"/>
    <n v="0.13119999999999998"/>
    <x v="5"/>
    <s v="Mortgaged"/>
    <n v="15"/>
    <n v="4"/>
    <s v="Yes"/>
    <s v="No"/>
    <x v="2"/>
    <n v="47686"/>
    <x v="1222"/>
    <x v="22"/>
    <x v="305"/>
    <x v="0"/>
    <x v="0"/>
    <x v="2"/>
  </r>
  <r>
    <x v="1227"/>
    <s v="Kathleen Lloyd DVM"/>
    <x v="31"/>
    <x v="0"/>
    <x v="3"/>
    <s v="PhD"/>
    <x v="0"/>
    <n v="108877"/>
    <n v="512"/>
    <n v="16739"/>
    <x v="4"/>
    <n v="0.15590000000000001"/>
    <x v="4"/>
    <s v="Rented"/>
    <n v="23"/>
    <n v="1"/>
    <s v="No"/>
    <s v="Yes"/>
    <x v="3"/>
    <n v="77604"/>
    <x v="1223"/>
    <x v="15"/>
    <x v="96"/>
    <x v="1"/>
    <x v="0"/>
    <x v="2"/>
  </r>
  <r>
    <x v="1228"/>
    <s v="Albert Simmons"/>
    <x v="9"/>
    <x v="0"/>
    <x v="1"/>
    <s v="PhD"/>
    <x v="2"/>
    <n v="68506"/>
    <n v="512"/>
    <n v="23244"/>
    <x v="2"/>
    <n v="0.10460000000000001"/>
    <x v="4"/>
    <s v="Owned"/>
    <n v="7"/>
    <n v="1"/>
    <s v="Yes"/>
    <s v="Yes"/>
    <x v="2"/>
    <n v="6486"/>
    <x v="1224"/>
    <x v="73"/>
    <x v="900"/>
    <x v="0"/>
    <x v="1"/>
    <x v="2"/>
  </r>
  <r>
    <x v="1229"/>
    <s v="Matthew Powell"/>
    <x v="8"/>
    <x v="1"/>
    <x v="0"/>
    <s v="Graduate"/>
    <x v="0"/>
    <n v="77853"/>
    <n v="511"/>
    <n v="9520"/>
    <x v="0"/>
    <n v="5.79E-2"/>
    <x v="2"/>
    <s v="Rented"/>
    <n v="18"/>
    <n v="0"/>
    <s v="Yes"/>
    <s v="Yes"/>
    <x v="4"/>
    <n v="103220"/>
    <x v="1225"/>
    <x v="76"/>
    <x v="901"/>
    <x v="0"/>
    <x v="1"/>
    <x v="2"/>
  </r>
  <r>
    <x v="1230"/>
    <s v="Robin Taylor"/>
    <x v="3"/>
    <x v="1"/>
    <x v="2"/>
    <s v="Postgraduate"/>
    <x v="1"/>
    <n v="35620"/>
    <n v="510"/>
    <n v="13468"/>
    <x v="1"/>
    <n v="9.1600000000000001E-2"/>
    <x v="1"/>
    <s v="Rented"/>
    <n v="21"/>
    <n v="4"/>
    <s v="Yes"/>
    <s v="No"/>
    <x v="2"/>
    <n v="13015"/>
    <x v="1226"/>
    <x v="55"/>
    <x v="295"/>
    <x v="1"/>
    <x v="0"/>
    <x v="2"/>
  </r>
  <r>
    <x v="1231"/>
    <s v="Sandra Evans"/>
    <x v="16"/>
    <x v="1"/>
    <x v="1"/>
    <s v="PhD"/>
    <x v="3"/>
    <n v="105617"/>
    <n v="510"/>
    <n v="35831"/>
    <x v="1"/>
    <n v="0.18989999999999999"/>
    <x v="0"/>
    <s v="Rented"/>
    <n v="11"/>
    <n v="3"/>
    <s v="No"/>
    <s v="No"/>
    <x v="3"/>
    <n v="82328"/>
    <x v="1227"/>
    <x v="37"/>
    <x v="288"/>
    <x v="1"/>
    <x v="0"/>
    <x v="2"/>
  </r>
  <r>
    <x v="1232"/>
    <s v="Jasmine Hartman"/>
    <x v="31"/>
    <x v="0"/>
    <x v="1"/>
    <s v="High School"/>
    <x v="3"/>
    <n v="60736"/>
    <n v="510"/>
    <n v="26857"/>
    <x v="1"/>
    <n v="0.1605"/>
    <x v="4"/>
    <s v="Mortgaged"/>
    <n v="6"/>
    <n v="4"/>
    <s v="Yes"/>
    <s v="No"/>
    <x v="1"/>
    <n v="141786"/>
    <x v="1228"/>
    <x v="19"/>
    <x v="334"/>
    <x v="0"/>
    <x v="1"/>
    <x v="2"/>
  </r>
  <r>
    <x v="1233"/>
    <s v="Dan Dixon"/>
    <x v="2"/>
    <x v="0"/>
    <x v="1"/>
    <s v="Graduate"/>
    <x v="2"/>
    <n v="97924"/>
    <n v="510"/>
    <n v="18824"/>
    <x v="2"/>
    <n v="9.820000000000001E-2"/>
    <x v="4"/>
    <s v="Owned"/>
    <n v="16"/>
    <n v="4"/>
    <s v="No"/>
    <s v="Yes"/>
    <x v="2"/>
    <n v="101075"/>
    <x v="1229"/>
    <x v="77"/>
    <x v="902"/>
    <x v="0"/>
    <x v="0"/>
    <x v="2"/>
  </r>
  <r>
    <x v="1234"/>
    <s v="Brian Newman"/>
    <x v="41"/>
    <x v="0"/>
    <x v="1"/>
    <s v="Graduate"/>
    <x v="2"/>
    <n v="48469"/>
    <n v="510"/>
    <n v="1497"/>
    <x v="1"/>
    <n v="0.15579999999999999"/>
    <x v="5"/>
    <s v="Rented"/>
    <n v="23"/>
    <n v="3"/>
    <s v="Yes"/>
    <s v="Yes"/>
    <x v="0"/>
    <n v="42412"/>
    <x v="1230"/>
    <x v="42"/>
    <x v="842"/>
    <x v="1"/>
    <x v="0"/>
    <x v="2"/>
  </r>
  <r>
    <x v="1235"/>
    <s v="Jordan Daniels"/>
    <x v="29"/>
    <x v="1"/>
    <x v="2"/>
    <s v="Postgraduate"/>
    <x v="0"/>
    <n v="70493"/>
    <n v="510"/>
    <n v="49978"/>
    <x v="0"/>
    <n v="0.18049999999999999"/>
    <x v="2"/>
    <s v="Mortgaged"/>
    <n v="7"/>
    <n v="3"/>
    <s v="Yes"/>
    <s v="No"/>
    <x v="0"/>
    <n v="93405"/>
    <x v="1231"/>
    <x v="33"/>
    <x v="903"/>
    <x v="0"/>
    <x v="1"/>
    <x v="2"/>
  </r>
  <r>
    <x v="1236"/>
    <s v="Matthew Fields"/>
    <x v="29"/>
    <x v="0"/>
    <x v="3"/>
    <s v="PhD"/>
    <x v="3"/>
    <n v="37706"/>
    <n v="509"/>
    <n v="17484"/>
    <x v="0"/>
    <n v="0.17249999999999999"/>
    <x v="2"/>
    <s v="Owned"/>
    <n v="21"/>
    <n v="0"/>
    <s v="Yes"/>
    <s v="Yes"/>
    <x v="2"/>
    <n v="164219"/>
    <x v="1232"/>
    <x v="52"/>
    <x v="904"/>
    <x v="0"/>
    <x v="0"/>
    <x v="2"/>
  </r>
  <r>
    <x v="1237"/>
    <s v="Sarah Cole"/>
    <x v="0"/>
    <x v="0"/>
    <x v="3"/>
    <s v="Graduate"/>
    <x v="3"/>
    <n v="67356"/>
    <n v="509"/>
    <n v="13314"/>
    <x v="1"/>
    <n v="8.7899999999999992E-2"/>
    <x v="4"/>
    <s v="Owned"/>
    <n v="7"/>
    <n v="3"/>
    <s v="No"/>
    <s v="Yes"/>
    <x v="0"/>
    <n v="176405"/>
    <x v="1233"/>
    <x v="14"/>
    <x v="575"/>
    <x v="1"/>
    <x v="1"/>
    <x v="2"/>
  </r>
  <r>
    <x v="1238"/>
    <s v="Laura Ross"/>
    <x v="37"/>
    <x v="1"/>
    <x v="1"/>
    <s v="High School"/>
    <x v="2"/>
    <n v="137393"/>
    <n v="509"/>
    <n v="22818"/>
    <x v="1"/>
    <n v="6.7799999999999999E-2"/>
    <x v="4"/>
    <s v="Rented"/>
    <n v="17"/>
    <n v="0"/>
    <s v="No"/>
    <s v="No"/>
    <x v="3"/>
    <n v="31403"/>
    <x v="1234"/>
    <x v="81"/>
    <x v="905"/>
    <x v="0"/>
    <x v="1"/>
    <x v="2"/>
  </r>
  <r>
    <x v="1239"/>
    <s v="Ethan Stephens"/>
    <x v="7"/>
    <x v="1"/>
    <x v="3"/>
    <s v="PhD"/>
    <x v="1"/>
    <n v="116528"/>
    <n v="509"/>
    <n v="49621"/>
    <x v="3"/>
    <n v="0.11289999999999999"/>
    <x v="0"/>
    <s v="Owned"/>
    <n v="9"/>
    <n v="0"/>
    <s v="Yes"/>
    <s v="Yes"/>
    <x v="2"/>
    <n v="142953"/>
    <x v="1235"/>
    <x v="4"/>
    <x v="9"/>
    <x v="1"/>
    <x v="0"/>
    <x v="2"/>
  </r>
  <r>
    <x v="1240"/>
    <s v="Anthony Michael"/>
    <x v="11"/>
    <x v="0"/>
    <x v="0"/>
    <s v="Graduate"/>
    <x v="2"/>
    <n v="128198"/>
    <n v="509"/>
    <n v="45411"/>
    <x v="3"/>
    <n v="0.1027"/>
    <x v="4"/>
    <s v="Rented"/>
    <n v="25"/>
    <n v="4"/>
    <s v="Yes"/>
    <s v="Yes"/>
    <x v="3"/>
    <n v="41617"/>
    <x v="1236"/>
    <x v="27"/>
    <x v="906"/>
    <x v="1"/>
    <x v="0"/>
    <x v="2"/>
  </r>
  <r>
    <x v="1241"/>
    <s v="Corey Glass"/>
    <x v="20"/>
    <x v="1"/>
    <x v="1"/>
    <s v="PhD"/>
    <x v="2"/>
    <n v="143607"/>
    <n v="508"/>
    <n v="12966"/>
    <x v="3"/>
    <n v="9.6699999999999994E-2"/>
    <x v="0"/>
    <s v="Owned"/>
    <n v="4"/>
    <n v="0"/>
    <s v="Yes"/>
    <s v="Yes"/>
    <x v="0"/>
    <n v="133528"/>
    <x v="1237"/>
    <x v="27"/>
    <x v="324"/>
    <x v="0"/>
    <x v="0"/>
    <x v="2"/>
  </r>
  <r>
    <x v="1242"/>
    <s v="Robin Duncan"/>
    <x v="34"/>
    <x v="1"/>
    <x v="2"/>
    <s v="High School"/>
    <x v="1"/>
    <n v="48036"/>
    <n v="508"/>
    <n v="24764"/>
    <x v="3"/>
    <n v="9.1700000000000004E-2"/>
    <x v="3"/>
    <s v="Mortgaged"/>
    <n v="4"/>
    <n v="3"/>
    <s v="Yes"/>
    <s v="No"/>
    <x v="3"/>
    <n v="54784"/>
    <x v="1238"/>
    <x v="16"/>
    <x v="113"/>
    <x v="1"/>
    <x v="0"/>
    <x v="2"/>
  </r>
  <r>
    <x v="1243"/>
    <s v="Emily Jackson"/>
    <x v="2"/>
    <x v="1"/>
    <x v="3"/>
    <s v="Postgraduate"/>
    <x v="3"/>
    <n v="132899"/>
    <n v="508"/>
    <n v="14584"/>
    <x v="2"/>
    <n v="0.18100000000000002"/>
    <x v="3"/>
    <s v="Mortgaged"/>
    <n v="15"/>
    <n v="4"/>
    <s v="Yes"/>
    <s v="No"/>
    <x v="2"/>
    <n v="102330"/>
    <x v="1239"/>
    <x v="81"/>
    <x v="907"/>
    <x v="0"/>
    <x v="0"/>
    <x v="2"/>
  </r>
  <r>
    <x v="1244"/>
    <s v="Michael Taylor"/>
    <x v="29"/>
    <x v="0"/>
    <x v="3"/>
    <s v="Graduate"/>
    <x v="1"/>
    <n v="138171"/>
    <n v="507"/>
    <n v="33670"/>
    <x v="0"/>
    <n v="0.19219999999999998"/>
    <x v="0"/>
    <s v="Rented"/>
    <n v="12"/>
    <n v="1"/>
    <s v="No"/>
    <s v="No"/>
    <x v="2"/>
    <n v="190927"/>
    <x v="1240"/>
    <x v="58"/>
    <x v="908"/>
    <x v="0"/>
    <x v="0"/>
    <x v="2"/>
  </r>
  <r>
    <x v="1245"/>
    <s v="Michael Callahan"/>
    <x v="21"/>
    <x v="1"/>
    <x v="2"/>
    <s v="PhD"/>
    <x v="1"/>
    <n v="78865"/>
    <n v="507"/>
    <n v="11170"/>
    <x v="0"/>
    <n v="6.7400000000000002E-2"/>
    <x v="0"/>
    <s v="Rented"/>
    <n v="26"/>
    <n v="3"/>
    <s v="No"/>
    <s v="No"/>
    <x v="4"/>
    <n v="187370"/>
    <x v="1241"/>
    <x v="65"/>
    <x v="909"/>
    <x v="0"/>
    <x v="1"/>
    <x v="2"/>
  </r>
  <r>
    <x v="1246"/>
    <s v="Bryan Thomas"/>
    <x v="8"/>
    <x v="0"/>
    <x v="1"/>
    <s v="PhD"/>
    <x v="3"/>
    <n v="50988"/>
    <n v="507"/>
    <n v="13941"/>
    <x v="4"/>
    <n v="0.10210000000000001"/>
    <x v="3"/>
    <s v="Mortgaged"/>
    <n v="6"/>
    <n v="3"/>
    <s v="Yes"/>
    <s v="Yes"/>
    <x v="1"/>
    <n v="113742"/>
    <x v="1242"/>
    <x v="5"/>
    <x v="402"/>
    <x v="1"/>
    <x v="0"/>
    <x v="2"/>
  </r>
  <r>
    <x v="1247"/>
    <s v="James Pena"/>
    <x v="42"/>
    <x v="0"/>
    <x v="3"/>
    <s v="PhD"/>
    <x v="0"/>
    <n v="91185"/>
    <n v="507"/>
    <n v="34719"/>
    <x v="0"/>
    <n v="0.1106"/>
    <x v="0"/>
    <s v="Rented"/>
    <n v="16"/>
    <n v="0"/>
    <s v="No"/>
    <s v="Yes"/>
    <x v="4"/>
    <n v="45221"/>
    <x v="1243"/>
    <x v="18"/>
    <x v="757"/>
    <x v="1"/>
    <x v="1"/>
    <x v="2"/>
  </r>
  <r>
    <x v="1248"/>
    <s v="Veronica Black"/>
    <x v="16"/>
    <x v="0"/>
    <x v="3"/>
    <s v="PhD"/>
    <x v="3"/>
    <n v="23782"/>
    <n v="507"/>
    <n v="22343"/>
    <x v="2"/>
    <n v="0.16070000000000001"/>
    <x v="3"/>
    <s v="Mortgaged"/>
    <n v="10"/>
    <n v="4"/>
    <s v="Yes"/>
    <s v="No"/>
    <x v="0"/>
    <n v="97170"/>
    <x v="39"/>
    <x v="42"/>
    <x v="910"/>
    <x v="0"/>
    <x v="1"/>
    <x v="2"/>
  </r>
  <r>
    <x v="1249"/>
    <s v="Robin Benson"/>
    <x v="12"/>
    <x v="1"/>
    <x v="1"/>
    <s v="Graduate"/>
    <x v="0"/>
    <n v="65807"/>
    <n v="507"/>
    <n v="20207"/>
    <x v="1"/>
    <n v="6.88E-2"/>
    <x v="2"/>
    <s v="Owned"/>
    <n v="26"/>
    <n v="1"/>
    <s v="Yes"/>
    <s v="Yes"/>
    <x v="3"/>
    <n v="150947"/>
    <x v="1244"/>
    <x v="41"/>
    <x v="487"/>
    <x v="1"/>
    <x v="1"/>
    <x v="2"/>
  </r>
  <r>
    <x v="1250"/>
    <s v="Roy Schaefer"/>
    <x v="33"/>
    <x v="1"/>
    <x v="3"/>
    <s v="Graduate"/>
    <x v="2"/>
    <n v="56390"/>
    <n v="507"/>
    <n v="45406"/>
    <x v="4"/>
    <n v="0.19170000000000001"/>
    <x v="3"/>
    <s v="Rented"/>
    <n v="4"/>
    <n v="0"/>
    <s v="No"/>
    <s v="No"/>
    <x v="0"/>
    <n v="155879"/>
    <x v="1245"/>
    <x v="35"/>
    <x v="406"/>
    <x v="1"/>
    <x v="0"/>
    <x v="2"/>
  </r>
  <r>
    <x v="1251"/>
    <s v="Samantha Willis"/>
    <x v="12"/>
    <x v="1"/>
    <x v="3"/>
    <s v="Postgraduate"/>
    <x v="2"/>
    <n v="28536"/>
    <n v="507"/>
    <n v="3882"/>
    <x v="4"/>
    <n v="0.18"/>
    <x v="5"/>
    <s v="Mortgaged"/>
    <n v="17"/>
    <n v="2"/>
    <s v="No"/>
    <s v="Yes"/>
    <x v="3"/>
    <n v="111739"/>
    <x v="1246"/>
    <x v="64"/>
    <x v="911"/>
    <x v="1"/>
    <x v="0"/>
    <x v="2"/>
  </r>
  <r>
    <x v="1252"/>
    <s v="Holly Castro"/>
    <x v="36"/>
    <x v="0"/>
    <x v="1"/>
    <s v="PhD"/>
    <x v="1"/>
    <n v="46028"/>
    <n v="506"/>
    <n v="41391"/>
    <x v="3"/>
    <n v="5.2900000000000003E-2"/>
    <x v="1"/>
    <s v="Owned"/>
    <n v="1"/>
    <n v="4"/>
    <s v="No"/>
    <s v="No"/>
    <x v="0"/>
    <n v="22687"/>
    <x v="1247"/>
    <x v="28"/>
    <x v="12"/>
    <x v="0"/>
    <x v="0"/>
    <x v="2"/>
  </r>
  <r>
    <x v="1253"/>
    <s v="Robert Fowler"/>
    <x v="27"/>
    <x v="0"/>
    <x v="0"/>
    <s v="Postgraduate"/>
    <x v="0"/>
    <n v="39360"/>
    <n v="506"/>
    <n v="8904"/>
    <x v="2"/>
    <n v="0.1459"/>
    <x v="1"/>
    <s v="Mortgaged"/>
    <n v="4"/>
    <n v="3"/>
    <s v="No"/>
    <s v="No"/>
    <x v="1"/>
    <n v="193609"/>
    <x v="1248"/>
    <x v="41"/>
    <x v="700"/>
    <x v="1"/>
    <x v="1"/>
    <x v="2"/>
  </r>
  <r>
    <x v="1254"/>
    <s v="Megan Rodriguez"/>
    <x v="33"/>
    <x v="1"/>
    <x v="3"/>
    <s v="Graduate"/>
    <x v="2"/>
    <n v="109630"/>
    <n v="506"/>
    <n v="28883"/>
    <x v="4"/>
    <n v="0.17399999999999999"/>
    <x v="5"/>
    <s v="Rented"/>
    <n v="23"/>
    <n v="3"/>
    <s v="No"/>
    <s v="Yes"/>
    <x v="2"/>
    <n v="158945"/>
    <x v="1249"/>
    <x v="76"/>
    <x v="124"/>
    <x v="1"/>
    <x v="1"/>
    <x v="2"/>
  </r>
  <r>
    <x v="1255"/>
    <s v="Valerie Dennis"/>
    <x v="5"/>
    <x v="1"/>
    <x v="2"/>
    <s v="Postgraduate"/>
    <x v="2"/>
    <n v="66950"/>
    <n v="506"/>
    <n v="25474"/>
    <x v="2"/>
    <n v="0.1348"/>
    <x v="4"/>
    <s v="Mortgaged"/>
    <n v="2"/>
    <n v="4"/>
    <s v="Yes"/>
    <s v="Yes"/>
    <x v="0"/>
    <n v="146434"/>
    <x v="1250"/>
    <x v="78"/>
    <x v="316"/>
    <x v="0"/>
    <x v="1"/>
    <x v="2"/>
  </r>
  <r>
    <x v="1256"/>
    <s v="Chelsea Shields"/>
    <x v="41"/>
    <x v="0"/>
    <x v="1"/>
    <s v="Graduate"/>
    <x v="1"/>
    <n v="52334"/>
    <n v="504"/>
    <n v="33875"/>
    <x v="3"/>
    <n v="8.9200000000000002E-2"/>
    <x v="2"/>
    <s v="Mortgaged"/>
    <n v="14"/>
    <n v="4"/>
    <s v="Yes"/>
    <s v="No"/>
    <x v="1"/>
    <n v="42715"/>
    <x v="1251"/>
    <x v="11"/>
    <x v="108"/>
    <x v="1"/>
    <x v="0"/>
    <x v="2"/>
  </r>
  <r>
    <x v="1257"/>
    <s v="Mr. Brian Hernandez"/>
    <x v="27"/>
    <x v="0"/>
    <x v="1"/>
    <s v="Graduate"/>
    <x v="2"/>
    <n v="125289"/>
    <n v="504"/>
    <n v="3913"/>
    <x v="2"/>
    <n v="0.17929999999999999"/>
    <x v="1"/>
    <s v="Rented"/>
    <n v="3"/>
    <n v="4"/>
    <s v="No"/>
    <s v="Yes"/>
    <x v="0"/>
    <n v="117847"/>
    <x v="1252"/>
    <x v="29"/>
    <x v="67"/>
    <x v="0"/>
    <x v="0"/>
    <x v="2"/>
  </r>
  <r>
    <x v="1258"/>
    <s v="Katelyn Stewart"/>
    <x v="32"/>
    <x v="0"/>
    <x v="1"/>
    <s v="Graduate"/>
    <x v="3"/>
    <n v="60167"/>
    <n v="504"/>
    <n v="31472"/>
    <x v="4"/>
    <n v="0.1191"/>
    <x v="2"/>
    <s v="Owned"/>
    <n v="28"/>
    <n v="4"/>
    <s v="Yes"/>
    <s v="No"/>
    <x v="3"/>
    <n v="32492"/>
    <x v="1253"/>
    <x v="19"/>
    <x v="912"/>
    <x v="0"/>
    <x v="0"/>
    <x v="2"/>
  </r>
  <r>
    <x v="1259"/>
    <s v="John Young"/>
    <x v="14"/>
    <x v="0"/>
    <x v="0"/>
    <s v="Postgraduate"/>
    <x v="1"/>
    <n v="76411"/>
    <n v="504"/>
    <n v="19790"/>
    <x v="2"/>
    <n v="6.9000000000000006E-2"/>
    <x v="2"/>
    <s v="Mortgaged"/>
    <n v="16"/>
    <n v="0"/>
    <s v="Yes"/>
    <s v="No"/>
    <x v="3"/>
    <n v="145295"/>
    <x v="1254"/>
    <x v="64"/>
    <x v="913"/>
    <x v="0"/>
    <x v="0"/>
    <x v="2"/>
  </r>
  <r>
    <x v="1260"/>
    <s v="George Gibson"/>
    <x v="5"/>
    <x v="0"/>
    <x v="1"/>
    <s v="PhD"/>
    <x v="0"/>
    <n v="85131"/>
    <n v="504"/>
    <n v="38834"/>
    <x v="0"/>
    <n v="0.1686"/>
    <x v="1"/>
    <s v="Rented"/>
    <n v="14"/>
    <n v="2"/>
    <s v="No"/>
    <s v="Yes"/>
    <x v="3"/>
    <n v="53857"/>
    <x v="1255"/>
    <x v="71"/>
    <x v="914"/>
    <x v="1"/>
    <x v="0"/>
    <x v="2"/>
  </r>
  <r>
    <x v="1261"/>
    <s v="Jackson Wilson"/>
    <x v="36"/>
    <x v="1"/>
    <x v="1"/>
    <s v="High School"/>
    <x v="0"/>
    <n v="98209"/>
    <n v="503"/>
    <n v="33126"/>
    <x v="0"/>
    <n v="8.2500000000000004E-2"/>
    <x v="0"/>
    <s v="Owned"/>
    <n v="20"/>
    <n v="4"/>
    <s v="No"/>
    <s v="Yes"/>
    <x v="3"/>
    <n v="49974"/>
    <x v="1256"/>
    <x v="37"/>
    <x v="915"/>
    <x v="0"/>
    <x v="1"/>
    <x v="2"/>
  </r>
  <r>
    <x v="1262"/>
    <s v="David Sawyer"/>
    <x v="33"/>
    <x v="0"/>
    <x v="3"/>
    <s v="PhD"/>
    <x v="2"/>
    <n v="66451"/>
    <n v="503"/>
    <n v="6695"/>
    <x v="3"/>
    <n v="0.11550000000000001"/>
    <x v="3"/>
    <s v="Owned"/>
    <n v="1"/>
    <n v="3"/>
    <s v="Yes"/>
    <s v="No"/>
    <x v="3"/>
    <n v="161715"/>
    <x v="1257"/>
    <x v="16"/>
    <x v="916"/>
    <x v="0"/>
    <x v="0"/>
    <x v="2"/>
  </r>
  <r>
    <x v="1263"/>
    <s v="Tammy Garcia"/>
    <x v="33"/>
    <x v="0"/>
    <x v="2"/>
    <s v="Graduate"/>
    <x v="1"/>
    <n v="85212"/>
    <n v="503"/>
    <n v="15455"/>
    <x v="0"/>
    <n v="0.17739999999999997"/>
    <x v="1"/>
    <s v="Owned"/>
    <n v="4"/>
    <n v="0"/>
    <s v="Yes"/>
    <s v="Yes"/>
    <x v="0"/>
    <n v="35324"/>
    <x v="1258"/>
    <x v="27"/>
    <x v="917"/>
    <x v="0"/>
    <x v="0"/>
    <x v="2"/>
  </r>
  <r>
    <x v="1264"/>
    <s v="Kathleen Ford"/>
    <x v="36"/>
    <x v="1"/>
    <x v="0"/>
    <s v="Postgraduate"/>
    <x v="1"/>
    <n v="122630"/>
    <n v="503"/>
    <n v="42643"/>
    <x v="1"/>
    <n v="6.3200000000000006E-2"/>
    <x v="0"/>
    <s v="Rented"/>
    <n v="4"/>
    <n v="1"/>
    <s v="No"/>
    <s v="No"/>
    <x v="2"/>
    <n v="97435"/>
    <x v="1259"/>
    <x v="78"/>
    <x v="918"/>
    <x v="0"/>
    <x v="0"/>
    <x v="2"/>
  </r>
  <r>
    <x v="1265"/>
    <s v="Ruth Rivera"/>
    <x v="13"/>
    <x v="1"/>
    <x v="2"/>
    <s v="PhD"/>
    <x v="1"/>
    <n v="113851"/>
    <n v="502"/>
    <n v="40695"/>
    <x v="4"/>
    <n v="0.1188"/>
    <x v="3"/>
    <s v="Rented"/>
    <n v="17"/>
    <n v="4"/>
    <s v="No"/>
    <s v="Yes"/>
    <x v="4"/>
    <n v="30415"/>
    <x v="1260"/>
    <x v="31"/>
    <x v="919"/>
    <x v="0"/>
    <x v="0"/>
    <x v="2"/>
  </r>
  <r>
    <x v="1266"/>
    <s v="Miranda Stevens"/>
    <x v="16"/>
    <x v="0"/>
    <x v="3"/>
    <s v="Postgraduate"/>
    <x v="2"/>
    <n v="109126"/>
    <n v="502"/>
    <n v="21725"/>
    <x v="3"/>
    <n v="9.5199999999999993E-2"/>
    <x v="1"/>
    <s v="Mortgaged"/>
    <n v="27"/>
    <n v="0"/>
    <s v="No"/>
    <s v="Yes"/>
    <x v="4"/>
    <n v="87721"/>
    <x v="1261"/>
    <x v="56"/>
    <x v="920"/>
    <x v="0"/>
    <x v="0"/>
    <x v="2"/>
  </r>
  <r>
    <x v="1267"/>
    <s v="Kimberly Carter"/>
    <x v="20"/>
    <x v="1"/>
    <x v="2"/>
    <s v="High School"/>
    <x v="3"/>
    <n v="113721"/>
    <n v="502"/>
    <n v="17863"/>
    <x v="1"/>
    <n v="0.16739999999999999"/>
    <x v="2"/>
    <s v="Rented"/>
    <n v="11"/>
    <n v="1"/>
    <s v="Yes"/>
    <s v="No"/>
    <x v="0"/>
    <n v="122184"/>
    <x v="1262"/>
    <x v="25"/>
    <x v="645"/>
    <x v="0"/>
    <x v="0"/>
    <x v="2"/>
  </r>
  <r>
    <x v="1268"/>
    <s v="Heather Taylor"/>
    <x v="2"/>
    <x v="0"/>
    <x v="0"/>
    <s v="Postgraduate"/>
    <x v="1"/>
    <n v="101199"/>
    <n v="502"/>
    <n v="42621"/>
    <x v="0"/>
    <n v="9.0899999999999995E-2"/>
    <x v="5"/>
    <s v="Owned"/>
    <n v="29"/>
    <n v="2"/>
    <s v="Yes"/>
    <s v="No"/>
    <x v="2"/>
    <n v="195707"/>
    <x v="1263"/>
    <x v="90"/>
    <x v="866"/>
    <x v="1"/>
    <x v="0"/>
    <x v="2"/>
  </r>
  <r>
    <x v="1269"/>
    <s v="Brian Ramirez"/>
    <x v="29"/>
    <x v="1"/>
    <x v="2"/>
    <s v="Postgraduate"/>
    <x v="1"/>
    <n v="135336"/>
    <n v="502"/>
    <n v="18434"/>
    <x v="3"/>
    <n v="0.11810000000000001"/>
    <x v="2"/>
    <s v="Owned"/>
    <n v="23"/>
    <n v="1"/>
    <s v="No"/>
    <s v="Yes"/>
    <x v="0"/>
    <n v="190632"/>
    <x v="1264"/>
    <x v="89"/>
    <x v="18"/>
    <x v="0"/>
    <x v="1"/>
    <x v="2"/>
  </r>
  <r>
    <x v="1270"/>
    <s v="Emily Morrison"/>
    <x v="3"/>
    <x v="0"/>
    <x v="3"/>
    <s v="High School"/>
    <x v="1"/>
    <n v="133012"/>
    <n v="501"/>
    <n v="41761"/>
    <x v="0"/>
    <n v="0.1363"/>
    <x v="4"/>
    <s v="Rented"/>
    <n v="10"/>
    <n v="1"/>
    <s v="No"/>
    <s v="No"/>
    <x v="2"/>
    <n v="7293"/>
    <x v="1265"/>
    <x v="66"/>
    <x v="921"/>
    <x v="1"/>
    <x v="0"/>
    <x v="2"/>
  </r>
  <r>
    <x v="1271"/>
    <s v="Adam Walter"/>
    <x v="16"/>
    <x v="1"/>
    <x v="1"/>
    <s v="High School"/>
    <x v="0"/>
    <n v="133153"/>
    <n v="501"/>
    <n v="31099"/>
    <x v="3"/>
    <n v="0.1545"/>
    <x v="1"/>
    <s v="Mortgaged"/>
    <n v="21"/>
    <n v="0"/>
    <s v="Yes"/>
    <s v="Yes"/>
    <x v="4"/>
    <n v="180200"/>
    <x v="1266"/>
    <x v="26"/>
    <x v="922"/>
    <x v="0"/>
    <x v="0"/>
    <x v="2"/>
  </r>
  <r>
    <x v="1272"/>
    <s v="Heather Christensen"/>
    <x v="0"/>
    <x v="1"/>
    <x v="0"/>
    <s v="Graduate"/>
    <x v="2"/>
    <n v="29079"/>
    <n v="501"/>
    <n v="24259"/>
    <x v="1"/>
    <n v="6.8400000000000002E-2"/>
    <x v="1"/>
    <s v="Owned"/>
    <n v="6"/>
    <n v="0"/>
    <s v="No"/>
    <s v="Yes"/>
    <x v="0"/>
    <n v="98029"/>
    <x v="1267"/>
    <x v="67"/>
    <x v="923"/>
    <x v="1"/>
    <x v="0"/>
    <x v="2"/>
  </r>
  <r>
    <x v="1273"/>
    <s v="Kari White"/>
    <x v="15"/>
    <x v="0"/>
    <x v="2"/>
    <s v="Postgraduate"/>
    <x v="0"/>
    <n v="87863"/>
    <n v="501"/>
    <n v="8377"/>
    <x v="2"/>
    <n v="0.16899999999999998"/>
    <x v="0"/>
    <s v="Rented"/>
    <n v="16"/>
    <n v="4"/>
    <s v="Yes"/>
    <s v="Yes"/>
    <x v="2"/>
    <n v="122670"/>
    <x v="1268"/>
    <x v="10"/>
    <x v="507"/>
    <x v="0"/>
    <x v="0"/>
    <x v="2"/>
  </r>
  <r>
    <x v="1274"/>
    <s v="Jessica Vasquez"/>
    <x v="13"/>
    <x v="1"/>
    <x v="1"/>
    <s v="PhD"/>
    <x v="3"/>
    <n v="67085"/>
    <n v="501"/>
    <n v="14074"/>
    <x v="1"/>
    <n v="9.5899999999999999E-2"/>
    <x v="1"/>
    <s v="Mortgaged"/>
    <n v="27"/>
    <n v="4"/>
    <s v="Yes"/>
    <s v="No"/>
    <x v="1"/>
    <n v="114715"/>
    <x v="1269"/>
    <x v="61"/>
    <x v="30"/>
    <x v="1"/>
    <x v="1"/>
    <x v="2"/>
  </r>
  <r>
    <x v="1275"/>
    <s v="David Porter"/>
    <x v="38"/>
    <x v="0"/>
    <x v="0"/>
    <s v="Graduate"/>
    <x v="2"/>
    <n v="63162"/>
    <n v="500"/>
    <n v="41642"/>
    <x v="4"/>
    <n v="0.129"/>
    <x v="2"/>
    <s v="Rented"/>
    <n v="17"/>
    <n v="3"/>
    <s v="No"/>
    <s v="Yes"/>
    <x v="4"/>
    <n v="35304"/>
    <x v="1270"/>
    <x v="37"/>
    <x v="924"/>
    <x v="1"/>
    <x v="0"/>
    <x v="2"/>
  </r>
  <r>
    <x v="1276"/>
    <s v="Selena Jordan"/>
    <x v="4"/>
    <x v="1"/>
    <x v="2"/>
    <s v="Graduate"/>
    <x v="0"/>
    <n v="144481"/>
    <n v="500"/>
    <n v="28195"/>
    <x v="3"/>
    <n v="0.16320000000000001"/>
    <x v="5"/>
    <s v="Rented"/>
    <n v="15"/>
    <n v="0"/>
    <s v="Yes"/>
    <s v="Yes"/>
    <x v="2"/>
    <n v="81499"/>
    <x v="1271"/>
    <x v="9"/>
    <x v="564"/>
    <x v="0"/>
    <x v="0"/>
    <x v="2"/>
  </r>
  <r>
    <x v="1277"/>
    <s v="Joseph Deleon"/>
    <x v="18"/>
    <x v="0"/>
    <x v="2"/>
    <s v="High School"/>
    <x v="0"/>
    <n v="48251"/>
    <n v="500"/>
    <n v="30674"/>
    <x v="4"/>
    <n v="8.5099999999999995E-2"/>
    <x v="1"/>
    <s v="Mortgaged"/>
    <n v="13"/>
    <n v="4"/>
    <s v="Yes"/>
    <s v="Yes"/>
    <x v="2"/>
    <n v="189448"/>
    <x v="1272"/>
    <x v="51"/>
    <x v="925"/>
    <x v="1"/>
    <x v="0"/>
    <x v="2"/>
  </r>
  <r>
    <x v="1278"/>
    <s v="Joshua Owens"/>
    <x v="40"/>
    <x v="1"/>
    <x v="0"/>
    <s v="Graduate"/>
    <x v="2"/>
    <n v="133824"/>
    <n v="499"/>
    <n v="7060"/>
    <x v="2"/>
    <n v="0.1739"/>
    <x v="0"/>
    <s v="Owned"/>
    <n v="19"/>
    <n v="2"/>
    <s v="Yes"/>
    <s v="No"/>
    <x v="1"/>
    <n v="22584"/>
    <x v="1273"/>
    <x v="58"/>
    <x v="926"/>
    <x v="0"/>
    <x v="1"/>
    <x v="2"/>
  </r>
  <r>
    <x v="1279"/>
    <s v="Linda Schmidt"/>
    <x v="1"/>
    <x v="1"/>
    <x v="3"/>
    <s v="Graduate"/>
    <x v="2"/>
    <n v="104585"/>
    <n v="499"/>
    <n v="40470"/>
    <x v="2"/>
    <n v="0.1348"/>
    <x v="5"/>
    <s v="Mortgaged"/>
    <n v="13"/>
    <n v="2"/>
    <s v="Yes"/>
    <s v="No"/>
    <x v="4"/>
    <n v="59172"/>
    <x v="1274"/>
    <x v="63"/>
    <x v="927"/>
    <x v="1"/>
    <x v="0"/>
    <x v="2"/>
  </r>
  <r>
    <x v="1280"/>
    <s v="Melissa Myers"/>
    <x v="24"/>
    <x v="0"/>
    <x v="2"/>
    <s v="High School"/>
    <x v="1"/>
    <n v="100308"/>
    <n v="499"/>
    <n v="37292"/>
    <x v="1"/>
    <n v="0.18809999999999999"/>
    <x v="1"/>
    <s v="Owned"/>
    <n v="15"/>
    <n v="1"/>
    <s v="Yes"/>
    <s v="No"/>
    <x v="2"/>
    <n v="130656"/>
    <x v="1275"/>
    <x v="28"/>
    <x v="928"/>
    <x v="0"/>
    <x v="1"/>
    <x v="2"/>
  </r>
  <r>
    <x v="1281"/>
    <s v="Kyle Douglas MD"/>
    <x v="3"/>
    <x v="0"/>
    <x v="2"/>
    <s v="PhD"/>
    <x v="1"/>
    <n v="142536"/>
    <n v="498"/>
    <n v="5295"/>
    <x v="0"/>
    <n v="0.1938"/>
    <x v="4"/>
    <s v="Mortgaged"/>
    <n v="20"/>
    <n v="0"/>
    <s v="No"/>
    <s v="Yes"/>
    <x v="4"/>
    <n v="121909"/>
    <x v="1276"/>
    <x v="23"/>
    <x v="929"/>
    <x v="0"/>
    <x v="0"/>
    <x v="2"/>
  </r>
  <r>
    <x v="1282"/>
    <s v="Robert Mclean"/>
    <x v="21"/>
    <x v="0"/>
    <x v="1"/>
    <s v="High School"/>
    <x v="1"/>
    <n v="106184"/>
    <n v="498"/>
    <n v="33305"/>
    <x v="2"/>
    <n v="0.1668"/>
    <x v="0"/>
    <s v="Mortgaged"/>
    <n v="11"/>
    <n v="4"/>
    <s v="No"/>
    <s v="No"/>
    <x v="2"/>
    <n v="66696"/>
    <x v="1277"/>
    <x v="8"/>
    <x v="930"/>
    <x v="1"/>
    <x v="0"/>
    <x v="2"/>
  </r>
  <r>
    <x v="1283"/>
    <s v="Michelle Hamilton"/>
    <x v="36"/>
    <x v="1"/>
    <x v="0"/>
    <s v="High School"/>
    <x v="2"/>
    <n v="57500"/>
    <n v="497"/>
    <n v="49053"/>
    <x v="1"/>
    <n v="6.5299999999999997E-2"/>
    <x v="0"/>
    <s v="Mortgaged"/>
    <n v="11"/>
    <n v="1"/>
    <s v="No"/>
    <s v="Yes"/>
    <x v="4"/>
    <n v="143893"/>
    <x v="1278"/>
    <x v="69"/>
    <x v="931"/>
    <x v="1"/>
    <x v="0"/>
    <x v="2"/>
  </r>
  <r>
    <x v="1284"/>
    <s v="Ellen Glass"/>
    <x v="1"/>
    <x v="0"/>
    <x v="2"/>
    <s v="Graduate"/>
    <x v="1"/>
    <n v="33275"/>
    <n v="497"/>
    <n v="44350"/>
    <x v="0"/>
    <n v="0.18079999999999999"/>
    <x v="0"/>
    <s v="Rented"/>
    <n v="24"/>
    <n v="0"/>
    <s v="Yes"/>
    <s v="Yes"/>
    <x v="3"/>
    <n v="58266"/>
    <x v="1279"/>
    <x v="72"/>
    <x v="304"/>
    <x v="1"/>
    <x v="0"/>
    <x v="2"/>
  </r>
  <r>
    <x v="1285"/>
    <s v="Todd Schneider"/>
    <x v="27"/>
    <x v="1"/>
    <x v="3"/>
    <s v="Graduate"/>
    <x v="3"/>
    <n v="39252"/>
    <n v="496"/>
    <n v="16290"/>
    <x v="0"/>
    <n v="8.9800000000000005E-2"/>
    <x v="2"/>
    <s v="Mortgaged"/>
    <n v="4"/>
    <n v="1"/>
    <s v="No"/>
    <s v="Yes"/>
    <x v="1"/>
    <n v="76960"/>
    <x v="1280"/>
    <x v="63"/>
    <x v="418"/>
    <x v="1"/>
    <x v="0"/>
    <x v="2"/>
  </r>
  <r>
    <x v="1286"/>
    <s v="Joshua Ramos"/>
    <x v="41"/>
    <x v="0"/>
    <x v="1"/>
    <s v="PhD"/>
    <x v="2"/>
    <n v="101029"/>
    <n v="496"/>
    <n v="13823"/>
    <x v="3"/>
    <n v="0.17629999999999998"/>
    <x v="3"/>
    <s v="Mortgaged"/>
    <n v="15"/>
    <n v="4"/>
    <s v="Yes"/>
    <s v="No"/>
    <x v="4"/>
    <n v="114610"/>
    <x v="1281"/>
    <x v="8"/>
    <x v="932"/>
    <x v="0"/>
    <x v="0"/>
    <x v="2"/>
  </r>
  <r>
    <x v="1287"/>
    <s v="Nathan Gonzalez"/>
    <x v="34"/>
    <x v="0"/>
    <x v="1"/>
    <s v="Postgraduate"/>
    <x v="0"/>
    <n v="131964"/>
    <n v="496"/>
    <n v="12588"/>
    <x v="2"/>
    <n v="0.1166"/>
    <x v="3"/>
    <s v="Mortgaged"/>
    <n v="7"/>
    <n v="0"/>
    <s v="Yes"/>
    <s v="Yes"/>
    <x v="1"/>
    <n v="116128"/>
    <x v="1282"/>
    <x v="68"/>
    <x v="933"/>
    <x v="1"/>
    <x v="0"/>
    <x v="2"/>
  </r>
  <r>
    <x v="1288"/>
    <s v="Megan Castro"/>
    <x v="10"/>
    <x v="0"/>
    <x v="1"/>
    <s v="Postgraduate"/>
    <x v="2"/>
    <n v="121190"/>
    <n v="495"/>
    <n v="25260"/>
    <x v="2"/>
    <n v="9.3599999999999989E-2"/>
    <x v="3"/>
    <s v="Mortgaged"/>
    <n v="19"/>
    <n v="4"/>
    <s v="Yes"/>
    <s v="No"/>
    <x v="2"/>
    <n v="72009"/>
    <x v="1283"/>
    <x v="24"/>
    <x v="254"/>
    <x v="1"/>
    <x v="0"/>
    <x v="2"/>
  </r>
  <r>
    <x v="1289"/>
    <s v="Marco Garcia"/>
    <x v="39"/>
    <x v="0"/>
    <x v="1"/>
    <s v="Graduate"/>
    <x v="1"/>
    <n v="50544"/>
    <n v="495"/>
    <n v="32749"/>
    <x v="3"/>
    <n v="9.9100000000000008E-2"/>
    <x v="1"/>
    <s v="Rented"/>
    <n v="10"/>
    <n v="4"/>
    <s v="No"/>
    <s v="No"/>
    <x v="2"/>
    <n v="77338"/>
    <x v="1284"/>
    <x v="34"/>
    <x v="151"/>
    <x v="1"/>
    <x v="0"/>
    <x v="2"/>
  </r>
  <r>
    <x v="1290"/>
    <s v="Paula Watson"/>
    <x v="15"/>
    <x v="0"/>
    <x v="1"/>
    <s v="PhD"/>
    <x v="0"/>
    <n v="83722"/>
    <n v="495"/>
    <n v="41087"/>
    <x v="2"/>
    <n v="0.158"/>
    <x v="3"/>
    <s v="Mortgaged"/>
    <n v="7"/>
    <n v="1"/>
    <s v="No"/>
    <s v="No"/>
    <x v="2"/>
    <n v="24288"/>
    <x v="1285"/>
    <x v="79"/>
    <x v="934"/>
    <x v="1"/>
    <x v="0"/>
    <x v="2"/>
  </r>
  <r>
    <x v="1291"/>
    <s v="Sharon Jimenez"/>
    <x v="11"/>
    <x v="1"/>
    <x v="2"/>
    <s v="PhD"/>
    <x v="1"/>
    <n v="122364"/>
    <n v="495"/>
    <n v="36892"/>
    <x v="3"/>
    <n v="0.1321"/>
    <x v="2"/>
    <s v="Owned"/>
    <n v="7"/>
    <n v="2"/>
    <s v="No"/>
    <s v="No"/>
    <x v="2"/>
    <n v="42942"/>
    <x v="1286"/>
    <x v="17"/>
    <x v="45"/>
    <x v="0"/>
    <x v="0"/>
    <x v="2"/>
  </r>
  <r>
    <x v="1292"/>
    <s v="Christina Strickland"/>
    <x v="32"/>
    <x v="0"/>
    <x v="2"/>
    <s v="PhD"/>
    <x v="0"/>
    <n v="144098"/>
    <n v="494"/>
    <n v="8273"/>
    <x v="0"/>
    <n v="0.19489999999999999"/>
    <x v="4"/>
    <s v="Rented"/>
    <n v="4"/>
    <n v="1"/>
    <s v="Yes"/>
    <s v="Yes"/>
    <x v="3"/>
    <n v="116087"/>
    <x v="1287"/>
    <x v="85"/>
    <x v="298"/>
    <x v="0"/>
    <x v="0"/>
    <x v="2"/>
  </r>
  <r>
    <x v="1293"/>
    <s v="Sandra Dickerson"/>
    <x v="24"/>
    <x v="1"/>
    <x v="2"/>
    <s v="Graduate"/>
    <x v="2"/>
    <n v="126833"/>
    <n v="494"/>
    <n v="9733"/>
    <x v="0"/>
    <n v="0.15720000000000001"/>
    <x v="2"/>
    <s v="Rented"/>
    <n v="18"/>
    <n v="0"/>
    <s v="No"/>
    <s v="Yes"/>
    <x v="0"/>
    <n v="198332"/>
    <x v="1288"/>
    <x v="22"/>
    <x v="39"/>
    <x v="0"/>
    <x v="0"/>
    <x v="2"/>
  </r>
  <r>
    <x v="1294"/>
    <s v="Scott Cook"/>
    <x v="8"/>
    <x v="1"/>
    <x v="0"/>
    <s v="High School"/>
    <x v="3"/>
    <n v="141211"/>
    <n v="494"/>
    <n v="32746"/>
    <x v="0"/>
    <n v="0.18"/>
    <x v="1"/>
    <s v="Rented"/>
    <n v="29"/>
    <n v="4"/>
    <s v="No"/>
    <s v="No"/>
    <x v="3"/>
    <n v="68866"/>
    <x v="1289"/>
    <x v="88"/>
    <x v="935"/>
    <x v="0"/>
    <x v="0"/>
    <x v="2"/>
  </r>
  <r>
    <x v="1295"/>
    <s v="Craig Chambers"/>
    <x v="1"/>
    <x v="1"/>
    <x v="2"/>
    <s v="Graduate"/>
    <x v="1"/>
    <n v="57420"/>
    <n v="493"/>
    <n v="28751"/>
    <x v="2"/>
    <n v="8.0799999999999997E-2"/>
    <x v="4"/>
    <s v="Mortgaged"/>
    <n v="9"/>
    <n v="4"/>
    <s v="Yes"/>
    <s v="Yes"/>
    <x v="1"/>
    <n v="20752"/>
    <x v="1290"/>
    <x v="1"/>
    <x v="130"/>
    <x v="1"/>
    <x v="1"/>
    <x v="2"/>
  </r>
  <r>
    <x v="1296"/>
    <s v="Sarah Johnson"/>
    <x v="14"/>
    <x v="1"/>
    <x v="1"/>
    <s v="Graduate"/>
    <x v="0"/>
    <n v="32178"/>
    <n v="493"/>
    <n v="18472"/>
    <x v="0"/>
    <n v="6.7000000000000004E-2"/>
    <x v="3"/>
    <s v="Owned"/>
    <n v="21"/>
    <n v="2"/>
    <s v="Yes"/>
    <s v="Yes"/>
    <x v="4"/>
    <n v="66629"/>
    <x v="1291"/>
    <x v="45"/>
    <x v="936"/>
    <x v="1"/>
    <x v="0"/>
    <x v="2"/>
  </r>
  <r>
    <x v="1297"/>
    <s v="Jordan Chung"/>
    <x v="2"/>
    <x v="1"/>
    <x v="1"/>
    <s v="High School"/>
    <x v="1"/>
    <n v="128984"/>
    <n v="492"/>
    <n v="45440"/>
    <x v="3"/>
    <n v="0.18510000000000001"/>
    <x v="4"/>
    <s v="Rented"/>
    <n v="10"/>
    <n v="1"/>
    <s v="Yes"/>
    <s v="No"/>
    <x v="1"/>
    <n v="151382"/>
    <x v="1292"/>
    <x v="21"/>
    <x v="937"/>
    <x v="0"/>
    <x v="0"/>
    <x v="2"/>
  </r>
  <r>
    <x v="1298"/>
    <s v="Michelle Jones"/>
    <x v="37"/>
    <x v="0"/>
    <x v="3"/>
    <s v="Postgraduate"/>
    <x v="2"/>
    <n v="66505"/>
    <n v="492"/>
    <n v="25036"/>
    <x v="1"/>
    <n v="0.12609999999999999"/>
    <x v="1"/>
    <s v="Mortgaged"/>
    <n v="11"/>
    <n v="0"/>
    <s v="No"/>
    <s v="Yes"/>
    <x v="3"/>
    <n v="117458"/>
    <x v="1293"/>
    <x v="19"/>
    <x v="789"/>
    <x v="1"/>
    <x v="0"/>
    <x v="2"/>
  </r>
  <r>
    <x v="1299"/>
    <s v="Craig Cannon"/>
    <x v="25"/>
    <x v="0"/>
    <x v="1"/>
    <s v="High School"/>
    <x v="2"/>
    <n v="108719"/>
    <n v="491"/>
    <n v="24402"/>
    <x v="3"/>
    <n v="9.2200000000000004E-2"/>
    <x v="0"/>
    <s v="Mortgaged"/>
    <n v="8"/>
    <n v="0"/>
    <s v="Yes"/>
    <s v="No"/>
    <x v="4"/>
    <n v="180664"/>
    <x v="1294"/>
    <x v="23"/>
    <x v="586"/>
    <x v="0"/>
    <x v="1"/>
    <x v="2"/>
  </r>
  <r>
    <x v="1300"/>
    <s v="Michael Thompson"/>
    <x v="14"/>
    <x v="0"/>
    <x v="3"/>
    <s v="Postgraduate"/>
    <x v="1"/>
    <n v="111038"/>
    <n v="491"/>
    <n v="15551"/>
    <x v="3"/>
    <n v="8.9499999999999996E-2"/>
    <x v="1"/>
    <s v="Mortgaged"/>
    <n v="25"/>
    <n v="4"/>
    <s v="No"/>
    <s v="No"/>
    <x v="0"/>
    <n v="137335"/>
    <x v="1295"/>
    <x v="77"/>
    <x v="938"/>
    <x v="0"/>
    <x v="0"/>
    <x v="2"/>
  </r>
  <r>
    <x v="1301"/>
    <s v="Michael Li"/>
    <x v="1"/>
    <x v="0"/>
    <x v="0"/>
    <s v="High School"/>
    <x v="2"/>
    <n v="120336"/>
    <n v="491"/>
    <n v="12596"/>
    <x v="0"/>
    <n v="0.16109999999999999"/>
    <x v="2"/>
    <s v="Rented"/>
    <n v="24"/>
    <n v="3"/>
    <s v="Yes"/>
    <s v="No"/>
    <x v="2"/>
    <n v="199100"/>
    <x v="1296"/>
    <x v="13"/>
    <x v="939"/>
    <x v="1"/>
    <x v="0"/>
    <x v="2"/>
  </r>
  <r>
    <x v="1302"/>
    <s v="Mrs. Martha Burke"/>
    <x v="37"/>
    <x v="0"/>
    <x v="2"/>
    <s v="High School"/>
    <x v="0"/>
    <n v="129331"/>
    <n v="491"/>
    <n v="47099"/>
    <x v="3"/>
    <n v="0.18359999999999999"/>
    <x v="4"/>
    <s v="Owned"/>
    <n v="1"/>
    <n v="3"/>
    <s v="No"/>
    <s v="No"/>
    <x v="4"/>
    <n v="49874"/>
    <x v="1297"/>
    <x v="71"/>
    <x v="940"/>
    <x v="0"/>
    <x v="0"/>
    <x v="2"/>
  </r>
  <r>
    <x v="1303"/>
    <s v="Destiny Simmons"/>
    <x v="8"/>
    <x v="0"/>
    <x v="3"/>
    <s v="Postgraduate"/>
    <x v="1"/>
    <n v="21831"/>
    <n v="491"/>
    <n v="21561"/>
    <x v="0"/>
    <n v="0.16200000000000001"/>
    <x v="5"/>
    <s v="Owned"/>
    <n v="19"/>
    <n v="1"/>
    <s v="No"/>
    <s v="No"/>
    <x v="2"/>
    <n v="63561"/>
    <x v="1298"/>
    <x v="10"/>
    <x v="520"/>
    <x v="0"/>
    <x v="1"/>
    <x v="2"/>
  </r>
  <r>
    <x v="1304"/>
    <s v="Alicia Kelley"/>
    <x v="17"/>
    <x v="0"/>
    <x v="2"/>
    <s v="Postgraduate"/>
    <x v="1"/>
    <n v="68367"/>
    <n v="491"/>
    <n v="5606"/>
    <x v="0"/>
    <n v="0.13339999999999999"/>
    <x v="2"/>
    <s v="Rented"/>
    <n v="6"/>
    <n v="1"/>
    <s v="No"/>
    <s v="Yes"/>
    <x v="0"/>
    <n v="46996"/>
    <x v="1299"/>
    <x v="34"/>
    <x v="646"/>
    <x v="0"/>
    <x v="0"/>
    <x v="2"/>
  </r>
  <r>
    <x v="1305"/>
    <s v="Nicole Gibson"/>
    <x v="40"/>
    <x v="0"/>
    <x v="1"/>
    <s v="High School"/>
    <x v="2"/>
    <n v="146150"/>
    <n v="490"/>
    <n v="2502"/>
    <x v="1"/>
    <n v="0.1308"/>
    <x v="3"/>
    <s v="Mortgaged"/>
    <n v="2"/>
    <n v="2"/>
    <s v="No"/>
    <s v="No"/>
    <x v="1"/>
    <n v="140324"/>
    <x v="1300"/>
    <x v="3"/>
    <x v="434"/>
    <x v="0"/>
    <x v="0"/>
    <x v="2"/>
  </r>
  <r>
    <x v="1306"/>
    <s v="Rhonda Ford"/>
    <x v="5"/>
    <x v="0"/>
    <x v="3"/>
    <s v="High School"/>
    <x v="3"/>
    <n v="103049"/>
    <n v="490"/>
    <n v="16701"/>
    <x v="4"/>
    <n v="0.16269999999999998"/>
    <x v="4"/>
    <s v="Rented"/>
    <n v="10"/>
    <n v="4"/>
    <s v="No"/>
    <s v="No"/>
    <x v="3"/>
    <n v="127247"/>
    <x v="1301"/>
    <x v="40"/>
    <x v="783"/>
    <x v="0"/>
    <x v="0"/>
    <x v="2"/>
  </r>
  <r>
    <x v="1307"/>
    <s v="Amy Montgomery"/>
    <x v="9"/>
    <x v="1"/>
    <x v="2"/>
    <s v="High School"/>
    <x v="0"/>
    <n v="58231"/>
    <n v="490"/>
    <n v="39745"/>
    <x v="2"/>
    <n v="0.1084"/>
    <x v="3"/>
    <s v="Mortgaged"/>
    <n v="16"/>
    <n v="4"/>
    <s v="Yes"/>
    <s v="No"/>
    <x v="0"/>
    <n v="62907"/>
    <x v="1302"/>
    <x v="44"/>
    <x v="941"/>
    <x v="1"/>
    <x v="0"/>
    <x v="2"/>
  </r>
  <r>
    <x v="1308"/>
    <s v="Laura Wilson"/>
    <x v="31"/>
    <x v="1"/>
    <x v="0"/>
    <s v="Graduate"/>
    <x v="1"/>
    <n v="71040"/>
    <n v="490"/>
    <n v="47309"/>
    <x v="3"/>
    <n v="0.14710000000000001"/>
    <x v="1"/>
    <s v="Rented"/>
    <n v="19"/>
    <n v="3"/>
    <s v="No"/>
    <s v="Yes"/>
    <x v="1"/>
    <n v="98684"/>
    <x v="1303"/>
    <x v="70"/>
    <x v="2"/>
    <x v="1"/>
    <x v="1"/>
    <x v="2"/>
  </r>
  <r>
    <x v="1309"/>
    <s v="David Davis"/>
    <x v="27"/>
    <x v="0"/>
    <x v="2"/>
    <s v="Graduate"/>
    <x v="2"/>
    <n v="111228"/>
    <n v="490"/>
    <n v="3837"/>
    <x v="1"/>
    <n v="8.9499999999999996E-2"/>
    <x v="5"/>
    <s v="Mortgaged"/>
    <n v="11"/>
    <n v="0"/>
    <s v="Yes"/>
    <s v="Yes"/>
    <x v="1"/>
    <n v="68712"/>
    <x v="1304"/>
    <x v="22"/>
    <x v="942"/>
    <x v="1"/>
    <x v="0"/>
    <x v="2"/>
  </r>
  <r>
    <x v="1310"/>
    <s v="Gordon Delacruz"/>
    <x v="18"/>
    <x v="1"/>
    <x v="0"/>
    <s v="PhD"/>
    <x v="1"/>
    <n v="25141"/>
    <n v="489"/>
    <n v="47170"/>
    <x v="2"/>
    <n v="0.16870000000000002"/>
    <x v="0"/>
    <s v="Owned"/>
    <n v="24"/>
    <n v="3"/>
    <s v="No"/>
    <s v="No"/>
    <x v="0"/>
    <n v="150772"/>
    <x v="1305"/>
    <x v="10"/>
    <x v="318"/>
    <x v="1"/>
    <x v="0"/>
    <x v="2"/>
  </r>
  <r>
    <x v="1311"/>
    <s v="Alan Brown"/>
    <x v="0"/>
    <x v="0"/>
    <x v="2"/>
    <s v="Graduate"/>
    <x v="3"/>
    <n v="144693"/>
    <n v="489"/>
    <n v="48117"/>
    <x v="0"/>
    <n v="0.17030000000000001"/>
    <x v="3"/>
    <s v="Rented"/>
    <n v="1"/>
    <n v="0"/>
    <s v="No"/>
    <s v="No"/>
    <x v="2"/>
    <n v="68412"/>
    <x v="1306"/>
    <x v="76"/>
    <x v="229"/>
    <x v="1"/>
    <x v="0"/>
    <x v="2"/>
  </r>
  <r>
    <x v="1312"/>
    <s v="Kayla Fuller"/>
    <x v="6"/>
    <x v="1"/>
    <x v="2"/>
    <s v="Postgraduate"/>
    <x v="3"/>
    <n v="147898"/>
    <n v="488"/>
    <n v="8820"/>
    <x v="3"/>
    <n v="0.1754"/>
    <x v="3"/>
    <s v="Mortgaged"/>
    <n v="17"/>
    <n v="2"/>
    <s v="No"/>
    <s v="No"/>
    <x v="1"/>
    <n v="185085"/>
    <x v="1307"/>
    <x v="85"/>
    <x v="943"/>
    <x v="0"/>
    <x v="0"/>
    <x v="2"/>
  </r>
  <r>
    <x v="1313"/>
    <s v="Casey Morales"/>
    <x v="10"/>
    <x v="0"/>
    <x v="0"/>
    <s v="High School"/>
    <x v="3"/>
    <n v="102674"/>
    <n v="488"/>
    <n v="16100"/>
    <x v="4"/>
    <n v="5.2600000000000001E-2"/>
    <x v="1"/>
    <s v="Mortgaged"/>
    <n v="21"/>
    <n v="0"/>
    <s v="No"/>
    <s v="Yes"/>
    <x v="1"/>
    <n v="177734"/>
    <x v="1308"/>
    <x v="36"/>
    <x v="944"/>
    <x v="0"/>
    <x v="0"/>
    <x v="2"/>
  </r>
  <r>
    <x v="1314"/>
    <s v="Jessica Rodriguez"/>
    <x v="2"/>
    <x v="0"/>
    <x v="0"/>
    <s v="Postgraduate"/>
    <x v="1"/>
    <n v="75718"/>
    <n v="488"/>
    <n v="17191"/>
    <x v="3"/>
    <n v="0.154"/>
    <x v="5"/>
    <s v="Mortgaged"/>
    <n v="9"/>
    <n v="2"/>
    <s v="Yes"/>
    <s v="Yes"/>
    <x v="4"/>
    <n v="15739"/>
    <x v="1309"/>
    <x v="52"/>
    <x v="945"/>
    <x v="1"/>
    <x v="0"/>
    <x v="2"/>
  </r>
  <r>
    <x v="1315"/>
    <s v="Vincent Chavez"/>
    <x v="40"/>
    <x v="0"/>
    <x v="1"/>
    <s v="Graduate"/>
    <x v="0"/>
    <n v="59029"/>
    <n v="488"/>
    <n v="3369"/>
    <x v="4"/>
    <n v="0.12140000000000001"/>
    <x v="0"/>
    <s v="Owned"/>
    <n v="28"/>
    <n v="0"/>
    <s v="Yes"/>
    <s v="No"/>
    <x v="3"/>
    <n v="17057"/>
    <x v="1310"/>
    <x v="44"/>
    <x v="121"/>
    <x v="1"/>
    <x v="0"/>
    <x v="2"/>
  </r>
  <r>
    <x v="1316"/>
    <s v="Erica Strickland MD"/>
    <x v="35"/>
    <x v="0"/>
    <x v="1"/>
    <s v="High School"/>
    <x v="1"/>
    <n v="40981"/>
    <n v="487"/>
    <n v="47870"/>
    <x v="3"/>
    <n v="0.16339999999999999"/>
    <x v="4"/>
    <s v="Owned"/>
    <n v="5"/>
    <n v="2"/>
    <s v="Yes"/>
    <s v="No"/>
    <x v="3"/>
    <n v="70472"/>
    <x v="1311"/>
    <x v="21"/>
    <x v="946"/>
    <x v="0"/>
    <x v="0"/>
    <x v="2"/>
  </r>
  <r>
    <x v="1317"/>
    <s v="Richard Stewart"/>
    <x v="13"/>
    <x v="1"/>
    <x v="2"/>
    <s v="PhD"/>
    <x v="0"/>
    <n v="52826"/>
    <n v="487"/>
    <n v="22326"/>
    <x v="0"/>
    <n v="0.1575"/>
    <x v="2"/>
    <s v="Owned"/>
    <n v="29"/>
    <n v="2"/>
    <s v="Yes"/>
    <s v="No"/>
    <x v="4"/>
    <n v="165387"/>
    <x v="1312"/>
    <x v="64"/>
    <x v="40"/>
    <x v="1"/>
    <x v="0"/>
    <x v="2"/>
  </r>
  <r>
    <x v="1318"/>
    <s v="Kenneth Gray"/>
    <x v="38"/>
    <x v="0"/>
    <x v="1"/>
    <s v="Postgraduate"/>
    <x v="1"/>
    <n v="31434"/>
    <n v="487"/>
    <n v="6950"/>
    <x v="1"/>
    <n v="0.16020000000000001"/>
    <x v="1"/>
    <s v="Mortgaged"/>
    <n v="12"/>
    <n v="3"/>
    <s v="No"/>
    <s v="No"/>
    <x v="3"/>
    <n v="109001"/>
    <x v="1313"/>
    <x v="76"/>
    <x v="730"/>
    <x v="1"/>
    <x v="0"/>
    <x v="2"/>
  </r>
  <r>
    <x v="1319"/>
    <s v="Diane Owens"/>
    <x v="11"/>
    <x v="0"/>
    <x v="3"/>
    <s v="Postgraduate"/>
    <x v="3"/>
    <n v="121311"/>
    <n v="486"/>
    <n v="11315"/>
    <x v="3"/>
    <n v="9.8100000000000007E-2"/>
    <x v="4"/>
    <s v="Mortgaged"/>
    <n v="14"/>
    <n v="0"/>
    <s v="No"/>
    <s v="Yes"/>
    <x v="4"/>
    <n v="1063"/>
    <x v="1314"/>
    <x v="23"/>
    <x v="947"/>
    <x v="1"/>
    <x v="0"/>
    <x v="2"/>
  </r>
  <r>
    <x v="1320"/>
    <s v="Mary Gardner"/>
    <x v="10"/>
    <x v="1"/>
    <x v="3"/>
    <s v="PhD"/>
    <x v="1"/>
    <n v="43840"/>
    <n v="486"/>
    <n v="3377"/>
    <x v="4"/>
    <n v="9.9299999999999999E-2"/>
    <x v="0"/>
    <s v="Mortgaged"/>
    <n v="9"/>
    <n v="3"/>
    <s v="No"/>
    <s v="Yes"/>
    <x v="3"/>
    <n v="60267"/>
    <x v="1315"/>
    <x v="73"/>
    <x v="328"/>
    <x v="1"/>
    <x v="0"/>
    <x v="2"/>
  </r>
  <r>
    <x v="1321"/>
    <s v="William Carroll"/>
    <x v="5"/>
    <x v="1"/>
    <x v="3"/>
    <s v="High School"/>
    <x v="0"/>
    <n v="133430"/>
    <n v="486"/>
    <n v="45859"/>
    <x v="1"/>
    <n v="0.1137"/>
    <x v="2"/>
    <s v="Owned"/>
    <n v="8"/>
    <n v="4"/>
    <s v="Yes"/>
    <s v="Yes"/>
    <x v="0"/>
    <n v="13417"/>
    <x v="1316"/>
    <x v="22"/>
    <x v="948"/>
    <x v="1"/>
    <x v="0"/>
    <x v="2"/>
  </r>
  <r>
    <x v="1322"/>
    <s v="Stephanie Clayton"/>
    <x v="33"/>
    <x v="0"/>
    <x v="3"/>
    <s v="Postgraduate"/>
    <x v="1"/>
    <n v="26789"/>
    <n v="486"/>
    <n v="8207"/>
    <x v="4"/>
    <n v="0.17780000000000001"/>
    <x v="3"/>
    <s v="Owned"/>
    <n v="16"/>
    <n v="0"/>
    <s v="Yes"/>
    <s v="Yes"/>
    <x v="4"/>
    <n v="33025"/>
    <x v="1317"/>
    <x v="53"/>
    <x v="949"/>
    <x v="1"/>
    <x v="1"/>
    <x v="2"/>
  </r>
  <r>
    <x v="1323"/>
    <s v="Paula Wallace"/>
    <x v="17"/>
    <x v="1"/>
    <x v="1"/>
    <s v="PhD"/>
    <x v="0"/>
    <n v="114491"/>
    <n v="486"/>
    <n v="16911"/>
    <x v="4"/>
    <n v="0.1517"/>
    <x v="4"/>
    <s v="Mortgaged"/>
    <n v="26"/>
    <n v="3"/>
    <s v="Yes"/>
    <s v="Yes"/>
    <x v="1"/>
    <n v="171508"/>
    <x v="1318"/>
    <x v="15"/>
    <x v="761"/>
    <x v="1"/>
    <x v="0"/>
    <x v="2"/>
  </r>
  <r>
    <x v="1324"/>
    <s v="Elizabeth Bryan"/>
    <x v="7"/>
    <x v="1"/>
    <x v="3"/>
    <s v="Postgraduate"/>
    <x v="0"/>
    <n v="70830"/>
    <n v="486"/>
    <n v="24813"/>
    <x v="3"/>
    <n v="8.539999999999999E-2"/>
    <x v="1"/>
    <s v="Mortgaged"/>
    <n v="5"/>
    <n v="3"/>
    <s v="Yes"/>
    <s v="No"/>
    <x v="0"/>
    <n v="1229"/>
    <x v="1319"/>
    <x v="89"/>
    <x v="950"/>
    <x v="0"/>
    <x v="0"/>
    <x v="2"/>
  </r>
  <r>
    <x v="1325"/>
    <s v="William Warren"/>
    <x v="1"/>
    <x v="0"/>
    <x v="2"/>
    <s v="Graduate"/>
    <x v="1"/>
    <n v="33403"/>
    <n v="485"/>
    <n v="31048"/>
    <x v="0"/>
    <n v="0.12330000000000001"/>
    <x v="1"/>
    <s v="Rented"/>
    <n v="25"/>
    <n v="2"/>
    <s v="No"/>
    <s v="No"/>
    <x v="4"/>
    <n v="4852"/>
    <x v="1320"/>
    <x v="37"/>
    <x v="951"/>
    <x v="1"/>
    <x v="0"/>
    <x v="2"/>
  </r>
  <r>
    <x v="1326"/>
    <s v="Tyler Wood"/>
    <x v="27"/>
    <x v="1"/>
    <x v="1"/>
    <s v="Postgraduate"/>
    <x v="1"/>
    <n v="81554"/>
    <n v="485"/>
    <n v="45291"/>
    <x v="3"/>
    <n v="0.11509999999999999"/>
    <x v="2"/>
    <s v="Owned"/>
    <n v="17"/>
    <n v="0"/>
    <s v="Yes"/>
    <s v="No"/>
    <x v="4"/>
    <n v="144544"/>
    <x v="1321"/>
    <x v="1"/>
    <x v="952"/>
    <x v="0"/>
    <x v="0"/>
    <x v="2"/>
  </r>
  <r>
    <x v="1327"/>
    <s v="Tracy Mendoza"/>
    <x v="25"/>
    <x v="1"/>
    <x v="1"/>
    <s v="High School"/>
    <x v="1"/>
    <n v="118919"/>
    <n v="485"/>
    <n v="34758"/>
    <x v="4"/>
    <n v="0.11470000000000001"/>
    <x v="3"/>
    <s v="Mortgaged"/>
    <n v="27"/>
    <n v="4"/>
    <s v="No"/>
    <s v="No"/>
    <x v="3"/>
    <n v="102654"/>
    <x v="1322"/>
    <x v="47"/>
    <x v="953"/>
    <x v="0"/>
    <x v="0"/>
    <x v="2"/>
  </r>
  <r>
    <x v="1328"/>
    <s v="Monique Ray"/>
    <x v="7"/>
    <x v="0"/>
    <x v="0"/>
    <s v="Graduate"/>
    <x v="1"/>
    <n v="106282"/>
    <n v="485"/>
    <n v="41750"/>
    <x v="2"/>
    <n v="0.1648"/>
    <x v="4"/>
    <s v="Rented"/>
    <n v="13"/>
    <n v="3"/>
    <s v="No"/>
    <s v="No"/>
    <x v="3"/>
    <n v="13021"/>
    <x v="1323"/>
    <x v="48"/>
    <x v="954"/>
    <x v="0"/>
    <x v="0"/>
    <x v="2"/>
  </r>
  <r>
    <x v="1329"/>
    <s v="Aaron Rhodes"/>
    <x v="12"/>
    <x v="1"/>
    <x v="3"/>
    <s v="Graduate"/>
    <x v="3"/>
    <n v="124601"/>
    <n v="483"/>
    <n v="44075"/>
    <x v="4"/>
    <n v="0.10249999999999999"/>
    <x v="4"/>
    <s v="Owned"/>
    <n v="20"/>
    <n v="2"/>
    <s v="Yes"/>
    <s v="No"/>
    <x v="0"/>
    <n v="109165"/>
    <x v="1324"/>
    <x v="22"/>
    <x v="259"/>
    <x v="1"/>
    <x v="0"/>
    <x v="2"/>
  </r>
  <r>
    <x v="1330"/>
    <s v="Jeremy Estrada"/>
    <x v="40"/>
    <x v="1"/>
    <x v="1"/>
    <s v="High School"/>
    <x v="1"/>
    <n v="55030"/>
    <n v="483"/>
    <n v="21293"/>
    <x v="2"/>
    <n v="6.1699999999999998E-2"/>
    <x v="2"/>
    <s v="Rented"/>
    <n v="26"/>
    <n v="3"/>
    <s v="Yes"/>
    <s v="No"/>
    <x v="4"/>
    <n v="112225"/>
    <x v="1325"/>
    <x v="53"/>
    <x v="955"/>
    <x v="0"/>
    <x v="0"/>
    <x v="2"/>
  </r>
  <r>
    <x v="1331"/>
    <s v="Frank Hartman"/>
    <x v="7"/>
    <x v="1"/>
    <x v="0"/>
    <s v="Graduate"/>
    <x v="0"/>
    <n v="120537"/>
    <n v="483"/>
    <n v="40451"/>
    <x v="3"/>
    <n v="6.0700000000000004E-2"/>
    <x v="0"/>
    <s v="Owned"/>
    <n v="9"/>
    <n v="3"/>
    <s v="Yes"/>
    <s v="Yes"/>
    <x v="4"/>
    <n v="2589"/>
    <x v="1326"/>
    <x v="22"/>
    <x v="956"/>
    <x v="0"/>
    <x v="0"/>
    <x v="2"/>
  </r>
  <r>
    <x v="1332"/>
    <s v="Jason Murray"/>
    <x v="16"/>
    <x v="0"/>
    <x v="2"/>
    <s v="Postgraduate"/>
    <x v="0"/>
    <n v="30150"/>
    <n v="483"/>
    <n v="25855"/>
    <x v="2"/>
    <n v="8.1099999999999992E-2"/>
    <x v="3"/>
    <s v="Rented"/>
    <n v="18"/>
    <n v="0"/>
    <s v="Yes"/>
    <s v="No"/>
    <x v="4"/>
    <n v="100584"/>
    <x v="1327"/>
    <x v="53"/>
    <x v="271"/>
    <x v="0"/>
    <x v="0"/>
    <x v="2"/>
  </r>
  <r>
    <x v="1333"/>
    <s v="Matthew Chung"/>
    <x v="41"/>
    <x v="1"/>
    <x v="0"/>
    <s v="PhD"/>
    <x v="1"/>
    <n v="53161"/>
    <n v="483"/>
    <n v="14715"/>
    <x v="2"/>
    <n v="7.8E-2"/>
    <x v="1"/>
    <s v="Mortgaged"/>
    <n v="24"/>
    <n v="1"/>
    <s v="No"/>
    <s v="Yes"/>
    <x v="4"/>
    <n v="184681"/>
    <x v="1328"/>
    <x v="50"/>
    <x v="957"/>
    <x v="0"/>
    <x v="1"/>
    <x v="2"/>
  </r>
  <r>
    <x v="1334"/>
    <s v="Travis Walker"/>
    <x v="42"/>
    <x v="0"/>
    <x v="2"/>
    <s v="PhD"/>
    <x v="1"/>
    <n v="43097"/>
    <n v="482"/>
    <n v="38921"/>
    <x v="4"/>
    <n v="5.4699999999999999E-2"/>
    <x v="1"/>
    <s v="Rented"/>
    <n v="27"/>
    <n v="0"/>
    <s v="No"/>
    <s v="No"/>
    <x v="2"/>
    <n v="134520"/>
    <x v="1329"/>
    <x v="86"/>
    <x v="716"/>
    <x v="1"/>
    <x v="1"/>
    <x v="2"/>
  </r>
  <r>
    <x v="1335"/>
    <s v="Daniel Parks"/>
    <x v="8"/>
    <x v="1"/>
    <x v="1"/>
    <s v="Postgraduate"/>
    <x v="1"/>
    <n v="110467"/>
    <n v="482"/>
    <n v="28498"/>
    <x v="3"/>
    <n v="6.8000000000000005E-2"/>
    <x v="0"/>
    <s v="Rented"/>
    <n v="7"/>
    <n v="4"/>
    <s v="No"/>
    <s v="No"/>
    <x v="4"/>
    <n v="85675"/>
    <x v="1330"/>
    <x v="33"/>
    <x v="890"/>
    <x v="1"/>
    <x v="0"/>
    <x v="2"/>
  </r>
  <r>
    <x v="1336"/>
    <s v="Sheila Smith"/>
    <x v="18"/>
    <x v="0"/>
    <x v="2"/>
    <s v="PhD"/>
    <x v="1"/>
    <n v="133457"/>
    <n v="482"/>
    <n v="21593"/>
    <x v="2"/>
    <n v="0.14269999999999999"/>
    <x v="0"/>
    <s v="Owned"/>
    <n v="24"/>
    <n v="4"/>
    <s v="No"/>
    <s v="Yes"/>
    <x v="2"/>
    <n v="94527"/>
    <x v="1331"/>
    <x v="4"/>
    <x v="958"/>
    <x v="0"/>
    <x v="0"/>
    <x v="2"/>
  </r>
  <r>
    <x v="1337"/>
    <s v="Jason Lawson"/>
    <x v="3"/>
    <x v="0"/>
    <x v="2"/>
    <s v="High School"/>
    <x v="0"/>
    <n v="83321"/>
    <n v="481"/>
    <n v="41622"/>
    <x v="2"/>
    <n v="7.9199999999999993E-2"/>
    <x v="3"/>
    <s v="Mortgaged"/>
    <n v="14"/>
    <n v="1"/>
    <s v="Yes"/>
    <s v="No"/>
    <x v="3"/>
    <n v="53739"/>
    <x v="1332"/>
    <x v="25"/>
    <x v="841"/>
    <x v="0"/>
    <x v="0"/>
    <x v="2"/>
  </r>
  <r>
    <x v="1338"/>
    <s v="Patrick Ramsey"/>
    <x v="32"/>
    <x v="1"/>
    <x v="2"/>
    <s v="High School"/>
    <x v="3"/>
    <n v="76017"/>
    <n v="480"/>
    <n v="21939"/>
    <x v="4"/>
    <n v="0.17230000000000001"/>
    <x v="4"/>
    <s v="Owned"/>
    <n v="14"/>
    <n v="3"/>
    <s v="No"/>
    <s v="No"/>
    <x v="0"/>
    <n v="31722"/>
    <x v="1333"/>
    <x v="8"/>
    <x v="505"/>
    <x v="0"/>
    <x v="1"/>
    <x v="2"/>
  </r>
  <r>
    <x v="1339"/>
    <s v="Edward Brown"/>
    <x v="25"/>
    <x v="1"/>
    <x v="1"/>
    <s v="High School"/>
    <x v="2"/>
    <n v="34692"/>
    <n v="480"/>
    <n v="12549"/>
    <x v="3"/>
    <n v="7.3899999999999993E-2"/>
    <x v="5"/>
    <s v="Rented"/>
    <n v="19"/>
    <n v="1"/>
    <s v="No"/>
    <s v="Yes"/>
    <x v="1"/>
    <n v="49729"/>
    <x v="1334"/>
    <x v="32"/>
    <x v="436"/>
    <x v="1"/>
    <x v="0"/>
    <x v="2"/>
  </r>
  <r>
    <x v="1340"/>
    <s v="Laura Martin"/>
    <x v="2"/>
    <x v="0"/>
    <x v="2"/>
    <s v="Postgraduate"/>
    <x v="1"/>
    <n v="124675"/>
    <n v="480"/>
    <n v="8311"/>
    <x v="3"/>
    <n v="0.1076"/>
    <x v="5"/>
    <s v="Mortgaged"/>
    <n v="8"/>
    <n v="0"/>
    <s v="Yes"/>
    <s v="No"/>
    <x v="2"/>
    <n v="101438"/>
    <x v="1335"/>
    <x v="87"/>
    <x v="888"/>
    <x v="0"/>
    <x v="0"/>
    <x v="2"/>
  </r>
  <r>
    <x v="1341"/>
    <s v="Jay Payne"/>
    <x v="5"/>
    <x v="0"/>
    <x v="3"/>
    <s v="High School"/>
    <x v="1"/>
    <n v="57260"/>
    <n v="479"/>
    <n v="37725"/>
    <x v="4"/>
    <n v="0.13789999999999999"/>
    <x v="2"/>
    <s v="Mortgaged"/>
    <n v="8"/>
    <n v="3"/>
    <s v="Yes"/>
    <s v="Yes"/>
    <x v="1"/>
    <n v="38921"/>
    <x v="1336"/>
    <x v="64"/>
    <x v="959"/>
    <x v="1"/>
    <x v="0"/>
    <x v="2"/>
  </r>
  <r>
    <x v="1342"/>
    <s v="Michaela Smith PhD"/>
    <x v="35"/>
    <x v="1"/>
    <x v="0"/>
    <s v="Graduate"/>
    <x v="3"/>
    <n v="107236"/>
    <n v="479"/>
    <n v="9747"/>
    <x v="0"/>
    <n v="0.18679999999999999"/>
    <x v="1"/>
    <s v="Owned"/>
    <n v="13"/>
    <n v="1"/>
    <s v="Yes"/>
    <s v="Yes"/>
    <x v="0"/>
    <n v="153450"/>
    <x v="587"/>
    <x v="70"/>
    <x v="960"/>
    <x v="0"/>
    <x v="1"/>
    <x v="2"/>
  </r>
  <r>
    <x v="1343"/>
    <s v="Jessica Wheeler"/>
    <x v="37"/>
    <x v="1"/>
    <x v="3"/>
    <s v="High School"/>
    <x v="2"/>
    <n v="128775"/>
    <n v="479"/>
    <n v="48249"/>
    <x v="1"/>
    <n v="0.1482"/>
    <x v="4"/>
    <s v="Rented"/>
    <n v="8"/>
    <n v="1"/>
    <s v="Yes"/>
    <s v="Yes"/>
    <x v="3"/>
    <n v="21053"/>
    <x v="1337"/>
    <x v="43"/>
    <x v="961"/>
    <x v="0"/>
    <x v="0"/>
    <x v="2"/>
  </r>
  <r>
    <x v="1344"/>
    <s v="Dawn Fitzpatrick"/>
    <x v="7"/>
    <x v="0"/>
    <x v="1"/>
    <s v="High School"/>
    <x v="2"/>
    <n v="90248"/>
    <n v="479"/>
    <n v="3076"/>
    <x v="3"/>
    <n v="0.18059999999999998"/>
    <x v="1"/>
    <s v="Rented"/>
    <n v="5"/>
    <n v="2"/>
    <s v="No"/>
    <s v="Yes"/>
    <x v="3"/>
    <n v="133135"/>
    <x v="1338"/>
    <x v="19"/>
    <x v="903"/>
    <x v="1"/>
    <x v="1"/>
    <x v="2"/>
  </r>
  <r>
    <x v="1345"/>
    <s v="Sarah Robinson"/>
    <x v="20"/>
    <x v="0"/>
    <x v="2"/>
    <s v="Postgraduate"/>
    <x v="0"/>
    <n v="117382"/>
    <n v="478"/>
    <n v="49205"/>
    <x v="4"/>
    <n v="0.18030000000000002"/>
    <x v="3"/>
    <s v="Rented"/>
    <n v="22"/>
    <n v="3"/>
    <s v="Yes"/>
    <s v="No"/>
    <x v="3"/>
    <n v="35927"/>
    <x v="1339"/>
    <x v="36"/>
    <x v="962"/>
    <x v="1"/>
    <x v="0"/>
    <x v="2"/>
  </r>
  <r>
    <x v="1346"/>
    <s v="Vicki Berg"/>
    <x v="40"/>
    <x v="0"/>
    <x v="0"/>
    <s v="Postgraduate"/>
    <x v="3"/>
    <n v="137174"/>
    <n v="478"/>
    <n v="14412"/>
    <x v="3"/>
    <n v="5.6900000000000006E-2"/>
    <x v="3"/>
    <s v="Rented"/>
    <n v="17"/>
    <n v="4"/>
    <s v="Yes"/>
    <s v="No"/>
    <x v="3"/>
    <n v="124458"/>
    <x v="1340"/>
    <x v="87"/>
    <x v="110"/>
    <x v="0"/>
    <x v="0"/>
    <x v="2"/>
  </r>
  <r>
    <x v="1347"/>
    <s v="David Powell"/>
    <x v="38"/>
    <x v="0"/>
    <x v="0"/>
    <s v="Postgraduate"/>
    <x v="1"/>
    <n v="145610"/>
    <n v="478"/>
    <n v="41134"/>
    <x v="1"/>
    <n v="7.690000000000001E-2"/>
    <x v="5"/>
    <s v="Mortgaged"/>
    <n v="13"/>
    <n v="2"/>
    <s v="Yes"/>
    <s v="No"/>
    <x v="0"/>
    <n v="151818"/>
    <x v="1341"/>
    <x v="63"/>
    <x v="765"/>
    <x v="0"/>
    <x v="0"/>
    <x v="2"/>
  </r>
  <r>
    <x v="1348"/>
    <s v="Christine Oneal"/>
    <x v="18"/>
    <x v="1"/>
    <x v="1"/>
    <s v="Postgraduate"/>
    <x v="3"/>
    <n v="143193"/>
    <n v="477"/>
    <n v="6239"/>
    <x v="0"/>
    <n v="0.1573"/>
    <x v="0"/>
    <s v="Rented"/>
    <n v="14"/>
    <n v="3"/>
    <s v="Yes"/>
    <s v="No"/>
    <x v="4"/>
    <n v="189749"/>
    <x v="1342"/>
    <x v="66"/>
    <x v="963"/>
    <x v="0"/>
    <x v="0"/>
    <x v="2"/>
  </r>
  <r>
    <x v="1349"/>
    <s v="Lorraine Carter"/>
    <x v="38"/>
    <x v="0"/>
    <x v="2"/>
    <s v="Postgraduate"/>
    <x v="0"/>
    <n v="147717"/>
    <n v="477"/>
    <n v="22354"/>
    <x v="1"/>
    <n v="0.14249999999999999"/>
    <x v="3"/>
    <s v="Rented"/>
    <n v="8"/>
    <n v="0"/>
    <s v="Yes"/>
    <s v="Yes"/>
    <x v="1"/>
    <n v="47674"/>
    <x v="1343"/>
    <x v="44"/>
    <x v="964"/>
    <x v="0"/>
    <x v="0"/>
    <x v="2"/>
  </r>
  <r>
    <x v="1350"/>
    <s v="Mary Smith"/>
    <x v="29"/>
    <x v="1"/>
    <x v="1"/>
    <s v="Postgraduate"/>
    <x v="2"/>
    <n v="97567"/>
    <n v="477"/>
    <n v="19677"/>
    <x v="0"/>
    <n v="0.1462"/>
    <x v="0"/>
    <s v="Mortgaged"/>
    <n v="13"/>
    <n v="1"/>
    <s v="No"/>
    <s v="Yes"/>
    <x v="3"/>
    <n v="3687"/>
    <x v="1344"/>
    <x v="33"/>
    <x v="833"/>
    <x v="0"/>
    <x v="0"/>
    <x v="2"/>
  </r>
  <r>
    <x v="1351"/>
    <s v="Tammie Jordan"/>
    <x v="32"/>
    <x v="0"/>
    <x v="0"/>
    <s v="Graduate"/>
    <x v="1"/>
    <n v="68037"/>
    <n v="477"/>
    <n v="12519"/>
    <x v="0"/>
    <n v="6.3500000000000001E-2"/>
    <x v="3"/>
    <s v="Rented"/>
    <n v="15"/>
    <n v="0"/>
    <s v="Yes"/>
    <s v="Yes"/>
    <x v="3"/>
    <n v="107596"/>
    <x v="1345"/>
    <x v="81"/>
    <x v="88"/>
    <x v="1"/>
    <x v="0"/>
    <x v="2"/>
  </r>
  <r>
    <x v="1352"/>
    <s v="Kimberly Khan"/>
    <x v="29"/>
    <x v="1"/>
    <x v="1"/>
    <s v="Graduate"/>
    <x v="2"/>
    <n v="125909"/>
    <n v="477"/>
    <n v="19672"/>
    <x v="1"/>
    <n v="0.11710000000000001"/>
    <x v="3"/>
    <s v="Rented"/>
    <n v="6"/>
    <n v="4"/>
    <s v="Yes"/>
    <s v="Yes"/>
    <x v="0"/>
    <n v="108987"/>
    <x v="1346"/>
    <x v="50"/>
    <x v="487"/>
    <x v="1"/>
    <x v="0"/>
    <x v="2"/>
  </r>
  <r>
    <x v="1353"/>
    <s v="Julia Mata"/>
    <x v="6"/>
    <x v="0"/>
    <x v="0"/>
    <s v="PhD"/>
    <x v="2"/>
    <n v="37205"/>
    <n v="476"/>
    <n v="26989"/>
    <x v="4"/>
    <n v="0.10210000000000001"/>
    <x v="2"/>
    <s v="Mortgaged"/>
    <n v="14"/>
    <n v="1"/>
    <s v="No"/>
    <s v="Yes"/>
    <x v="4"/>
    <n v="53602"/>
    <x v="1347"/>
    <x v="57"/>
    <x v="965"/>
    <x v="0"/>
    <x v="0"/>
    <x v="2"/>
  </r>
  <r>
    <x v="1354"/>
    <s v="Jerry Wang"/>
    <x v="27"/>
    <x v="0"/>
    <x v="0"/>
    <s v="PhD"/>
    <x v="2"/>
    <n v="83668"/>
    <n v="476"/>
    <n v="34586"/>
    <x v="3"/>
    <n v="7.3200000000000001E-2"/>
    <x v="2"/>
    <s v="Owned"/>
    <n v="1"/>
    <n v="0"/>
    <s v="Yes"/>
    <s v="No"/>
    <x v="2"/>
    <n v="75012"/>
    <x v="1348"/>
    <x v="76"/>
    <x v="589"/>
    <x v="1"/>
    <x v="1"/>
    <x v="2"/>
  </r>
  <r>
    <x v="1355"/>
    <s v="Brandon Potts"/>
    <x v="15"/>
    <x v="1"/>
    <x v="3"/>
    <s v="Postgraduate"/>
    <x v="3"/>
    <n v="119226"/>
    <n v="475"/>
    <n v="24052"/>
    <x v="1"/>
    <n v="0.17"/>
    <x v="2"/>
    <s v="Mortgaged"/>
    <n v="18"/>
    <n v="3"/>
    <s v="Yes"/>
    <s v="No"/>
    <x v="2"/>
    <n v="53482"/>
    <x v="1349"/>
    <x v="25"/>
    <x v="966"/>
    <x v="0"/>
    <x v="1"/>
    <x v="2"/>
  </r>
  <r>
    <x v="1356"/>
    <s v="Daniel Hodges"/>
    <x v="26"/>
    <x v="1"/>
    <x v="2"/>
    <s v="PhD"/>
    <x v="3"/>
    <n v="36532"/>
    <n v="475"/>
    <n v="8043"/>
    <x v="3"/>
    <n v="0.183"/>
    <x v="5"/>
    <s v="Owned"/>
    <n v="21"/>
    <n v="2"/>
    <s v="Yes"/>
    <s v="Yes"/>
    <x v="3"/>
    <n v="81254"/>
    <x v="1350"/>
    <x v="35"/>
    <x v="967"/>
    <x v="1"/>
    <x v="0"/>
    <x v="2"/>
  </r>
  <r>
    <x v="1357"/>
    <s v="Angela Miller"/>
    <x v="0"/>
    <x v="0"/>
    <x v="1"/>
    <s v="Postgraduate"/>
    <x v="0"/>
    <n v="123496"/>
    <n v="475"/>
    <n v="26714"/>
    <x v="2"/>
    <n v="0.1993"/>
    <x v="5"/>
    <s v="Owned"/>
    <n v="16"/>
    <n v="4"/>
    <s v="No"/>
    <s v="Yes"/>
    <x v="4"/>
    <n v="4418"/>
    <x v="1351"/>
    <x v="43"/>
    <x v="968"/>
    <x v="1"/>
    <x v="0"/>
    <x v="2"/>
  </r>
  <r>
    <x v="1358"/>
    <s v="Tony Hernandez"/>
    <x v="7"/>
    <x v="1"/>
    <x v="3"/>
    <s v="PhD"/>
    <x v="0"/>
    <n v="59131"/>
    <n v="475"/>
    <n v="18675"/>
    <x v="4"/>
    <n v="6.3700000000000007E-2"/>
    <x v="5"/>
    <s v="Mortgaged"/>
    <n v="6"/>
    <n v="4"/>
    <s v="Yes"/>
    <s v="Yes"/>
    <x v="2"/>
    <n v="179976"/>
    <x v="1352"/>
    <x v="41"/>
    <x v="914"/>
    <x v="1"/>
    <x v="0"/>
    <x v="2"/>
  </r>
  <r>
    <x v="1359"/>
    <s v="Amanda Clarke"/>
    <x v="13"/>
    <x v="0"/>
    <x v="1"/>
    <s v="PhD"/>
    <x v="3"/>
    <n v="40661"/>
    <n v="475"/>
    <n v="33210"/>
    <x v="2"/>
    <n v="0.11470000000000001"/>
    <x v="5"/>
    <s v="Owned"/>
    <n v="20"/>
    <n v="3"/>
    <s v="Yes"/>
    <s v="No"/>
    <x v="2"/>
    <n v="70499"/>
    <x v="1353"/>
    <x v="82"/>
    <x v="969"/>
    <x v="1"/>
    <x v="0"/>
    <x v="2"/>
  </r>
  <r>
    <x v="1360"/>
    <s v="Timothy Baker"/>
    <x v="2"/>
    <x v="1"/>
    <x v="3"/>
    <s v="Graduate"/>
    <x v="3"/>
    <n v="37806"/>
    <n v="474"/>
    <n v="23658"/>
    <x v="4"/>
    <n v="7.4200000000000002E-2"/>
    <x v="3"/>
    <s v="Rented"/>
    <n v="28"/>
    <n v="1"/>
    <s v="No"/>
    <s v="No"/>
    <x v="3"/>
    <n v="96544"/>
    <x v="1354"/>
    <x v="51"/>
    <x v="581"/>
    <x v="0"/>
    <x v="0"/>
    <x v="2"/>
  </r>
  <r>
    <x v="1361"/>
    <s v="Danielle Blackwell"/>
    <x v="33"/>
    <x v="1"/>
    <x v="1"/>
    <s v="High School"/>
    <x v="1"/>
    <n v="23285"/>
    <n v="474"/>
    <n v="19130"/>
    <x v="0"/>
    <n v="0.10619999999999999"/>
    <x v="4"/>
    <s v="Mortgaged"/>
    <n v="25"/>
    <n v="4"/>
    <s v="Yes"/>
    <s v="Yes"/>
    <x v="4"/>
    <n v="15205"/>
    <x v="1355"/>
    <x v="43"/>
    <x v="299"/>
    <x v="1"/>
    <x v="0"/>
    <x v="2"/>
  </r>
  <r>
    <x v="1362"/>
    <s v="Melinda Harris"/>
    <x v="17"/>
    <x v="1"/>
    <x v="2"/>
    <s v="Postgraduate"/>
    <x v="3"/>
    <n v="56613"/>
    <n v="474"/>
    <n v="1824"/>
    <x v="2"/>
    <n v="0.17519999999999999"/>
    <x v="0"/>
    <s v="Rented"/>
    <n v="1"/>
    <n v="1"/>
    <s v="Yes"/>
    <s v="Yes"/>
    <x v="3"/>
    <n v="181498"/>
    <x v="1356"/>
    <x v="10"/>
    <x v="55"/>
    <x v="1"/>
    <x v="0"/>
    <x v="2"/>
  </r>
  <r>
    <x v="1363"/>
    <s v="Tyrone Parrish"/>
    <x v="36"/>
    <x v="1"/>
    <x v="2"/>
    <s v="Postgraduate"/>
    <x v="2"/>
    <n v="35629"/>
    <n v="474"/>
    <n v="34800"/>
    <x v="3"/>
    <n v="0.11509999999999999"/>
    <x v="4"/>
    <s v="Owned"/>
    <n v="9"/>
    <n v="3"/>
    <s v="No"/>
    <s v="No"/>
    <x v="3"/>
    <n v="82102"/>
    <x v="1357"/>
    <x v="33"/>
    <x v="403"/>
    <x v="0"/>
    <x v="0"/>
    <x v="2"/>
  </r>
  <r>
    <x v="1364"/>
    <s v="Christopher Williams"/>
    <x v="17"/>
    <x v="1"/>
    <x v="0"/>
    <s v="Graduate"/>
    <x v="2"/>
    <n v="148692"/>
    <n v="473"/>
    <n v="36109"/>
    <x v="0"/>
    <n v="0.1668"/>
    <x v="2"/>
    <s v="Owned"/>
    <n v="8"/>
    <n v="3"/>
    <s v="No"/>
    <s v="No"/>
    <x v="1"/>
    <n v="184530"/>
    <x v="1358"/>
    <x v="37"/>
    <x v="287"/>
    <x v="0"/>
    <x v="0"/>
    <x v="2"/>
  </r>
  <r>
    <x v="1365"/>
    <s v="Matthew Anderson"/>
    <x v="31"/>
    <x v="0"/>
    <x v="3"/>
    <s v="PhD"/>
    <x v="2"/>
    <n v="59385"/>
    <n v="472"/>
    <n v="29109"/>
    <x v="2"/>
    <n v="9.5899999999999999E-2"/>
    <x v="1"/>
    <s v="Mortgaged"/>
    <n v="3"/>
    <n v="2"/>
    <s v="No"/>
    <s v="Yes"/>
    <x v="4"/>
    <n v="147870"/>
    <x v="1359"/>
    <x v="85"/>
    <x v="0"/>
    <x v="1"/>
    <x v="0"/>
    <x v="2"/>
  </r>
  <r>
    <x v="1366"/>
    <s v="Stephanie Dyer"/>
    <x v="28"/>
    <x v="1"/>
    <x v="1"/>
    <s v="Graduate"/>
    <x v="2"/>
    <n v="145155"/>
    <n v="472"/>
    <n v="15732"/>
    <x v="1"/>
    <n v="0.1358"/>
    <x v="5"/>
    <s v="Rented"/>
    <n v="20"/>
    <n v="1"/>
    <s v="No"/>
    <s v="No"/>
    <x v="4"/>
    <n v="114059"/>
    <x v="1360"/>
    <x v="72"/>
    <x v="24"/>
    <x v="1"/>
    <x v="0"/>
    <x v="2"/>
  </r>
  <r>
    <x v="1367"/>
    <s v="James Davis"/>
    <x v="21"/>
    <x v="1"/>
    <x v="1"/>
    <s v="Postgraduate"/>
    <x v="0"/>
    <n v="35089"/>
    <n v="472"/>
    <n v="9367"/>
    <x v="0"/>
    <n v="0.18969999999999998"/>
    <x v="0"/>
    <s v="Rented"/>
    <n v="28"/>
    <n v="2"/>
    <s v="Yes"/>
    <s v="No"/>
    <x v="1"/>
    <n v="116909"/>
    <x v="1361"/>
    <x v="18"/>
    <x v="970"/>
    <x v="0"/>
    <x v="1"/>
    <x v="2"/>
  </r>
  <r>
    <x v="1368"/>
    <s v="Anthony Adams"/>
    <x v="21"/>
    <x v="1"/>
    <x v="0"/>
    <s v="High School"/>
    <x v="3"/>
    <n v="49545"/>
    <n v="471"/>
    <n v="11327"/>
    <x v="3"/>
    <n v="5.5099999999999996E-2"/>
    <x v="2"/>
    <s v="Owned"/>
    <n v="18"/>
    <n v="3"/>
    <s v="Yes"/>
    <s v="Yes"/>
    <x v="2"/>
    <n v="29581"/>
    <x v="1362"/>
    <x v="18"/>
    <x v="971"/>
    <x v="1"/>
    <x v="0"/>
    <x v="2"/>
  </r>
  <r>
    <x v="1369"/>
    <s v="Stacey Meyer"/>
    <x v="11"/>
    <x v="0"/>
    <x v="2"/>
    <s v="Postgraduate"/>
    <x v="3"/>
    <n v="109234"/>
    <n v="471"/>
    <n v="11518"/>
    <x v="2"/>
    <n v="0.1522"/>
    <x v="1"/>
    <s v="Owned"/>
    <n v="2"/>
    <n v="4"/>
    <s v="Yes"/>
    <s v="No"/>
    <x v="1"/>
    <n v="48610"/>
    <x v="1363"/>
    <x v="18"/>
    <x v="945"/>
    <x v="1"/>
    <x v="0"/>
    <x v="2"/>
  </r>
  <r>
    <x v="1370"/>
    <s v="Mr. Jared Mason"/>
    <x v="9"/>
    <x v="1"/>
    <x v="2"/>
    <s v="Postgraduate"/>
    <x v="2"/>
    <n v="140007"/>
    <n v="471"/>
    <n v="5429"/>
    <x v="4"/>
    <n v="0.16789999999999999"/>
    <x v="2"/>
    <s v="Rented"/>
    <n v="7"/>
    <n v="0"/>
    <s v="No"/>
    <s v="Yes"/>
    <x v="3"/>
    <n v="27068"/>
    <x v="1364"/>
    <x v="1"/>
    <x v="349"/>
    <x v="1"/>
    <x v="0"/>
    <x v="2"/>
  </r>
  <r>
    <x v="1371"/>
    <s v="Jessica Finley"/>
    <x v="28"/>
    <x v="0"/>
    <x v="1"/>
    <s v="High School"/>
    <x v="0"/>
    <n v="21779"/>
    <n v="470"/>
    <n v="8741"/>
    <x v="3"/>
    <n v="0.1245"/>
    <x v="1"/>
    <s v="Owned"/>
    <n v="4"/>
    <n v="0"/>
    <s v="No"/>
    <s v="No"/>
    <x v="4"/>
    <n v="65266"/>
    <x v="1365"/>
    <x v="48"/>
    <x v="972"/>
    <x v="1"/>
    <x v="0"/>
    <x v="2"/>
  </r>
  <r>
    <x v="1372"/>
    <s v="Megan Hamilton"/>
    <x v="4"/>
    <x v="1"/>
    <x v="0"/>
    <s v="Postgraduate"/>
    <x v="2"/>
    <n v="56839"/>
    <n v="470"/>
    <n v="8394"/>
    <x v="2"/>
    <n v="0.15229999999999999"/>
    <x v="2"/>
    <s v="Mortgaged"/>
    <n v="17"/>
    <n v="2"/>
    <s v="Yes"/>
    <s v="No"/>
    <x v="2"/>
    <n v="63012"/>
    <x v="1366"/>
    <x v="50"/>
    <x v="468"/>
    <x v="1"/>
    <x v="0"/>
    <x v="2"/>
  </r>
  <r>
    <x v="1373"/>
    <s v="Brittany Benjamin"/>
    <x v="21"/>
    <x v="0"/>
    <x v="1"/>
    <s v="High School"/>
    <x v="1"/>
    <n v="91621"/>
    <n v="470"/>
    <n v="2832"/>
    <x v="4"/>
    <n v="9.1300000000000006E-2"/>
    <x v="0"/>
    <s v="Owned"/>
    <n v="25"/>
    <n v="0"/>
    <s v="No"/>
    <s v="No"/>
    <x v="3"/>
    <n v="9627"/>
    <x v="1367"/>
    <x v="63"/>
    <x v="192"/>
    <x v="1"/>
    <x v="1"/>
    <x v="2"/>
  </r>
  <r>
    <x v="1374"/>
    <s v="Cesar Frederick"/>
    <x v="11"/>
    <x v="0"/>
    <x v="3"/>
    <s v="High School"/>
    <x v="0"/>
    <n v="31539"/>
    <n v="470"/>
    <n v="1236"/>
    <x v="1"/>
    <n v="0.1545"/>
    <x v="3"/>
    <s v="Owned"/>
    <n v="21"/>
    <n v="4"/>
    <s v="Yes"/>
    <s v="Yes"/>
    <x v="0"/>
    <n v="102806"/>
    <x v="1368"/>
    <x v="51"/>
    <x v="973"/>
    <x v="1"/>
    <x v="0"/>
    <x v="2"/>
  </r>
  <r>
    <x v="1375"/>
    <s v="Drew Berry"/>
    <x v="29"/>
    <x v="1"/>
    <x v="0"/>
    <s v="Graduate"/>
    <x v="2"/>
    <n v="55268"/>
    <n v="469"/>
    <n v="3419"/>
    <x v="3"/>
    <n v="8.7899999999999992E-2"/>
    <x v="3"/>
    <s v="Rented"/>
    <n v="13"/>
    <n v="0"/>
    <s v="Yes"/>
    <s v="Yes"/>
    <x v="2"/>
    <n v="145050"/>
    <x v="1369"/>
    <x v="56"/>
    <x v="371"/>
    <x v="1"/>
    <x v="0"/>
    <x v="2"/>
  </r>
  <r>
    <x v="1376"/>
    <s v="Carolyn Butler"/>
    <x v="29"/>
    <x v="0"/>
    <x v="0"/>
    <s v="Postgraduate"/>
    <x v="2"/>
    <n v="96407"/>
    <n v="469"/>
    <n v="18993"/>
    <x v="3"/>
    <n v="0.14760000000000001"/>
    <x v="3"/>
    <s v="Mortgaged"/>
    <n v="11"/>
    <n v="2"/>
    <s v="No"/>
    <s v="No"/>
    <x v="2"/>
    <n v="154574"/>
    <x v="1370"/>
    <x v="31"/>
    <x v="974"/>
    <x v="1"/>
    <x v="0"/>
    <x v="2"/>
  </r>
  <r>
    <x v="1377"/>
    <s v="Ryan Riley"/>
    <x v="16"/>
    <x v="1"/>
    <x v="1"/>
    <s v="High School"/>
    <x v="1"/>
    <n v="21906"/>
    <n v="469"/>
    <n v="15866"/>
    <x v="3"/>
    <n v="0.1099"/>
    <x v="1"/>
    <s v="Rented"/>
    <n v="9"/>
    <n v="0"/>
    <s v="No"/>
    <s v="No"/>
    <x v="0"/>
    <n v="166286"/>
    <x v="1371"/>
    <x v="18"/>
    <x v="900"/>
    <x v="0"/>
    <x v="0"/>
    <x v="2"/>
  </r>
  <r>
    <x v="1378"/>
    <s v="Christine York"/>
    <x v="33"/>
    <x v="1"/>
    <x v="1"/>
    <s v="Postgraduate"/>
    <x v="0"/>
    <n v="130027"/>
    <n v="469"/>
    <n v="19047"/>
    <x v="3"/>
    <n v="6.3899999999999998E-2"/>
    <x v="3"/>
    <s v="Mortgaged"/>
    <n v="3"/>
    <n v="4"/>
    <s v="Yes"/>
    <s v="No"/>
    <x v="3"/>
    <n v="29347"/>
    <x v="1372"/>
    <x v="88"/>
    <x v="975"/>
    <x v="1"/>
    <x v="0"/>
    <x v="2"/>
  </r>
  <r>
    <x v="1379"/>
    <s v="Daniel Miller"/>
    <x v="20"/>
    <x v="0"/>
    <x v="1"/>
    <s v="Postgraduate"/>
    <x v="0"/>
    <n v="96794"/>
    <n v="469"/>
    <n v="9831"/>
    <x v="0"/>
    <n v="0.11560000000000001"/>
    <x v="5"/>
    <s v="Owned"/>
    <n v="6"/>
    <n v="0"/>
    <s v="No"/>
    <s v="No"/>
    <x v="2"/>
    <n v="157523"/>
    <x v="1373"/>
    <x v="2"/>
    <x v="592"/>
    <x v="0"/>
    <x v="1"/>
    <x v="2"/>
  </r>
  <r>
    <x v="1380"/>
    <s v="Jerry Dennis"/>
    <x v="24"/>
    <x v="0"/>
    <x v="0"/>
    <s v="High School"/>
    <x v="3"/>
    <n v="98194"/>
    <n v="468"/>
    <n v="28425"/>
    <x v="1"/>
    <n v="9.5799999999999996E-2"/>
    <x v="5"/>
    <s v="Owned"/>
    <n v="4"/>
    <n v="0"/>
    <s v="Yes"/>
    <s v="No"/>
    <x v="2"/>
    <n v="132744"/>
    <x v="1374"/>
    <x v="60"/>
    <x v="976"/>
    <x v="0"/>
    <x v="0"/>
    <x v="2"/>
  </r>
  <r>
    <x v="1381"/>
    <s v="Gabrielle Fowler"/>
    <x v="2"/>
    <x v="0"/>
    <x v="3"/>
    <s v="PhD"/>
    <x v="1"/>
    <n v="128956"/>
    <n v="468"/>
    <n v="9744"/>
    <x v="0"/>
    <n v="0.11800000000000001"/>
    <x v="4"/>
    <s v="Rented"/>
    <n v="7"/>
    <n v="2"/>
    <s v="Yes"/>
    <s v="Yes"/>
    <x v="1"/>
    <n v="108384"/>
    <x v="1375"/>
    <x v="50"/>
    <x v="529"/>
    <x v="0"/>
    <x v="0"/>
    <x v="2"/>
  </r>
  <r>
    <x v="1382"/>
    <s v="Karen Davis"/>
    <x v="17"/>
    <x v="0"/>
    <x v="0"/>
    <s v="Graduate"/>
    <x v="1"/>
    <n v="66073"/>
    <n v="468"/>
    <n v="19932"/>
    <x v="2"/>
    <n v="0.18510000000000001"/>
    <x v="3"/>
    <s v="Mortgaged"/>
    <n v="20"/>
    <n v="0"/>
    <s v="Yes"/>
    <s v="No"/>
    <x v="3"/>
    <n v="153136"/>
    <x v="1376"/>
    <x v="37"/>
    <x v="977"/>
    <x v="1"/>
    <x v="0"/>
    <x v="2"/>
  </r>
  <r>
    <x v="1383"/>
    <s v="William Dawson"/>
    <x v="41"/>
    <x v="1"/>
    <x v="0"/>
    <s v="Graduate"/>
    <x v="0"/>
    <n v="148918"/>
    <n v="468"/>
    <n v="29767"/>
    <x v="1"/>
    <n v="6.5099999999999991E-2"/>
    <x v="5"/>
    <s v="Rented"/>
    <n v="5"/>
    <n v="1"/>
    <s v="Yes"/>
    <s v="No"/>
    <x v="4"/>
    <n v="191393"/>
    <x v="1377"/>
    <x v="7"/>
    <x v="449"/>
    <x v="1"/>
    <x v="0"/>
    <x v="2"/>
  </r>
  <r>
    <x v="1384"/>
    <s v="Kaitlyn Williams"/>
    <x v="18"/>
    <x v="1"/>
    <x v="2"/>
    <s v="High School"/>
    <x v="1"/>
    <n v="78032"/>
    <n v="467"/>
    <n v="29208"/>
    <x v="3"/>
    <n v="0.17469999999999999"/>
    <x v="2"/>
    <s v="Rented"/>
    <n v="8"/>
    <n v="3"/>
    <s v="Yes"/>
    <s v="Yes"/>
    <x v="2"/>
    <n v="134842"/>
    <x v="1378"/>
    <x v="11"/>
    <x v="155"/>
    <x v="0"/>
    <x v="0"/>
    <x v="2"/>
  </r>
  <r>
    <x v="1385"/>
    <s v="Jeffrey Hoffman"/>
    <x v="24"/>
    <x v="1"/>
    <x v="0"/>
    <s v="Graduate"/>
    <x v="3"/>
    <n v="126553"/>
    <n v="467"/>
    <n v="22845"/>
    <x v="0"/>
    <n v="6.88E-2"/>
    <x v="0"/>
    <s v="Rented"/>
    <n v="17"/>
    <n v="1"/>
    <s v="Yes"/>
    <s v="Yes"/>
    <x v="2"/>
    <n v="111319"/>
    <x v="1379"/>
    <x v="37"/>
    <x v="844"/>
    <x v="1"/>
    <x v="1"/>
    <x v="2"/>
  </r>
  <r>
    <x v="1386"/>
    <s v="Tina Walters"/>
    <x v="37"/>
    <x v="1"/>
    <x v="3"/>
    <s v="PhD"/>
    <x v="0"/>
    <n v="91356"/>
    <n v="466"/>
    <n v="41399"/>
    <x v="4"/>
    <n v="0.10980000000000001"/>
    <x v="2"/>
    <s v="Owned"/>
    <n v="8"/>
    <n v="1"/>
    <s v="Yes"/>
    <s v="No"/>
    <x v="4"/>
    <n v="127640"/>
    <x v="1380"/>
    <x v="6"/>
    <x v="978"/>
    <x v="1"/>
    <x v="0"/>
    <x v="2"/>
  </r>
  <r>
    <x v="1387"/>
    <s v="Melissa Ramirez"/>
    <x v="0"/>
    <x v="1"/>
    <x v="2"/>
    <s v="PhD"/>
    <x v="2"/>
    <n v="74659"/>
    <n v="466"/>
    <n v="14176"/>
    <x v="1"/>
    <n v="0.15289999999999998"/>
    <x v="0"/>
    <s v="Rented"/>
    <n v="27"/>
    <n v="4"/>
    <s v="No"/>
    <s v="Yes"/>
    <x v="0"/>
    <n v="180586"/>
    <x v="1381"/>
    <x v="56"/>
    <x v="979"/>
    <x v="1"/>
    <x v="0"/>
    <x v="2"/>
  </r>
  <r>
    <x v="1388"/>
    <s v="Sean Mcdowell"/>
    <x v="0"/>
    <x v="1"/>
    <x v="2"/>
    <s v="PhD"/>
    <x v="2"/>
    <n v="59462"/>
    <n v="466"/>
    <n v="9711"/>
    <x v="1"/>
    <n v="0.18859999999999999"/>
    <x v="4"/>
    <s v="Rented"/>
    <n v="11"/>
    <n v="4"/>
    <s v="No"/>
    <s v="No"/>
    <x v="0"/>
    <n v="2770"/>
    <x v="1382"/>
    <x v="29"/>
    <x v="980"/>
    <x v="0"/>
    <x v="0"/>
    <x v="2"/>
  </r>
  <r>
    <x v="1389"/>
    <s v="Tyler Munoz"/>
    <x v="7"/>
    <x v="0"/>
    <x v="2"/>
    <s v="PhD"/>
    <x v="0"/>
    <n v="80091"/>
    <n v="466"/>
    <n v="5676"/>
    <x v="2"/>
    <n v="0.1101"/>
    <x v="5"/>
    <s v="Rented"/>
    <n v="8"/>
    <n v="4"/>
    <s v="Yes"/>
    <s v="No"/>
    <x v="2"/>
    <n v="188796"/>
    <x v="1383"/>
    <x v="30"/>
    <x v="981"/>
    <x v="0"/>
    <x v="0"/>
    <x v="2"/>
  </r>
  <r>
    <x v="1390"/>
    <s v="Sean Brown MD"/>
    <x v="3"/>
    <x v="1"/>
    <x v="3"/>
    <s v="Graduate"/>
    <x v="1"/>
    <n v="56486"/>
    <n v="466"/>
    <n v="45989"/>
    <x v="1"/>
    <n v="8.2200000000000009E-2"/>
    <x v="1"/>
    <s v="Mortgaged"/>
    <n v="23"/>
    <n v="3"/>
    <s v="No"/>
    <s v="No"/>
    <x v="0"/>
    <n v="101975"/>
    <x v="1384"/>
    <x v="75"/>
    <x v="286"/>
    <x v="1"/>
    <x v="0"/>
    <x v="2"/>
  </r>
  <r>
    <x v="1391"/>
    <s v="Sara Watson"/>
    <x v="42"/>
    <x v="1"/>
    <x v="2"/>
    <s v="Postgraduate"/>
    <x v="0"/>
    <n v="126705"/>
    <n v="466"/>
    <n v="34362"/>
    <x v="1"/>
    <n v="0.1754"/>
    <x v="5"/>
    <s v="Rented"/>
    <n v="3"/>
    <n v="4"/>
    <s v="No"/>
    <s v="Yes"/>
    <x v="4"/>
    <n v="168831"/>
    <x v="1385"/>
    <x v="4"/>
    <x v="982"/>
    <x v="1"/>
    <x v="0"/>
    <x v="2"/>
  </r>
  <r>
    <x v="1392"/>
    <s v="Nicholas Rodriguez"/>
    <x v="13"/>
    <x v="0"/>
    <x v="3"/>
    <s v="PhD"/>
    <x v="2"/>
    <n v="144597"/>
    <n v="465"/>
    <n v="45132"/>
    <x v="1"/>
    <n v="5.57E-2"/>
    <x v="3"/>
    <s v="Rented"/>
    <n v="24"/>
    <n v="3"/>
    <s v="Yes"/>
    <s v="No"/>
    <x v="3"/>
    <n v="52515"/>
    <x v="1386"/>
    <x v="73"/>
    <x v="983"/>
    <x v="0"/>
    <x v="0"/>
    <x v="2"/>
  </r>
  <r>
    <x v="1393"/>
    <s v="Mackenzie Obrien"/>
    <x v="18"/>
    <x v="0"/>
    <x v="1"/>
    <s v="Graduate"/>
    <x v="3"/>
    <n v="33503"/>
    <n v="465"/>
    <n v="3243"/>
    <x v="3"/>
    <n v="9.9199999999999997E-2"/>
    <x v="5"/>
    <s v="Rented"/>
    <n v="23"/>
    <n v="0"/>
    <s v="Yes"/>
    <s v="Yes"/>
    <x v="2"/>
    <n v="46260"/>
    <x v="1387"/>
    <x v="79"/>
    <x v="984"/>
    <x v="0"/>
    <x v="0"/>
    <x v="2"/>
  </r>
  <r>
    <x v="1394"/>
    <s v="Amy Graves"/>
    <x v="14"/>
    <x v="1"/>
    <x v="1"/>
    <s v="Postgraduate"/>
    <x v="3"/>
    <n v="133942"/>
    <n v="465"/>
    <n v="21102"/>
    <x v="2"/>
    <n v="9.4499999999999987E-2"/>
    <x v="5"/>
    <s v="Owned"/>
    <n v="14"/>
    <n v="0"/>
    <s v="Yes"/>
    <s v="No"/>
    <x v="0"/>
    <n v="97580"/>
    <x v="1388"/>
    <x v="61"/>
    <x v="609"/>
    <x v="0"/>
    <x v="1"/>
    <x v="2"/>
  </r>
  <r>
    <x v="1395"/>
    <s v="Elizabeth Nunez"/>
    <x v="17"/>
    <x v="0"/>
    <x v="1"/>
    <s v="Postgraduate"/>
    <x v="0"/>
    <n v="29930"/>
    <n v="465"/>
    <n v="40846"/>
    <x v="0"/>
    <n v="0.10730000000000001"/>
    <x v="0"/>
    <s v="Owned"/>
    <n v="2"/>
    <n v="1"/>
    <s v="Yes"/>
    <s v="No"/>
    <x v="3"/>
    <n v="55121"/>
    <x v="1389"/>
    <x v="19"/>
    <x v="188"/>
    <x v="1"/>
    <x v="0"/>
    <x v="2"/>
  </r>
  <r>
    <x v="1396"/>
    <s v="Scott Russell"/>
    <x v="9"/>
    <x v="1"/>
    <x v="1"/>
    <s v="PhD"/>
    <x v="3"/>
    <n v="24782"/>
    <n v="465"/>
    <n v="3228"/>
    <x v="1"/>
    <n v="0.13140000000000002"/>
    <x v="1"/>
    <s v="Rented"/>
    <n v="7"/>
    <n v="2"/>
    <s v="No"/>
    <s v="No"/>
    <x v="1"/>
    <n v="9382"/>
    <x v="1390"/>
    <x v="45"/>
    <x v="985"/>
    <x v="0"/>
    <x v="0"/>
    <x v="2"/>
  </r>
  <r>
    <x v="1397"/>
    <s v="Amanda Brown"/>
    <x v="38"/>
    <x v="1"/>
    <x v="0"/>
    <s v="PhD"/>
    <x v="1"/>
    <n v="102606"/>
    <n v="465"/>
    <n v="35383"/>
    <x v="1"/>
    <n v="0.19010000000000002"/>
    <x v="1"/>
    <s v="Owned"/>
    <n v="5"/>
    <n v="3"/>
    <s v="No"/>
    <s v="No"/>
    <x v="0"/>
    <n v="28800"/>
    <x v="1391"/>
    <x v="59"/>
    <x v="721"/>
    <x v="0"/>
    <x v="0"/>
    <x v="2"/>
  </r>
  <r>
    <x v="1398"/>
    <s v="Tanner Diaz"/>
    <x v="16"/>
    <x v="1"/>
    <x v="2"/>
    <s v="High School"/>
    <x v="3"/>
    <n v="23880"/>
    <n v="464"/>
    <n v="2973"/>
    <x v="2"/>
    <n v="0.1452"/>
    <x v="2"/>
    <s v="Rented"/>
    <n v="29"/>
    <n v="3"/>
    <s v="Yes"/>
    <s v="Yes"/>
    <x v="0"/>
    <n v="150929"/>
    <x v="1392"/>
    <x v="33"/>
    <x v="382"/>
    <x v="0"/>
    <x v="0"/>
    <x v="2"/>
  </r>
  <r>
    <x v="1399"/>
    <s v="Steven Webb"/>
    <x v="42"/>
    <x v="0"/>
    <x v="3"/>
    <s v="PhD"/>
    <x v="3"/>
    <n v="102994"/>
    <n v="464"/>
    <n v="9484"/>
    <x v="3"/>
    <n v="8.6599999999999996E-2"/>
    <x v="0"/>
    <s v="Rented"/>
    <n v="15"/>
    <n v="1"/>
    <s v="No"/>
    <s v="No"/>
    <x v="4"/>
    <n v="189986"/>
    <x v="1393"/>
    <x v="47"/>
    <x v="986"/>
    <x v="0"/>
    <x v="0"/>
    <x v="2"/>
  </r>
  <r>
    <x v="1400"/>
    <s v="Jacob Doyle"/>
    <x v="36"/>
    <x v="0"/>
    <x v="2"/>
    <s v="Graduate"/>
    <x v="0"/>
    <n v="50461"/>
    <n v="464"/>
    <n v="23072"/>
    <x v="0"/>
    <n v="0.11960000000000001"/>
    <x v="1"/>
    <s v="Owned"/>
    <n v="28"/>
    <n v="1"/>
    <s v="No"/>
    <s v="Yes"/>
    <x v="3"/>
    <n v="135806"/>
    <x v="1394"/>
    <x v="46"/>
    <x v="224"/>
    <x v="0"/>
    <x v="0"/>
    <x v="2"/>
  </r>
  <r>
    <x v="1401"/>
    <s v="Erika Strong"/>
    <x v="5"/>
    <x v="1"/>
    <x v="1"/>
    <s v="Graduate"/>
    <x v="3"/>
    <n v="55983"/>
    <n v="464"/>
    <n v="48879"/>
    <x v="2"/>
    <n v="0.11560000000000001"/>
    <x v="5"/>
    <s v="Owned"/>
    <n v="21"/>
    <n v="0"/>
    <s v="Yes"/>
    <s v="No"/>
    <x v="3"/>
    <n v="47119"/>
    <x v="1395"/>
    <x v="41"/>
    <x v="776"/>
    <x v="0"/>
    <x v="0"/>
    <x v="2"/>
  </r>
  <r>
    <x v="1402"/>
    <s v="Andrew Webb"/>
    <x v="27"/>
    <x v="1"/>
    <x v="1"/>
    <s v="PhD"/>
    <x v="0"/>
    <n v="37322"/>
    <n v="464"/>
    <n v="9015"/>
    <x v="1"/>
    <n v="0.1338"/>
    <x v="3"/>
    <s v="Rented"/>
    <n v="28"/>
    <n v="2"/>
    <s v="Yes"/>
    <s v="Yes"/>
    <x v="3"/>
    <n v="5282"/>
    <x v="1396"/>
    <x v="17"/>
    <x v="72"/>
    <x v="1"/>
    <x v="1"/>
    <x v="2"/>
  </r>
  <r>
    <x v="1403"/>
    <s v="Angel Davis"/>
    <x v="36"/>
    <x v="0"/>
    <x v="0"/>
    <s v="PhD"/>
    <x v="1"/>
    <n v="55418"/>
    <n v="464"/>
    <n v="16775"/>
    <x v="1"/>
    <n v="0.19800000000000001"/>
    <x v="3"/>
    <s v="Rented"/>
    <n v="13"/>
    <n v="3"/>
    <s v="Yes"/>
    <s v="Yes"/>
    <x v="4"/>
    <n v="179790"/>
    <x v="1397"/>
    <x v="70"/>
    <x v="987"/>
    <x v="1"/>
    <x v="0"/>
    <x v="2"/>
  </r>
  <r>
    <x v="1404"/>
    <s v="Corey Herrera"/>
    <x v="18"/>
    <x v="0"/>
    <x v="2"/>
    <s v="High School"/>
    <x v="1"/>
    <n v="114455"/>
    <n v="463"/>
    <n v="21738"/>
    <x v="2"/>
    <n v="0.18260000000000001"/>
    <x v="0"/>
    <s v="Owned"/>
    <n v="6"/>
    <n v="4"/>
    <s v="No"/>
    <s v="Yes"/>
    <x v="3"/>
    <n v="145737"/>
    <x v="1398"/>
    <x v="14"/>
    <x v="300"/>
    <x v="1"/>
    <x v="0"/>
    <x v="2"/>
  </r>
  <r>
    <x v="1405"/>
    <s v="Tiffany Bailey"/>
    <x v="7"/>
    <x v="1"/>
    <x v="1"/>
    <s v="PhD"/>
    <x v="1"/>
    <n v="88607"/>
    <n v="463"/>
    <n v="1815"/>
    <x v="2"/>
    <n v="6.0100000000000001E-2"/>
    <x v="1"/>
    <s v="Owned"/>
    <n v="11"/>
    <n v="1"/>
    <s v="No"/>
    <s v="No"/>
    <x v="2"/>
    <n v="134528"/>
    <x v="1399"/>
    <x v="60"/>
    <x v="988"/>
    <x v="1"/>
    <x v="0"/>
    <x v="2"/>
  </r>
  <r>
    <x v="1406"/>
    <s v="Heather Phelps"/>
    <x v="23"/>
    <x v="0"/>
    <x v="1"/>
    <s v="PhD"/>
    <x v="1"/>
    <n v="144980"/>
    <n v="463"/>
    <n v="24871"/>
    <x v="4"/>
    <n v="0.17749999999999999"/>
    <x v="5"/>
    <s v="Mortgaged"/>
    <n v="15"/>
    <n v="3"/>
    <s v="No"/>
    <s v="No"/>
    <x v="3"/>
    <n v="65500"/>
    <x v="1400"/>
    <x v="85"/>
    <x v="989"/>
    <x v="0"/>
    <x v="0"/>
    <x v="2"/>
  </r>
  <r>
    <x v="1407"/>
    <s v="Misty Robinson"/>
    <x v="10"/>
    <x v="1"/>
    <x v="3"/>
    <s v="PhD"/>
    <x v="0"/>
    <n v="105474"/>
    <n v="463"/>
    <n v="1528"/>
    <x v="2"/>
    <n v="0.111"/>
    <x v="0"/>
    <s v="Owned"/>
    <n v="28"/>
    <n v="4"/>
    <s v="No"/>
    <s v="Yes"/>
    <x v="4"/>
    <n v="61488"/>
    <x v="1401"/>
    <x v="24"/>
    <x v="990"/>
    <x v="1"/>
    <x v="0"/>
    <x v="2"/>
  </r>
  <r>
    <x v="1408"/>
    <s v="Alyssa White"/>
    <x v="37"/>
    <x v="0"/>
    <x v="1"/>
    <s v="Postgraduate"/>
    <x v="3"/>
    <n v="21986"/>
    <n v="462"/>
    <n v="22034"/>
    <x v="0"/>
    <n v="0.161"/>
    <x v="0"/>
    <s v="Mortgaged"/>
    <n v="8"/>
    <n v="2"/>
    <s v="No"/>
    <s v="No"/>
    <x v="4"/>
    <n v="173033"/>
    <x v="1402"/>
    <x v="58"/>
    <x v="372"/>
    <x v="1"/>
    <x v="1"/>
    <x v="2"/>
  </r>
  <r>
    <x v="1409"/>
    <s v="Mr. Mark Berger"/>
    <x v="5"/>
    <x v="0"/>
    <x v="2"/>
    <s v="Postgraduate"/>
    <x v="2"/>
    <n v="87609"/>
    <n v="462"/>
    <n v="1557"/>
    <x v="4"/>
    <n v="0.10199999999999999"/>
    <x v="1"/>
    <s v="Owned"/>
    <n v="8"/>
    <n v="3"/>
    <s v="No"/>
    <s v="No"/>
    <x v="4"/>
    <n v="89589"/>
    <x v="1403"/>
    <x v="61"/>
    <x v="153"/>
    <x v="0"/>
    <x v="0"/>
    <x v="2"/>
  </r>
  <r>
    <x v="1410"/>
    <s v="Brian Lee"/>
    <x v="29"/>
    <x v="1"/>
    <x v="1"/>
    <s v="Postgraduate"/>
    <x v="2"/>
    <n v="54840"/>
    <n v="462"/>
    <n v="8803"/>
    <x v="4"/>
    <n v="7.6100000000000001E-2"/>
    <x v="3"/>
    <s v="Rented"/>
    <n v="18"/>
    <n v="0"/>
    <s v="Yes"/>
    <s v="Yes"/>
    <x v="2"/>
    <n v="157454"/>
    <x v="1404"/>
    <x v="8"/>
    <x v="991"/>
    <x v="0"/>
    <x v="0"/>
    <x v="2"/>
  </r>
  <r>
    <x v="1411"/>
    <s v="Alan Howell"/>
    <x v="13"/>
    <x v="0"/>
    <x v="0"/>
    <s v="Postgraduate"/>
    <x v="3"/>
    <n v="95828"/>
    <n v="462"/>
    <n v="34879"/>
    <x v="2"/>
    <n v="0.1777"/>
    <x v="0"/>
    <s v="Mortgaged"/>
    <n v="7"/>
    <n v="3"/>
    <s v="No"/>
    <s v="Yes"/>
    <x v="4"/>
    <n v="199005"/>
    <x v="1405"/>
    <x v="7"/>
    <x v="992"/>
    <x v="1"/>
    <x v="0"/>
    <x v="2"/>
  </r>
  <r>
    <x v="1412"/>
    <s v="Christine Medina"/>
    <x v="37"/>
    <x v="1"/>
    <x v="3"/>
    <s v="Graduate"/>
    <x v="1"/>
    <n v="42936"/>
    <n v="462"/>
    <n v="21617"/>
    <x v="2"/>
    <n v="0.12970000000000001"/>
    <x v="2"/>
    <s v="Rented"/>
    <n v="17"/>
    <n v="1"/>
    <s v="No"/>
    <s v="No"/>
    <x v="2"/>
    <n v="176199"/>
    <x v="1406"/>
    <x v="89"/>
    <x v="993"/>
    <x v="1"/>
    <x v="0"/>
    <x v="2"/>
  </r>
  <r>
    <x v="1413"/>
    <s v="Tammy Dennis"/>
    <x v="13"/>
    <x v="0"/>
    <x v="2"/>
    <s v="Postgraduate"/>
    <x v="1"/>
    <n v="32916"/>
    <n v="461"/>
    <n v="1255"/>
    <x v="4"/>
    <n v="0.10710000000000001"/>
    <x v="4"/>
    <s v="Owned"/>
    <n v="3"/>
    <n v="1"/>
    <s v="No"/>
    <s v="No"/>
    <x v="4"/>
    <n v="43327"/>
    <x v="1407"/>
    <x v="65"/>
    <x v="678"/>
    <x v="0"/>
    <x v="1"/>
    <x v="2"/>
  </r>
  <r>
    <x v="1414"/>
    <s v="Douglas Velasquez"/>
    <x v="11"/>
    <x v="0"/>
    <x v="3"/>
    <s v="PhD"/>
    <x v="2"/>
    <n v="118273"/>
    <n v="461"/>
    <n v="21491"/>
    <x v="1"/>
    <n v="8.5500000000000007E-2"/>
    <x v="4"/>
    <s v="Mortgaged"/>
    <n v="22"/>
    <n v="1"/>
    <s v="No"/>
    <s v="No"/>
    <x v="1"/>
    <n v="92526"/>
    <x v="1408"/>
    <x v="73"/>
    <x v="994"/>
    <x v="1"/>
    <x v="1"/>
    <x v="2"/>
  </r>
  <r>
    <x v="1415"/>
    <s v="Pamela Sanders"/>
    <x v="30"/>
    <x v="1"/>
    <x v="1"/>
    <s v="Graduate"/>
    <x v="0"/>
    <n v="105326"/>
    <n v="460"/>
    <n v="14453"/>
    <x v="1"/>
    <n v="9.7899999999999987E-2"/>
    <x v="1"/>
    <s v="Owned"/>
    <n v="28"/>
    <n v="1"/>
    <s v="No"/>
    <s v="Yes"/>
    <x v="2"/>
    <n v="18228"/>
    <x v="1409"/>
    <x v="79"/>
    <x v="121"/>
    <x v="1"/>
    <x v="1"/>
    <x v="2"/>
  </r>
  <r>
    <x v="1416"/>
    <s v="Ronald Hays"/>
    <x v="7"/>
    <x v="0"/>
    <x v="1"/>
    <s v="Graduate"/>
    <x v="3"/>
    <n v="64135"/>
    <n v="460"/>
    <n v="38116"/>
    <x v="1"/>
    <n v="7.3300000000000004E-2"/>
    <x v="5"/>
    <s v="Mortgaged"/>
    <n v="18"/>
    <n v="4"/>
    <s v="No"/>
    <s v="No"/>
    <x v="4"/>
    <n v="123858"/>
    <x v="1410"/>
    <x v="46"/>
    <x v="525"/>
    <x v="0"/>
    <x v="1"/>
    <x v="2"/>
  </r>
  <r>
    <x v="1417"/>
    <s v="Jasmine Black"/>
    <x v="25"/>
    <x v="1"/>
    <x v="0"/>
    <s v="Graduate"/>
    <x v="2"/>
    <n v="140382"/>
    <n v="459"/>
    <n v="17292"/>
    <x v="3"/>
    <n v="6.1699999999999998E-2"/>
    <x v="0"/>
    <s v="Owned"/>
    <n v="6"/>
    <n v="1"/>
    <s v="No"/>
    <s v="Yes"/>
    <x v="2"/>
    <n v="106371"/>
    <x v="1411"/>
    <x v="45"/>
    <x v="995"/>
    <x v="0"/>
    <x v="0"/>
    <x v="2"/>
  </r>
  <r>
    <x v="1418"/>
    <s v="Wayne Higgins"/>
    <x v="20"/>
    <x v="1"/>
    <x v="3"/>
    <s v="Graduate"/>
    <x v="1"/>
    <n v="122621"/>
    <n v="459"/>
    <n v="22446"/>
    <x v="1"/>
    <n v="0.1074"/>
    <x v="2"/>
    <s v="Rented"/>
    <n v="25"/>
    <n v="1"/>
    <s v="No"/>
    <s v="Yes"/>
    <x v="2"/>
    <n v="42186"/>
    <x v="1412"/>
    <x v="48"/>
    <x v="296"/>
    <x v="1"/>
    <x v="0"/>
    <x v="2"/>
  </r>
  <r>
    <x v="1419"/>
    <s v="Kenneth Harris"/>
    <x v="32"/>
    <x v="0"/>
    <x v="3"/>
    <s v="High School"/>
    <x v="3"/>
    <n v="27847"/>
    <n v="459"/>
    <n v="1944"/>
    <x v="3"/>
    <n v="7.9199999999999993E-2"/>
    <x v="2"/>
    <s v="Rented"/>
    <n v="16"/>
    <n v="3"/>
    <s v="No"/>
    <s v="Yes"/>
    <x v="4"/>
    <n v="134425"/>
    <x v="1413"/>
    <x v="19"/>
    <x v="873"/>
    <x v="1"/>
    <x v="0"/>
    <x v="2"/>
  </r>
  <r>
    <x v="1420"/>
    <s v="Stacy White"/>
    <x v="29"/>
    <x v="0"/>
    <x v="3"/>
    <s v="Graduate"/>
    <x v="3"/>
    <n v="116372"/>
    <n v="458"/>
    <n v="40617"/>
    <x v="1"/>
    <n v="0.19469999999999998"/>
    <x v="2"/>
    <s v="Owned"/>
    <n v="24"/>
    <n v="1"/>
    <s v="Yes"/>
    <s v="Yes"/>
    <x v="2"/>
    <n v="102300"/>
    <x v="1414"/>
    <x v="88"/>
    <x v="996"/>
    <x v="1"/>
    <x v="0"/>
    <x v="2"/>
  </r>
  <r>
    <x v="1421"/>
    <s v="Donald Walker"/>
    <x v="32"/>
    <x v="0"/>
    <x v="2"/>
    <s v="Postgraduate"/>
    <x v="1"/>
    <n v="93719"/>
    <n v="458"/>
    <n v="43811"/>
    <x v="1"/>
    <n v="0.19870000000000002"/>
    <x v="2"/>
    <s v="Mortgaged"/>
    <n v="16"/>
    <n v="2"/>
    <s v="No"/>
    <s v="No"/>
    <x v="3"/>
    <n v="133025"/>
    <x v="1415"/>
    <x v="82"/>
    <x v="36"/>
    <x v="0"/>
    <x v="0"/>
    <x v="2"/>
  </r>
  <r>
    <x v="1422"/>
    <s v="James King"/>
    <x v="6"/>
    <x v="1"/>
    <x v="2"/>
    <s v="PhD"/>
    <x v="2"/>
    <n v="78959"/>
    <n v="457"/>
    <n v="14476"/>
    <x v="2"/>
    <n v="0.12189999999999999"/>
    <x v="3"/>
    <s v="Owned"/>
    <n v="1"/>
    <n v="3"/>
    <s v="Yes"/>
    <s v="No"/>
    <x v="2"/>
    <n v="102410"/>
    <x v="1416"/>
    <x v="7"/>
    <x v="912"/>
    <x v="1"/>
    <x v="0"/>
    <x v="2"/>
  </r>
  <r>
    <x v="1423"/>
    <s v="Joseph Stewart"/>
    <x v="25"/>
    <x v="1"/>
    <x v="0"/>
    <s v="Postgraduate"/>
    <x v="2"/>
    <n v="145138"/>
    <n v="457"/>
    <n v="15246"/>
    <x v="2"/>
    <n v="0.17850000000000002"/>
    <x v="3"/>
    <s v="Owned"/>
    <n v="26"/>
    <n v="4"/>
    <s v="No"/>
    <s v="Yes"/>
    <x v="3"/>
    <n v="172150"/>
    <x v="1417"/>
    <x v="73"/>
    <x v="997"/>
    <x v="0"/>
    <x v="1"/>
    <x v="2"/>
  </r>
  <r>
    <x v="1424"/>
    <s v="Cory Franco"/>
    <x v="36"/>
    <x v="0"/>
    <x v="2"/>
    <s v="Graduate"/>
    <x v="1"/>
    <n v="21468"/>
    <n v="457"/>
    <n v="2919"/>
    <x v="4"/>
    <n v="8.48E-2"/>
    <x v="5"/>
    <s v="Mortgaged"/>
    <n v="20"/>
    <n v="1"/>
    <s v="Yes"/>
    <s v="No"/>
    <x v="3"/>
    <n v="81174"/>
    <x v="1418"/>
    <x v="56"/>
    <x v="998"/>
    <x v="1"/>
    <x v="0"/>
    <x v="2"/>
  </r>
  <r>
    <x v="1425"/>
    <s v="Wanda Brown"/>
    <x v="41"/>
    <x v="1"/>
    <x v="2"/>
    <s v="High School"/>
    <x v="2"/>
    <n v="135631"/>
    <n v="457"/>
    <n v="16768"/>
    <x v="2"/>
    <n v="0.1069"/>
    <x v="1"/>
    <s v="Owned"/>
    <n v="24"/>
    <n v="3"/>
    <s v="No"/>
    <s v="No"/>
    <x v="1"/>
    <n v="167717"/>
    <x v="1419"/>
    <x v="1"/>
    <x v="999"/>
    <x v="0"/>
    <x v="0"/>
    <x v="2"/>
  </r>
  <r>
    <x v="1426"/>
    <s v="Eric Kelley"/>
    <x v="6"/>
    <x v="0"/>
    <x v="3"/>
    <s v="High School"/>
    <x v="2"/>
    <n v="68114"/>
    <n v="457"/>
    <n v="22423"/>
    <x v="3"/>
    <n v="0.1913"/>
    <x v="4"/>
    <s v="Rented"/>
    <n v="23"/>
    <n v="4"/>
    <s v="No"/>
    <s v="Yes"/>
    <x v="2"/>
    <n v="173184"/>
    <x v="1420"/>
    <x v="58"/>
    <x v="1000"/>
    <x v="1"/>
    <x v="0"/>
    <x v="2"/>
  </r>
  <r>
    <x v="1427"/>
    <s v="Brenda Brown"/>
    <x v="11"/>
    <x v="1"/>
    <x v="1"/>
    <s v="Postgraduate"/>
    <x v="1"/>
    <n v="122951"/>
    <n v="457"/>
    <n v="12587"/>
    <x v="1"/>
    <n v="0.12179999999999999"/>
    <x v="2"/>
    <s v="Owned"/>
    <n v="6"/>
    <n v="3"/>
    <s v="No"/>
    <s v="No"/>
    <x v="2"/>
    <n v="70773"/>
    <x v="1421"/>
    <x v="87"/>
    <x v="692"/>
    <x v="1"/>
    <x v="0"/>
    <x v="2"/>
  </r>
  <r>
    <x v="1428"/>
    <s v="Darren Barton"/>
    <x v="41"/>
    <x v="1"/>
    <x v="3"/>
    <s v="Graduate"/>
    <x v="2"/>
    <n v="120735"/>
    <n v="456"/>
    <n v="45871"/>
    <x v="3"/>
    <n v="0.1166"/>
    <x v="3"/>
    <s v="Rented"/>
    <n v="6"/>
    <n v="1"/>
    <s v="No"/>
    <s v="No"/>
    <x v="4"/>
    <n v="55600"/>
    <x v="1422"/>
    <x v="5"/>
    <x v="935"/>
    <x v="1"/>
    <x v="0"/>
    <x v="2"/>
  </r>
  <r>
    <x v="1429"/>
    <s v="Jenna Shannon"/>
    <x v="23"/>
    <x v="1"/>
    <x v="3"/>
    <s v="Postgraduate"/>
    <x v="1"/>
    <n v="135440"/>
    <n v="456"/>
    <n v="26058"/>
    <x v="1"/>
    <n v="7.8299999999999995E-2"/>
    <x v="5"/>
    <s v="Mortgaged"/>
    <n v="27"/>
    <n v="0"/>
    <s v="Yes"/>
    <s v="Yes"/>
    <x v="3"/>
    <n v="181174"/>
    <x v="1423"/>
    <x v="89"/>
    <x v="1001"/>
    <x v="1"/>
    <x v="0"/>
    <x v="2"/>
  </r>
  <r>
    <x v="1430"/>
    <s v="Melissa Weaver"/>
    <x v="39"/>
    <x v="0"/>
    <x v="2"/>
    <s v="PhD"/>
    <x v="1"/>
    <n v="135183"/>
    <n v="456"/>
    <n v="32704"/>
    <x v="2"/>
    <n v="9.3000000000000013E-2"/>
    <x v="5"/>
    <s v="Mortgaged"/>
    <n v="5"/>
    <n v="0"/>
    <s v="No"/>
    <s v="No"/>
    <x v="2"/>
    <n v="189194"/>
    <x v="1424"/>
    <x v="55"/>
    <x v="1002"/>
    <x v="0"/>
    <x v="0"/>
    <x v="2"/>
  </r>
  <r>
    <x v="1431"/>
    <s v="Felicia Harris"/>
    <x v="27"/>
    <x v="1"/>
    <x v="2"/>
    <s v="Postgraduate"/>
    <x v="0"/>
    <n v="87262"/>
    <n v="456"/>
    <n v="22563"/>
    <x v="1"/>
    <n v="5.8299999999999998E-2"/>
    <x v="5"/>
    <s v="Mortgaged"/>
    <n v="13"/>
    <n v="2"/>
    <s v="No"/>
    <s v="Yes"/>
    <x v="0"/>
    <n v="58399"/>
    <x v="1425"/>
    <x v="84"/>
    <x v="1003"/>
    <x v="1"/>
    <x v="0"/>
    <x v="2"/>
  </r>
  <r>
    <x v="1432"/>
    <s v="Mrs. Ashley Ellis"/>
    <x v="4"/>
    <x v="1"/>
    <x v="2"/>
    <s v="PhD"/>
    <x v="1"/>
    <n v="110198"/>
    <n v="455"/>
    <n v="38018"/>
    <x v="1"/>
    <n v="0.19519999999999998"/>
    <x v="3"/>
    <s v="Rented"/>
    <n v="10"/>
    <n v="2"/>
    <s v="Yes"/>
    <s v="No"/>
    <x v="1"/>
    <n v="116032"/>
    <x v="1426"/>
    <x v="64"/>
    <x v="1004"/>
    <x v="0"/>
    <x v="0"/>
    <x v="2"/>
  </r>
  <r>
    <x v="1433"/>
    <s v="James Caldwell"/>
    <x v="38"/>
    <x v="0"/>
    <x v="3"/>
    <s v="Postgraduate"/>
    <x v="1"/>
    <n v="79840"/>
    <n v="455"/>
    <n v="17558"/>
    <x v="2"/>
    <n v="8.43E-2"/>
    <x v="4"/>
    <s v="Mortgaged"/>
    <n v="7"/>
    <n v="2"/>
    <s v="No"/>
    <s v="No"/>
    <x v="1"/>
    <n v="159401"/>
    <x v="1427"/>
    <x v="17"/>
    <x v="1005"/>
    <x v="1"/>
    <x v="0"/>
    <x v="2"/>
  </r>
  <r>
    <x v="1434"/>
    <s v="Laura Carroll"/>
    <x v="33"/>
    <x v="0"/>
    <x v="3"/>
    <s v="Postgraduate"/>
    <x v="3"/>
    <n v="137116"/>
    <n v="455"/>
    <n v="42335"/>
    <x v="1"/>
    <n v="8.5500000000000007E-2"/>
    <x v="3"/>
    <s v="Rented"/>
    <n v="20"/>
    <n v="3"/>
    <s v="No"/>
    <s v="Yes"/>
    <x v="0"/>
    <n v="72882"/>
    <x v="1428"/>
    <x v="64"/>
    <x v="1006"/>
    <x v="1"/>
    <x v="1"/>
    <x v="2"/>
  </r>
  <r>
    <x v="1435"/>
    <s v="Jennifer Morgan"/>
    <x v="29"/>
    <x v="1"/>
    <x v="1"/>
    <s v="Graduate"/>
    <x v="1"/>
    <n v="105366"/>
    <n v="454"/>
    <n v="22781"/>
    <x v="0"/>
    <n v="0.1923"/>
    <x v="2"/>
    <s v="Rented"/>
    <n v="9"/>
    <n v="3"/>
    <s v="No"/>
    <s v="Yes"/>
    <x v="1"/>
    <n v="110930"/>
    <x v="1429"/>
    <x v="10"/>
    <x v="1007"/>
    <x v="0"/>
    <x v="0"/>
    <x v="2"/>
  </r>
  <r>
    <x v="1436"/>
    <s v="Brian Yang"/>
    <x v="16"/>
    <x v="0"/>
    <x v="1"/>
    <s v="Graduate"/>
    <x v="0"/>
    <n v="145574"/>
    <n v="454"/>
    <n v="1056"/>
    <x v="0"/>
    <n v="0.1014"/>
    <x v="5"/>
    <s v="Rented"/>
    <n v="21"/>
    <n v="1"/>
    <s v="No"/>
    <s v="No"/>
    <x v="3"/>
    <n v="58081"/>
    <x v="1430"/>
    <x v="34"/>
    <x v="1008"/>
    <x v="1"/>
    <x v="1"/>
    <x v="2"/>
  </r>
  <r>
    <x v="1437"/>
    <s v="Rebecca Allen"/>
    <x v="42"/>
    <x v="1"/>
    <x v="1"/>
    <s v="PhD"/>
    <x v="2"/>
    <n v="53332"/>
    <n v="453"/>
    <n v="38888"/>
    <x v="0"/>
    <n v="0.1144"/>
    <x v="3"/>
    <s v="Rented"/>
    <n v="8"/>
    <n v="1"/>
    <s v="No"/>
    <s v="Yes"/>
    <x v="1"/>
    <n v="109460"/>
    <x v="1431"/>
    <x v="56"/>
    <x v="826"/>
    <x v="0"/>
    <x v="0"/>
    <x v="2"/>
  </r>
  <r>
    <x v="1438"/>
    <s v="Danielle Flowers"/>
    <x v="39"/>
    <x v="1"/>
    <x v="3"/>
    <s v="Postgraduate"/>
    <x v="1"/>
    <n v="81892"/>
    <n v="453"/>
    <n v="11456"/>
    <x v="1"/>
    <n v="9.4899999999999998E-2"/>
    <x v="1"/>
    <s v="Rented"/>
    <n v="18"/>
    <n v="3"/>
    <s v="No"/>
    <s v="Yes"/>
    <x v="4"/>
    <n v="126631"/>
    <x v="1432"/>
    <x v="61"/>
    <x v="1009"/>
    <x v="0"/>
    <x v="0"/>
    <x v="2"/>
  </r>
  <r>
    <x v="1439"/>
    <s v="Edwin Fischer"/>
    <x v="40"/>
    <x v="0"/>
    <x v="2"/>
    <s v="PhD"/>
    <x v="3"/>
    <n v="100103"/>
    <n v="453"/>
    <n v="49764"/>
    <x v="4"/>
    <n v="5.5999999999999994E-2"/>
    <x v="5"/>
    <s v="Mortgaged"/>
    <n v="6"/>
    <n v="3"/>
    <s v="No"/>
    <s v="Yes"/>
    <x v="3"/>
    <n v="16819"/>
    <x v="1433"/>
    <x v="8"/>
    <x v="467"/>
    <x v="0"/>
    <x v="0"/>
    <x v="2"/>
  </r>
  <r>
    <x v="1440"/>
    <s v="Jason Garcia"/>
    <x v="37"/>
    <x v="1"/>
    <x v="2"/>
    <s v="High School"/>
    <x v="1"/>
    <n v="98608"/>
    <n v="453"/>
    <n v="4536"/>
    <x v="3"/>
    <n v="5.9800000000000006E-2"/>
    <x v="5"/>
    <s v="Rented"/>
    <n v="15"/>
    <n v="0"/>
    <s v="No"/>
    <s v="No"/>
    <x v="1"/>
    <n v="190288"/>
    <x v="1434"/>
    <x v="13"/>
    <x v="665"/>
    <x v="1"/>
    <x v="0"/>
    <x v="2"/>
  </r>
  <r>
    <x v="1441"/>
    <s v="Mikayla Smith"/>
    <x v="32"/>
    <x v="0"/>
    <x v="1"/>
    <s v="Graduate"/>
    <x v="1"/>
    <n v="110347"/>
    <n v="453"/>
    <n v="39869"/>
    <x v="4"/>
    <n v="0.11539999999999999"/>
    <x v="5"/>
    <s v="Mortgaged"/>
    <n v="17"/>
    <n v="4"/>
    <s v="Yes"/>
    <s v="No"/>
    <x v="1"/>
    <n v="8072"/>
    <x v="1435"/>
    <x v="1"/>
    <x v="1010"/>
    <x v="0"/>
    <x v="0"/>
    <x v="2"/>
  </r>
  <r>
    <x v="1442"/>
    <s v="Brittany Fuller"/>
    <x v="13"/>
    <x v="0"/>
    <x v="0"/>
    <s v="Postgraduate"/>
    <x v="2"/>
    <n v="75711"/>
    <n v="452"/>
    <n v="38812"/>
    <x v="3"/>
    <n v="0.1139"/>
    <x v="0"/>
    <s v="Rented"/>
    <n v="8"/>
    <n v="3"/>
    <s v="No"/>
    <s v="No"/>
    <x v="1"/>
    <n v="98042"/>
    <x v="1436"/>
    <x v="63"/>
    <x v="1011"/>
    <x v="0"/>
    <x v="0"/>
    <x v="2"/>
  </r>
  <r>
    <x v="1443"/>
    <s v="Amy Barrett"/>
    <x v="1"/>
    <x v="1"/>
    <x v="3"/>
    <s v="PhD"/>
    <x v="2"/>
    <n v="73997"/>
    <n v="452"/>
    <n v="4688"/>
    <x v="3"/>
    <n v="0.11460000000000001"/>
    <x v="2"/>
    <s v="Owned"/>
    <n v="29"/>
    <n v="3"/>
    <s v="Yes"/>
    <s v="No"/>
    <x v="1"/>
    <n v="154957"/>
    <x v="1437"/>
    <x v="5"/>
    <x v="535"/>
    <x v="1"/>
    <x v="0"/>
    <x v="2"/>
  </r>
  <r>
    <x v="1444"/>
    <s v="Stacey Banks"/>
    <x v="43"/>
    <x v="1"/>
    <x v="0"/>
    <s v="High School"/>
    <x v="3"/>
    <n v="70387"/>
    <n v="452"/>
    <n v="2816"/>
    <x v="3"/>
    <n v="0.14929999999999999"/>
    <x v="4"/>
    <s v="Mortgaged"/>
    <n v="2"/>
    <n v="0"/>
    <s v="Yes"/>
    <s v="No"/>
    <x v="3"/>
    <n v="5150"/>
    <x v="1438"/>
    <x v="51"/>
    <x v="48"/>
    <x v="0"/>
    <x v="0"/>
    <x v="2"/>
  </r>
  <r>
    <x v="1445"/>
    <s v="Victoria Wheeler"/>
    <x v="34"/>
    <x v="0"/>
    <x v="3"/>
    <s v="Postgraduate"/>
    <x v="0"/>
    <n v="123081"/>
    <n v="451"/>
    <n v="6813"/>
    <x v="1"/>
    <n v="8.7499999999999994E-2"/>
    <x v="5"/>
    <s v="Mortgaged"/>
    <n v="14"/>
    <n v="4"/>
    <s v="No"/>
    <s v="Yes"/>
    <x v="1"/>
    <n v="54669"/>
    <x v="1439"/>
    <x v="87"/>
    <x v="1012"/>
    <x v="0"/>
    <x v="0"/>
    <x v="2"/>
  </r>
  <r>
    <x v="1446"/>
    <s v="Christopher Chase"/>
    <x v="42"/>
    <x v="1"/>
    <x v="2"/>
    <s v="Postgraduate"/>
    <x v="2"/>
    <n v="87288"/>
    <n v="451"/>
    <n v="7107"/>
    <x v="1"/>
    <n v="0.15609999999999999"/>
    <x v="2"/>
    <s v="Owned"/>
    <n v="11"/>
    <n v="2"/>
    <s v="No"/>
    <s v="Yes"/>
    <x v="2"/>
    <n v="115283"/>
    <x v="1440"/>
    <x v="62"/>
    <x v="1013"/>
    <x v="1"/>
    <x v="0"/>
    <x v="2"/>
  </r>
  <r>
    <x v="1447"/>
    <s v="Grant Martin"/>
    <x v="34"/>
    <x v="0"/>
    <x v="2"/>
    <s v="High School"/>
    <x v="3"/>
    <n v="78899"/>
    <n v="451"/>
    <n v="35728"/>
    <x v="2"/>
    <n v="0.1109"/>
    <x v="3"/>
    <s v="Mortgaged"/>
    <n v="7"/>
    <n v="4"/>
    <s v="No"/>
    <s v="No"/>
    <x v="1"/>
    <n v="107809"/>
    <x v="1441"/>
    <x v="73"/>
    <x v="1014"/>
    <x v="1"/>
    <x v="0"/>
    <x v="2"/>
  </r>
  <r>
    <x v="1448"/>
    <s v="Rebecca Perez"/>
    <x v="8"/>
    <x v="0"/>
    <x v="3"/>
    <s v="Graduate"/>
    <x v="0"/>
    <n v="126830"/>
    <n v="450"/>
    <n v="49979"/>
    <x v="4"/>
    <n v="9.3900000000000011E-2"/>
    <x v="0"/>
    <s v="Rented"/>
    <n v="11"/>
    <n v="3"/>
    <s v="No"/>
    <s v="Yes"/>
    <x v="4"/>
    <n v="67561"/>
    <x v="1442"/>
    <x v="48"/>
    <x v="11"/>
    <x v="1"/>
    <x v="0"/>
    <x v="2"/>
  </r>
  <r>
    <x v="1449"/>
    <s v="Michael Gibbs"/>
    <x v="10"/>
    <x v="0"/>
    <x v="2"/>
    <s v="Graduate"/>
    <x v="3"/>
    <n v="48036"/>
    <n v="449"/>
    <n v="45045"/>
    <x v="1"/>
    <n v="8.2599999999999993E-2"/>
    <x v="1"/>
    <s v="Mortgaged"/>
    <n v="25"/>
    <n v="1"/>
    <s v="Yes"/>
    <s v="Yes"/>
    <x v="1"/>
    <n v="73960"/>
    <x v="1443"/>
    <x v="43"/>
    <x v="1015"/>
    <x v="0"/>
    <x v="0"/>
    <x v="2"/>
  </r>
  <r>
    <x v="1450"/>
    <s v="Natalie Brown"/>
    <x v="40"/>
    <x v="1"/>
    <x v="3"/>
    <s v="Graduate"/>
    <x v="0"/>
    <n v="46183"/>
    <n v="448"/>
    <n v="33849"/>
    <x v="2"/>
    <n v="0.1525"/>
    <x v="5"/>
    <s v="Rented"/>
    <n v="3"/>
    <n v="4"/>
    <s v="No"/>
    <s v="No"/>
    <x v="4"/>
    <n v="132152"/>
    <x v="1444"/>
    <x v="20"/>
    <x v="578"/>
    <x v="0"/>
    <x v="0"/>
    <x v="2"/>
  </r>
  <r>
    <x v="1451"/>
    <s v="Sean James"/>
    <x v="29"/>
    <x v="0"/>
    <x v="2"/>
    <s v="High School"/>
    <x v="1"/>
    <n v="37509"/>
    <n v="448"/>
    <n v="24377"/>
    <x v="1"/>
    <n v="6.2699999999999992E-2"/>
    <x v="3"/>
    <s v="Owned"/>
    <n v="16"/>
    <n v="3"/>
    <s v="Yes"/>
    <s v="No"/>
    <x v="2"/>
    <n v="115625"/>
    <x v="1445"/>
    <x v="57"/>
    <x v="1016"/>
    <x v="1"/>
    <x v="0"/>
    <x v="2"/>
  </r>
  <r>
    <x v="1452"/>
    <s v="Randy Parker"/>
    <x v="0"/>
    <x v="0"/>
    <x v="2"/>
    <s v="High School"/>
    <x v="1"/>
    <n v="126170"/>
    <n v="448"/>
    <n v="48037"/>
    <x v="0"/>
    <n v="0.19309999999999999"/>
    <x v="5"/>
    <s v="Rented"/>
    <n v="19"/>
    <n v="4"/>
    <s v="No"/>
    <s v="Yes"/>
    <x v="3"/>
    <n v="148893"/>
    <x v="1446"/>
    <x v="38"/>
    <x v="558"/>
    <x v="0"/>
    <x v="0"/>
    <x v="2"/>
  </r>
  <r>
    <x v="1453"/>
    <s v="Heather Harrison"/>
    <x v="28"/>
    <x v="0"/>
    <x v="3"/>
    <s v="High School"/>
    <x v="3"/>
    <n v="141443"/>
    <n v="448"/>
    <n v="26350"/>
    <x v="4"/>
    <n v="5.0900000000000001E-2"/>
    <x v="1"/>
    <s v="Owned"/>
    <n v="13"/>
    <n v="0"/>
    <s v="No"/>
    <s v="No"/>
    <x v="4"/>
    <n v="22313"/>
    <x v="1447"/>
    <x v="68"/>
    <x v="505"/>
    <x v="0"/>
    <x v="0"/>
    <x v="2"/>
  </r>
  <r>
    <x v="1454"/>
    <s v="Ashley Jackson"/>
    <x v="23"/>
    <x v="1"/>
    <x v="2"/>
    <s v="PhD"/>
    <x v="2"/>
    <n v="142406"/>
    <n v="447"/>
    <n v="7200"/>
    <x v="2"/>
    <n v="0.10060000000000001"/>
    <x v="1"/>
    <s v="Rented"/>
    <n v="15"/>
    <n v="1"/>
    <s v="Yes"/>
    <s v="Yes"/>
    <x v="3"/>
    <n v="29403"/>
    <x v="65"/>
    <x v="13"/>
    <x v="1017"/>
    <x v="0"/>
    <x v="0"/>
    <x v="2"/>
  </r>
  <r>
    <x v="1455"/>
    <s v="Suzanne Thompson"/>
    <x v="41"/>
    <x v="0"/>
    <x v="0"/>
    <s v="High School"/>
    <x v="1"/>
    <n v="144336"/>
    <n v="447"/>
    <n v="5327"/>
    <x v="4"/>
    <n v="6.7599999999999993E-2"/>
    <x v="5"/>
    <s v="Mortgaged"/>
    <n v="29"/>
    <n v="1"/>
    <s v="No"/>
    <s v="No"/>
    <x v="3"/>
    <n v="85600"/>
    <x v="1448"/>
    <x v="25"/>
    <x v="1018"/>
    <x v="1"/>
    <x v="0"/>
    <x v="2"/>
  </r>
  <r>
    <x v="1456"/>
    <s v="Cynthia Ruiz"/>
    <x v="29"/>
    <x v="0"/>
    <x v="2"/>
    <s v="PhD"/>
    <x v="2"/>
    <n v="78047"/>
    <n v="447"/>
    <n v="18997"/>
    <x v="4"/>
    <n v="9.8400000000000001E-2"/>
    <x v="2"/>
    <s v="Rented"/>
    <n v="13"/>
    <n v="3"/>
    <s v="No"/>
    <s v="No"/>
    <x v="2"/>
    <n v="48544"/>
    <x v="1449"/>
    <x v="48"/>
    <x v="1019"/>
    <x v="0"/>
    <x v="0"/>
    <x v="2"/>
  </r>
  <r>
    <x v="1457"/>
    <s v="Jerry Allen"/>
    <x v="19"/>
    <x v="1"/>
    <x v="3"/>
    <s v="PhD"/>
    <x v="2"/>
    <n v="127197"/>
    <n v="447"/>
    <n v="42553"/>
    <x v="3"/>
    <n v="0.1424"/>
    <x v="4"/>
    <s v="Rented"/>
    <n v="12"/>
    <n v="2"/>
    <s v="No"/>
    <s v="No"/>
    <x v="0"/>
    <n v="197946"/>
    <x v="1450"/>
    <x v="65"/>
    <x v="1020"/>
    <x v="1"/>
    <x v="0"/>
    <x v="2"/>
  </r>
  <r>
    <x v="1458"/>
    <s v="Elizabeth Riley"/>
    <x v="27"/>
    <x v="1"/>
    <x v="1"/>
    <s v="High School"/>
    <x v="0"/>
    <n v="57528"/>
    <n v="446"/>
    <n v="41159"/>
    <x v="2"/>
    <n v="0.19920000000000002"/>
    <x v="2"/>
    <s v="Owned"/>
    <n v="26"/>
    <n v="4"/>
    <s v="No"/>
    <s v="No"/>
    <x v="0"/>
    <n v="2405"/>
    <x v="1451"/>
    <x v="2"/>
    <x v="1021"/>
    <x v="1"/>
    <x v="0"/>
    <x v="2"/>
  </r>
  <r>
    <x v="1459"/>
    <s v="Darin Murillo"/>
    <x v="11"/>
    <x v="1"/>
    <x v="2"/>
    <s v="High School"/>
    <x v="3"/>
    <n v="43723"/>
    <n v="446"/>
    <n v="46235"/>
    <x v="4"/>
    <n v="5.4199999999999998E-2"/>
    <x v="0"/>
    <s v="Owned"/>
    <n v="22"/>
    <n v="1"/>
    <s v="Yes"/>
    <s v="Yes"/>
    <x v="1"/>
    <n v="8014"/>
    <x v="1452"/>
    <x v="25"/>
    <x v="135"/>
    <x v="0"/>
    <x v="0"/>
    <x v="2"/>
  </r>
  <r>
    <x v="1460"/>
    <s v="Michael Gallagher"/>
    <x v="38"/>
    <x v="0"/>
    <x v="2"/>
    <s v="PhD"/>
    <x v="1"/>
    <n v="67599"/>
    <n v="446"/>
    <n v="32126"/>
    <x v="2"/>
    <n v="0.15529999999999999"/>
    <x v="1"/>
    <s v="Rented"/>
    <n v="10"/>
    <n v="4"/>
    <s v="Yes"/>
    <s v="No"/>
    <x v="4"/>
    <n v="39150"/>
    <x v="1453"/>
    <x v="53"/>
    <x v="589"/>
    <x v="0"/>
    <x v="0"/>
    <x v="2"/>
  </r>
  <r>
    <x v="1461"/>
    <s v="Samantha Hill"/>
    <x v="23"/>
    <x v="1"/>
    <x v="2"/>
    <s v="High School"/>
    <x v="0"/>
    <n v="115251"/>
    <n v="446"/>
    <n v="44665"/>
    <x v="0"/>
    <n v="0.14560000000000001"/>
    <x v="3"/>
    <s v="Owned"/>
    <n v="22"/>
    <n v="0"/>
    <s v="No"/>
    <s v="Yes"/>
    <x v="2"/>
    <n v="113872"/>
    <x v="1454"/>
    <x v="11"/>
    <x v="1022"/>
    <x v="0"/>
    <x v="0"/>
    <x v="2"/>
  </r>
  <r>
    <x v="1462"/>
    <s v="Alexander Sanders"/>
    <x v="35"/>
    <x v="1"/>
    <x v="3"/>
    <s v="High School"/>
    <x v="2"/>
    <n v="29107"/>
    <n v="446"/>
    <n v="47010"/>
    <x v="1"/>
    <n v="0.17829999999999999"/>
    <x v="0"/>
    <s v="Owned"/>
    <n v="3"/>
    <n v="0"/>
    <s v="Yes"/>
    <s v="Yes"/>
    <x v="3"/>
    <n v="23593"/>
    <x v="1455"/>
    <x v="39"/>
    <x v="565"/>
    <x v="0"/>
    <x v="0"/>
    <x v="2"/>
  </r>
  <r>
    <x v="1463"/>
    <s v="Frederick Flores"/>
    <x v="39"/>
    <x v="1"/>
    <x v="1"/>
    <s v="Graduate"/>
    <x v="2"/>
    <n v="56404"/>
    <n v="445"/>
    <n v="44484"/>
    <x v="3"/>
    <n v="6.4299999999999996E-2"/>
    <x v="0"/>
    <s v="Mortgaged"/>
    <n v="25"/>
    <n v="3"/>
    <s v="No"/>
    <s v="No"/>
    <x v="4"/>
    <n v="53832"/>
    <x v="1456"/>
    <x v="35"/>
    <x v="836"/>
    <x v="1"/>
    <x v="0"/>
    <x v="2"/>
  </r>
  <r>
    <x v="1464"/>
    <s v="Melanie Berry"/>
    <x v="38"/>
    <x v="0"/>
    <x v="2"/>
    <s v="Postgraduate"/>
    <x v="1"/>
    <n v="143885"/>
    <n v="445"/>
    <n v="11537"/>
    <x v="3"/>
    <n v="0.1893"/>
    <x v="4"/>
    <s v="Rented"/>
    <n v="15"/>
    <n v="0"/>
    <s v="No"/>
    <s v="Yes"/>
    <x v="2"/>
    <n v="11990"/>
    <x v="1457"/>
    <x v="12"/>
    <x v="1023"/>
    <x v="0"/>
    <x v="0"/>
    <x v="2"/>
  </r>
  <r>
    <x v="1465"/>
    <s v="Robert Bright"/>
    <x v="17"/>
    <x v="0"/>
    <x v="0"/>
    <s v="Postgraduate"/>
    <x v="3"/>
    <n v="30450"/>
    <n v="445"/>
    <n v="19452"/>
    <x v="2"/>
    <n v="8.48E-2"/>
    <x v="1"/>
    <s v="Owned"/>
    <n v="24"/>
    <n v="4"/>
    <s v="No"/>
    <s v="Yes"/>
    <x v="3"/>
    <n v="68260"/>
    <x v="1458"/>
    <x v="25"/>
    <x v="3"/>
    <x v="1"/>
    <x v="0"/>
    <x v="2"/>
  </r>
  <r>
    <x v="1466"/>
    <s v="Ashley Miller"/>
    <x v="36"/>
    <x v="1"/>
    <x v="2"/>
    <s v="Graduate"/>
    <x v="1"/>
    <n v="40823"/>
    <n v="445"/>
    <n v="45698"/>
    <x v="1"/>
    <n v="6.7199999999999996E-2"/>
    <x v="4"/>
    <s v="Owned"/>
    <n v="23"/>
    <n v="0"/>
    <s v="No"/>
    <s v="Yes"/>
    <x v="2"/>
    <n v="8187"/>
    <x v="1459"/>
    <x v="59"/>
    <x v="723"/>
    <x v="1"/>
    <x v="0"/>
    <x v="2"/>
  </r>
  <r>
    <x v="1467"/>
    <s v="Lisa Terry"/>
    <x v="26"/>
    <x v="1"/>
    <x v="2"/>
    <s v="PhD"/>
    <x v="3"/>
    <n v="117927"/>
    <n v="445"/>
    <n v="14036"/>
    <x v="1"/>
    <n v="0.1401"/>
    <x v="1"/>
    <s v="Mortgaged"/>
    <n v="12"/>
    <n v="4"/>
    <s v="Yes"/>
    <s v="Yes"/>
    <x v="4"/>
    <n v="65037"/>
    <x v="1460"/>
    <x v="85"/>
    <x v="462"/>
    <x v="1"/>
    <x v="0"/>
    <x v="2"/>
  </r>
  <r>
    <x v="1468"/>
    <s v="William Turner"/>
    <x v="5"/>
    <x v="0"/>
    <x v="1"/>
    <s v="Postgraduate"/>
    <x v="3"/>
    <n v="22523"/>
    <n v="445"/>
    <n v="18333"/>
    <x v="2"/>
    <n v="9.3699999999999992E-2"/>
    <x v="2"/>
    <s v="Mortgaged"/>
    <n v="23"/>
    <n v="4"/>
    <s v="No"/>
    <s v="Yes"/>
    <x v="2"/>
    <n v="112235"/>
    <x v="1461"/>
    <x v="41"/>
    <x v="856"/>
    <x v="1"/>
    <x v="0"/>
    <x v="2"/>
  </r>
  <r>
    <x v="1469"/>
    <s v="Chelsea Benson"/>
    <x v="1"/>
    <x v="1"/>
    <x v="3"/>
    <s v="PhD"/>
    <x v="1"/>
    <n v="59601"/>
    <n v="445"/>
    <n v="19226"/>
    <x v="3"/>
    <n v="0.1457"/>
    <x v="3"/>
    <s v="Rented"/>
    <n v="11"/>
    <n v="3"/>
    <s v="No"/>
    <s v="Yes"/>
    <x v="1"/>
    <n v="169509"/>
    <x v="1462"/>
    <x v="47"/>
    <x v="1024"/>
    <x v="0"/>
    <x v="0"/>
    <x v="2"/>
  </r>
  <r>
    <x v="1470"/>
    <s v="Tony Ryan"/>
    <x v="17"/>
    <x v="1"/>
    <x v="2"/>
    <s v="High School"/>
    <x v="0"/>
    <n v="65717"/>
    <n v="444"/>
    <n v="19105"/>
    <x v="0"/>
    <n v="0.12759999999999999"/>
    <x v="0"/>
    <s v="Rented"/>
    <n v="2"/>
    <n v="0"/>
    <s v="No"/>
    <s v="No"/>
    <x v="3"/>
    <n v="193740"/>
    <x v="1463"/>
    <x v="67"/>
    <x v="1025"/>
    <x v="0"/>
    <x v="0"/>
    <x v="2"/>
  </r>
  <r>
    <x v="1471"/>
    <s v="Brian Moreno"/>
    <x v="18"/>
    <x v="1"/>
    <x v="3"/>
    <s v="PhD"/>
    <x v="3"/>
    <n v="65836"/>
    <n v="444"/>
    <n v="46667"/>
    <x v="0"/>
    <n v="6.4299999999999996E-2"/>
    <x v="0"/>
    <s v="Owned"/>
    <n v="5"/>
    <n v="1"/>
    <s v="Yes"/>
    <s v="No"/>
    <x v="2"/>
    <n v="141639"/>
    <x v="1464"/>
    <x v="43"/>
    <x v="1026"/>
    <x v="1"/>
    <x v="1"/>
    <x v="2"/>
  </r>
  <r>
    <x v="1472"/>
    <s v="Lynn Pratt"/>
    <x v="15"/>
    <x v="0"/>
    <x v="3"/>
    <s v="Graduate"/>
    <x v="1"/>
    <n v="98648"/>
    <n v="444"/>
    <n v="17876"/>
    <x v="2"/>
    <n v="9.9399999999999988E-2"/>
    <x v="5"/>
    <s v="Rented"/>
    <n v="17"/>
    <n v="4"/>
    <s v="Yes"/>
    <s v="No"/>
    <x v="1"/>
    <n v="190031"/>
    <x v="1465"/>
    <x v="78"/>
    <x v="1027"/>
    <x v="0"/>
    <x v="1"/>
    <x v="2"/>
  </r>
  <r>
    <x v="1473"/>
    <s v="Tamara Kim"/>
    <x v="8"/>
    <x v="1"/>
    <x v="3"/>
    <s v="PhD"/>
    <x v="3"/>
    <n v="44624"/>
    <n v="443"/>
    <n v="17078"/>
    <x v="0"/>
    <n v="0.14679999999999999"/>
    <x v="1"/>
    <s v="Mortgaged"/>
    <n v="24"/>
    <n v="2"/>
    <s v="No"/>
    <s v="No"/>
    <x v="3"/>
    <n v="115965"/>
    <x v="1466"/>
    <x v="57"/>
    <x v="1028"/>
    <x v="0"/>
    <x v="1"/>
    <x v="2"/>
  </r>
  <r>
    <x v="1474"/>
    <s v="David Underwood"/>
    <x v="34"/>
    <x v="1"/>
    <x v="2"/>
    <s v="Graduate"/>
    <x v="3"/>
    <n v="93474"/>
    <n v="443"/>
    <n v="31669"/>
    <x v="0"/>
    <n v="7.400000000000001E-2"/>
    <x v="3"/>
    <s v="Owned"/>
    <n v="12"/>
    <n v="3"/>
    <s v="No"/>
    <s v="Yes"/>
    <x v="2"/>
    <n v="192622"/>
    <x v="1467"/>
    <x v="52"/>
    <x v="78"/>
    <x v="0"/>
    <x v="0"/>
    <x v="2"/>
  </r>
  <r>
    <x v="1475"/>
    <s v="Lori Brown"/>
    <x v="34"/>
    <x v="0"/>
    <x v="3"/>
    <s v="PhD"/>
    <x v="1"/>
    <n v="144173"/>
    <n v="443"/>
    <n v="18920"/>
    <x v="2"/>
    <n v="7.2700000000000001E-2"/>
    <x v="4"/>
    <s v="Rented"/>
    <n v="25"/>
    <n v="1"/>
    <s v="Yes"/>
    <s v="Yes"/>
    <x v="3"/>
    <n v="152931"/>
    <x v="1468"/>
    <x v="2"/>
    <x v="929"/>
    <x v="1"/>
    <x v="0"/>
    <x v="2"/>
  </r>
  <r>
    <x v="1476"/>
    <s v="Lindsay Jones"/>
    <x v="32"/>
    <x v="0"/>
    <x v="1"/>
    <s v="Graduate"/>
    <x v="0"/>
    <n v="95761"/>
    <n v="443"/>
    <n v="3711"/>
    <x v="0"/>
    <n v="7.8E-2"/>
    <x v="0"/>
    <s v="Rented"/>
    <n v="23"/>
    <n v="1"/>
    <s v="No"/>
    <s v="No"/>
    <x v="2"/>
    <n v="120300"/>
    <x v="1469"/>
    <x v="12"/>
    <x v="170"/>
    <x v="0"/>
    <x v="0"/>
    <x v="2"/>
  </r>
  <r>
    <x v="1477"/>
    <s v="Natalie Martinez"/>
    <x v="10"/>
    <x v="1"/>
    <x v="3"/>
    <s v="High School"/>
    <x v="1"/>
    <n v="32879"/>
    <n v="443"/>
    <n v="21079"/>
    <x v="4"/>
    <n v="0.16760000000000003"/>
    <x v="3"/>
    <s v="Mortgaged"/>
    <n v="12"/>
    <n v="2"/>
    <s v="No"/>
    <s v="No"/>
    <x v="4"/>
    <n v="28093"/>
    <x v="1470"/>
    <x v="89"/>
    <x v="1029"/>
    <x v="1"/>
    <x v="1"/>
    <x v="2"/>
  </r>
  <r>
    <x v="1478"/>
    <s v="Jessica Wong"/>
    <x v="24"/>
    <x v="0"/>
    <x v="3"/>
    <s v="Postgraduate"/>
    <x v="0"/>
    <n v="140044"/>
    <n v="443"/>
    <n v="28066"/>
    <x v="4"/>
    <n v="0.19620000000000001"/>
    <x v="5"/>
    <s v="Owned"/>
    <n v="28"/>
    <n v="2"/>
    <s v="Yes"/>
    <s v="No"/>
    <x v="0"/>
    <n v="100369"/>
    <x v="1471"/>
    <x v="34"/>
    <x v="955"/>
    <x v="1"/>
    <x v="1"/>
    <x v="2"/>
  </r>
  <r>
    <x v="1479"/>
    <s v="Jennifer Ashley"/>
    <x v="30"/>
    <x v="1"/>
    <x v="0"/>
    <s v="Graduate"/>
    <x v="0"/>
    <n v="30619"/>
    <n v="443"/>
    <n v="7047"/>
    <x v="0"/>
    <n v="0.16260000000000002"/>
    <x v="5"/>
    <s v="Mortgaged"/>
    <n v="25"/>
    <n v="2"/>
    <s v="No"/>
    <s v="No"/>
    <x v="2"/>
    <n v="143165"/>
    <x v="1472"/>
    <x v="18"/>
    <x v="1030"/>
    <x v="0"/>
    <x v="0"/>
    <x v="2"/>
  </r>
  <r>
    <x v="1480"/>
    <s v="Julia Richards"/>
    <x v="29"/>
    <x v="1"/>
    <x v="1"/>
    <s v="Graduate"/>
    <x v="2"/>
    <n v="104003"/>
    <n v="442"/>
    <n v="47624"/>
    <x v="4"/>
    <n v="9.0999999999999998E-2"/>
    <x v="2"/>
    <s v="Owned"/>
    <n v="24"/>
    <n v="0"/>
    <s v="No"/>
    <s v="Yes"/>
    <x v="4"/>
    <n v="167010"/>
    <x v="1473"/>
    <x v="55"/>
    <x v="208"/>
    <x v="0"/>
    <x v="0"/>
    <x v="2"/>
  </r>
  <r>
    <x v="1481"/>
    <s v="Renee Garcia"/>
    <x v="22"/>
    <x v="1"/>
    <x v="0"/>
    <s v="Graduate"/>
    <x v="0"/>
    <n v="116341"/>
    <n v="442"/>
    <n v="36338"/>
    <x v="2"/>
    <n v="5.7200000000000001E-2"/>
    <x v="4"/>
    <s v="Owned"/>
    <n v="28"/>
    <n v="0"/>
    <s v="Yes"/>
    <s v="No"/>
    <x v="2"/>
    <n v="168923"/>
    <x v="1474"/>
    <x v="47"/>
    <x v="1031"/>
    <x v="0"/>
    <x v="0"/>
    <x v="2"/>
  </r>
  <r>
    <x v="1482"/>
    <s v="Andrew Taylor"/>
    <x v="6"/>
    <x v="1"/>
    <x v="2"/>
    <s v="Graduate"/>
    <x v="1"/>
    <n v="118850"/>
    <n v="441"/>
    <n v="16250"/>
    <x v="4"/>
    <n v="0.11109999999999999"/>
    <x v="5"/>
    <s v="Owned"/>
    <n v="16"/>
    <n v="3"/>
    <s v="Yes"/>
    <s v="Yes"/>
    <x v="1"/>
    <n v="79584"/>
    <x v="1475"/>
    <x v="3"/>
    <x v="1032"/>
    <x v="0"/>
    <x v="1"/>
    <x v="2"/>
  </r>
  <r>
    <x v="1483"/>
    <s v="Michele Jackson"/>
    <x v="9"/>
    <x v="1"/>
    <x v="3"/>
    <s v="PhD"/>
    <x v="1"/>
    <n v="56901"/>
    <n v="441"/>
    <n v="32541"/>
    <x v="4"/>
    <n v="0.13109999999999999"/>
    <x v="0"/>
    <s v="Rented"/>
    <n v="27"/>
    <n v="2"/>
    <s v="No"/>
    <s v="No"/>
    <x v="4"/>
    <n v="168097"/>
    <x v="1476"/>
    <x v="8"/>
    <x v="1033"/>
    <x v="1"/>
    <x v="1"/>
    <x v="2"/>
  </r>
  <r>
    <x v="1484"/>
    <s v="Jeremy White"/>
    <x v="27"/>
    <x v="1"/>
    <x v="0"/>
    <s v="High School"/>
    <x v="1"/>
    <n v="57679"/>
    <n v="441"/>
    <n v="28631"/>
    <x v="0"/>
    <n v="7.9500000000000001E-2"/>
    <x v="0"/>
    <s v="Rented"/>
    <n v="4"/>
    <n v="0"/>
    <s v="Yes"/>
    <s v="Yes"/>
    <x v="0"/>
    <n v="92519"/>
    <x v="1477"/>
    <x v="88"/>
    <x v="230"/>
    <x v="1"/>
    <x v="1"/>
    <x v="2"/>
  </r>
  <r>
    <x v="1485"/>
    <s v="Gilbert Hampton"/>
    <x v="13"/>
    <x v="1"/>
    <x v="2"/>
    <s v="PhD"/>
    <x v="2"/>
    <n v="64786"/>
    <n v="440"/>
    <n v="44663"/>
    <x v="4"/>
    <n v="8.9499999999999996E-2"/>
    <x v="1"/>
    <s v="Mortgaged"/>
    <n v="17"/>
    <n v="3"/>
    <s v="No"/>
    <s v="No"/>
    <x v="3"/>
    <n v="155428"/>
    <x v="1478"/>
    <x v="3"/>
    <x v="132"/>
    <x v="1"/>
    <x v="0"/>
    <x v="2"/>
  </r>
  <r>
    <x v="1486"/>
    <s v="Richard Jones"/>
    <x v="15"/>
    <x v="0"/>
    <x v="0"/>
    <s v="Graduate"/>
    <x v="3"/>
    <n v="125185"/>
    <n v="440"/>
    <n v="18140"/>
    <x v="1"/>
    <n v="0.08"/>
    <x v="4"/>
    <s v="Owned"/>
    <n v="24"/>
    <n v="3"/>
    <s v="Yes"/>
    <s v="Yes"/>
    <x v="1"/>
    <n v="157979"/>
    <x v="1479"/>
    <x v="79"/>
    <x v="654"/>
    <x v="1"/>
    <x v="0"/>
    <x v="2"/>
  </r>
  <r>
    <x v="1487"/>
    <s v="Sean Cline PhD"/>
    <x v="18"/>
    <x v="0"/>
    <x v="1"/>
    <s v="Postgraduate"/>
    <x v="2"/>
    <n v="85641"/>
    <n v="440"/>
    <n v="33283"/>
    <x v="0"/>
    <n v="0.18859999999999999"/>
    <x v="1"/>
    <s v="Rented"/>
    <n v="16"/>
    <n v="2"/>
    <s v="Yes"/>
    <s v="Yes"/>
    <x v="3"/>
    <n v="108814"/>
    <x v="1480"/>
    <x v="29"/>
    <x v="651"/>
    <x v="0"/>
    <x v="0"/>
    <x v="2"/>
  </r>
  <r>
    <x v="1488"/>
    <s v="Sonia Smith"/>
    <x v="27"/>
    <x v="1"/>
    <x v="3"/>
    <s v="High School"/>
    <x v="1"/>
    <n v="144891"/>
    <n v="440"/>
    <n v="10797"/>
    <x v="0"/>
    <n v="5.45E-2"/>
    <x v="3"/>
    <s v="Rented"/>
    <n v="12"/>
    <n v="0"/>
    <s v="Yes"/>
    <s v="No"/>
    <x v="0"/>
    <n v="82485"/>
    <x v="1481"/>
    <x v="10"/>
    <x v="429"/>
    <x v="1"/>
    <x v="1"/>
    <x v="2"/>
  </r>
  <r>
    <x v="1489"/>
    <s v="Kevin Wright"/>
    <x v="39"/>
    <x v="1"/>
    <x v="1"/>
    <s v="Graduate"/>
    <x v="1"/>
    <n v="119279"/>
    <n v="439"/>
    <n v="43903"/>
    <x v="3"/>
    <n v="0.10630000000000001"/>
    <x v="4"/>
    <s v="Mortgaged"/>
    <n v="29"/>
    <n v="4"/>
    <s v="Yes"/>
    <s v="Yes"/>
    <x v="2"/>
    <n v="61666"/>
    <x v="1482"/>
    <x v="39"/>
    <x v="906"/>
    <x v="0"/>
    <x v="0"/>
    <x v="2"/>
  </r>
  <r>
    <x v="1490"/>
    <s v="Cynthia Bradford"/>
    <x v="32"/>
    <x v="1"/>
    <x v="1"/>
    <s v="High School"/>
    <x v="1"/>
    <n v="134584"/>
    <n v="438"/>
    <n v="12244"/>
    <x v="4"/>
    <n v="0.19399999999999998"/>
    <x v="2"/>
    <s v="Owned"/>
    <n v="19"/>
    <n v="2"/>
    <s v="No"/>
    <s v="No"/>
    <x v="4"/>
    <n v="120087"/>
    <x v="1483"/>
    <x v="80"/>
    <x v="445"/>
    <x v="0"/>
    <x v="1"/>
    <x v="2"/>
  </r>
  <r>
    <x v="1491"/>
    <s v="Christopher Scott"/>
    <x v="31"/>
    <x v="0"/>
    <x v="3"/>
    <s v="PhD"/>
    <x v="3"/>
    <n v="85602"/>
    <n v="438"/>
    <n v="22516"/>
    <x v="2"/>
    <n v="0.18390000000000001"/>
    <x v="5"/>
    <s v="Rented"/>
    <n v="11"/>
    <n v="4"/>
    <s v="Yes"/>
    <s v="No"/>
    <x v="1"/>
    <n v="155356"/>
    <x v="1484"/>
    <x v="7"/>
    <x v="795"/>
    <x v="1"/>
    <x v="0"/>
    <x v="2"/>
  </r>
  <r>
    <x v="1492"/>
    <s v="Sarah White"/>
    <x v="34"/>
    <x v="0"/>
    <x v="3"/>
    <s v="Postgraduate"/>
    <x v="2"/>
    <n v="133606"/>
    <n v="438"/>
    <n v="4536"/>
    <x v="2"/>
    <n v="8.6500000000000007E-2"/>
    <x v="2"/>
    <s v="Mortgaged"/>
    <n v="4"/>
    <n v="3"/>
    <s v="No"/>
    <s v="No"/>
    <x v="4"/>
    <n v="141533"/>
    <x v="1485"/>
    <x v="45"/>
    <x v="1034"/>
    <x v="1"/>
    <x v="1"/>
    <x v="2"/>
  </r>
  <r>
    <x v="1493"/>
    <s v="Monica Fischer"/>
    <x v="4"/>
    <x v="0"/>
    <x v="2"/>
    <s v="High School"/>
    <x v="0"/>
    <n v="106673"/>
    <n v="438"/>
    <n v="39995"/>
    <x v="4"/>
    <n v="0.12539999999999998"/>
    <x v="5"/>
    <s v="Owned"/>
    <n v="26"/>
    <n v="4"/>
    <s v="No"/>
    <s v="Yes"/>
    <x v="0"/>
    <n v="166265"/>
    <x v="1486"/>
    <x v="19"/>
    <x v="261"/>
    <x v="0"/>
    <x v="0"/>
    <x v="2"/>
  </r>
  <r>
    <x v="1494"/>
    <s v="Jessica Brown"/>
    <x v="17"/>
    <x v="1"/>
    <x v="3"/>
    <s v="PhD"/>
    <x v="0"/>
    <n v="112918"/>
    <n v="438"/>
    <n v="29415"/>
    <x v="4"/>
    <n v="5.1200000000000002E-2"/>
    <x v="0"/>
    <s v="Rented"/>
    <n v="2"/>
    <n v="4"/>
    <s v="Yes"/>
    <s v="No"/>
    <x v="0"/>
    <n v="137312"/>
    <x v="1487"/>
    <x v="50"/>
    <x v="547"/>
    <x v="1"/>
    <x v="1"/>
    <x v="2"/>
  </r>
  <r>
    <x v="1495"/>
    <s v="Kelli Crawford"/>
    <x v="36"/>
    <x v="1"/>
    <x v="2"/>
    <s v="Postgraduate"/>
    <x v="1"/>
    <n v="94991"/>
    <n v="438"/>
    <n v="23796"/>
    <x v="4"/>
    <n v="0.12520000000000001"/>
    <x v="3"/>
    <s v="Rented"/>
    <n v="29"/>
    <n v="0"/>
    <s v="Yes"/>
    <s v="Yes"/>
    <x v="0"/>
    <n v="69051"/>
    <x v="1488"/>
    <x v="53"/>
    <x v="150"/>
    <x v="1"/>
    <x v="1"/>
    <x v="2"/>
  </r>
  <r>
    <x v="1496"/>
    <s v="Mr. Thomas Flores"/>
    <x v="42"/>
    <x v="1"/>
    <x v="2"/>
    <s v="PhD"/>
    <x v="1"/>
    <n v="53349"/>
    <n v="438"/>
    <n v="29152"/>
    <x v="3"/>
    <n v="7.0599999999999996E-2"/>
    <x v="4"/>
    <s v="Rented"/>
    <n v="20"/>
    <n v="0"/>
    <s v="Yes"/>
    <s v="Yes"/>
    <x v="2"/>
    <n v="70779"/>
    <x v="1489"/>
    <x v="69"/>
    <x v="22"/>
    <x v="0"/>
    <x v="1"/>
    <x v="2"/>
  </r>
  <r>
    <x v="1497"/>
    <s v="Brett Morton"/>
    <x v="34"/>
    <x v="1"/>
    <x v="1"/>
    <s v="Graduate"/>
    <x v="3"/>
    <n v="95118"/>
    <n v="437"/>
    <n v="13026"/>
    <x v="1"/>
    <n v="0.15869999999999998"/>
    <x v="0"/>
    <s v="Owned"/>
    <n v="27"/>
    <n v="0"/>
    <s v="Yes"/>
    <s v="Yes"/>
    <x v="4"/>
    <n v="145482"/>
    <x v="1490"/>
    <x v="31"/>
    <x v="16"/>
    <x v="1"/>
    <x v="0"/>
    <x v="2"/>
  </r>
  <r>
    <x v="1498"/>
    <s v="Jenny Tran"/>
    <x v="21"/>
    <x v="0"/>
    <x v="3"/>
    <s v="Postgraduate"/>
    <x v="1"/>
    <n v="114979"/>
    <n v="437"/>
    <n v="25762"/>
    <x v="0"/>
    <n v="0.1419"/>
    <x v="5"/>
    <s v="Rented"/>
    <n v="22"/>
    <n v="1"/>
    <s v="Yes"/>
    <s v="No"/>
    <x v="1"/>
    <n v="19133"/>
    <x v="1491"/>
    <x v="10"/>
    <x v="1035"/>
    <x v="1"/>
    <x v="0"/>
    <x v="2"/>
  </r>
  <r>
    <x v="1499"/>
    <s v="Sean Shields"/>
    <x v="37"/>
    <x v="1"/>
    <x v="0"/>
    <s v="High School"/>
    <x v="2"/>
    <n v="80924"/>
    <n v="437"/>
    <n v="36361"/>
    <x v="0"/>
    <n v="0.19420000000000001"/>
    <x v="0"/>
    <s v="Owned"/>
    <n v="9"/>
    <n v="2"/>
    <s v="No"/>
    <s v="No"/>
    <x v="2"/>
    <n v="178250"/>
    <x v="1492"/>
    <x v="22"/>
    <x v="1036"/>
    <x v="0"/>
    <x v="1"/>
    <x v="2"/>
  </r>
  <r>
    <x v="1500"/>
    <s v="William Levine"/>
    <x v="4"/>
    <x v="0"/>
    <x v="2"/>
    <s v="PhD"/>
    <x v="0"/>
    <n v="97603"/>
    <n v="437"/>
    <n v="28913"/>
    <x v="3"/>
    <n v="0.11699999999999999"/>
    <x v="4"/>
    <s v="Mortgaged"/>
    <n v="8"/>
    <n v="1"/>
    <s v="No"/>
    <s v="No"/>
    <x v="3"/>
    <n v="67104"/>
    <x v="1493"/>
    <x v="83"/>
    <x v="1037"/>
    <x v="1"/>
    <x v="1"/>
    <x v="2"/>
  </r>
  <r>
    <x v="1501"/>
    <s v="Shelby Graham"/>
    <x v="20"/>
    <x v="0"/>
    <x v="3"/>
    <s v="High School"/>
    <x v="0"/>
    <n v="119811"/>
    <n v="437"/>
    <n v="47665"/>
    <x v="3"/>
    <n v="0.16390000000000002"/>
    <x v="2"/>
    <s v="Mortgaged"/>
    <n v="9"/>
    <n v="1"/>
    <s v="No"/>
    <s v="Yes"/>
    <x v="0"/>
    <n v="60325"/>
    <x v="1494"/>
    <x v="51"/>
    <x v="10"/>
    <x v="0"/>
    <x v="1"/>
    <x v="2"/>
  </r>
  <r>
    <x v="1502"/>
    <s v="Jonathan Leonard"/>
    <x v="20"/>
    <x v="1"/>
    <x v="3"/>
    <s v="PhD"/>
    <x v="0"/>
    <n v="145331"/>
    <n v="437"/>
    <n v="40107"/>
    <x v="2"/>
    <n v="0.1452"/>
    <x v="2"/>
    <s v="Owned"/>
    <n v="18"/>
    <n v="3"/>
    <s v="Yes"/>
    <s v="Yes"/>
    <x v="3"/>
    <n v="97772"/>
    <x v="1495"/>
    <x v="81"/>
    <x v="20"/>
    <x v="1"/>
    <x v="0"/>
    <x v="2"/>
  </r>
  <r>
    <x v="1503"/>
    <s v="David Cook"/>
    <x v="14"/>
    <x v="1"/>
    <x v="3"/>
    <s v="Postgraduate"/>
    <x v="2"/>
    <n v="143725"/>
    <n v="437"/>
    <n v="21594"/>
    <x v="3"/>
    <n v="0.13449999999999998"/>
    <x v="0"/>
    <s v="Mortgaged"/>
    <n v="28"/>
    <n v="2"/>
    <s v="Yes"/>
    <s v="No"/>
    <x v="2"/>
    <n v="138723"/>
    <x v="1496"/>
    <x v="82"/>
    <x v="749"/>
    <x v="1"/>
    <x v="0"/>
    <x v="2"/>
  </r>
  <r>
    <x v="1504"/>
    <s v="Cory Salinas"/>
    <x v="6"/>
    <x v="0"/>
    <x v="2"/>
    <s v="High School"/>
    <x v="2"/>
    <n v="101187"/>
    <n v="437"/>
    <n v="20589"/>
    <x v="3"/>
    <n v="7.5600000000000001E-2"/>
    <x v="5"/>
    <s v="Rented"/>
    <n v="15"/>
    <n v="1"/>
    <s v="Yes"/>
    <s v="Yes"/>
    <x v="0"/>
    <n v="199694"/>
    <x v="1497"/>
    <x v="63"/>
    <x v="1038"/>
    <x v="0"/>
    <x v="0"/>
    <x v="2"/>
  </r>
  <r>
    <x v="1505"/>
    <s v="James Ortega"/>
    <x v="39"/>
    <x v="0"/>
    <x v="0"/>
    <s v="Postgraduate"/>
    <x v="0"/>
    <n v="41322"/>
    <n v="436"/>
    <n v="31788"/>
    <x v="0"/>
    <n v="0.13400000000000001"/>
    <x v="3"/>
    <s v="Rented"/>
    <n v="7"/>
    <n v="3"/>
    <s v="No"/>
    <s v="No"/>
    <x v="2"/>
    <n v="16820"/>
    <x v="1498"/>
    <x v="71"/>
    <x v="283"/>
    <x v="1"/>
    <x v="0"/>
    <x v="2"/>
  </r>
  <r>
    <x v="1506"/>
    <s v="Christopher Spencer"/>
    <x v="29"/>
    <x v="1"/>
    <x v="3"/>
    <s v="Postgraduate"/>
    <x v="3"/>
    <n v="27213"/>
    <n v="436"/>
    <n v="42506"/>
    <x v="3"/>
    <n v="0.16850000000000001"/>
    <x v="3"/>
    <s v="Rented"/>
    <n v="20"/>
    <n v="4"/>
    <s v="No"/>
    <s v="Yes"/>
    <x v="3"/>
    <n v="80420"/>
    <x v="1499"/>
    <x v="62"/>
    <x v="352"/>
    <x v="0"/>
    <x v="1"/>
    <x v="2"/>
  </r>
  <r>
    <x v="1507"/>
    <s v="Douglas Brown"/>
    <x v="5"/>
    <x v="1"/>
    <x v="0"/>
    <s v="Postgraduate"/>
    <x v="2"/>
    <n v="37482"/>
    <n v="435"/>
    <n v="23185"/>
    <x v="0"/>
    <n v="6.3899999999999998E-2"/>
    <x v="1"/>
    <s v="Mortgaged"/>
    <n v="25"/>
    <n v="0"/>
    <s v="No"/>
    <s v="No"/>
    <x v="4"/>
    <n v="136268"/>
    <x v="1500"/>
    <x v="30"/>
    <x v="1039"/>
    <x v="0"/>
    <x v="0"/>
    <x v="2"/>
  </r>
  <r>
    <x v="1508"/>
    <s v="Oscar Mosley"/>
    <x v="10"/>
    <x v="0"/>
    <x v="0"/>
    <s v="PhD"/>
    <x v="1"/>
    <n v="109719"/>
    <n v="435"/>
    <n v="7655"/>
    <x v="4"/>
    <n v="0.11230000000000001"/>
    <x v="4"/>
    <s v="Rented"/>
    <n v="6"/>
    <n v="3"/>
    <s v="No"/>
    <s v="Yes"/>
    <x v="4"/>
    <n v="168501"/>
    <x v="1501"/>
    <x v="60"/>
    <x v="438"/>
    <x v="1"/>
    <x v="0"/>
    <x v="2"/>
  </r>
  <r>
    <x v="1509"/>
    <s v="Mark Mathis"/>
    <x v="21"/>
    <x v="1"/>
    <x v="0"/>
    <s v="Graduate"/>
    <x v="0"/>
    <n v="43664"/>
    <n v="435"/>
    <n v="15325"/>
    <x v="4"/>
    <n v="0.11840000000000001"/>
    <x v="4"/>
    <s v="Rented"/>
    <n v="6"/>
    <n v="4"/>
    <s v="Yes"/>
    <s v="Yes"/>
    <x v="4"/>
    <n v="194209"/>
    <x v="1502"/>
    <x v="60"/>
    <x v="855"/>
    <x v="1"/>
    <x v="1"/>
    <x v="2"/>
  </r>
  <r>
    <x v="1510"/>
    <s v="Laurie Davis"/>
    <x v="14"/>
    <x v="1"/>
    <x v="3"/>
    <s v="Graduate"/>
    <x v="2"/>
    <n v="37548"/>
    <n v="434"/>
    <n v="2949"/>
    <x v="3"/>
    <n v="0.1464"/>
    <x v="2"/>
    <s v="Mortgaged"/>
    <n v="21"/>
    <n v="2"/>
    <s v="No"/>
    <s v="Yes"/>
    <x v="1"/>
    <n v="4286"/>
    <x v="1503"/>
    <x v="53"/>
    <x v="580"/>
    <x v="1"/>
    <x v="0"/>
    <x v="2"/>
  </r>
  <r>
    <x v="1511"/>
    <s v="Amanda Frost"/>
    <x v="31"/>
    <x v="1"/>
    <x v="1"/>
    <s v="PhD"/>
    <x v="0"/>
    <n v="104085"/>
    <n v="434"/>
    <n v="1048"/>
    <x v="2"/>
    <n v="0.192"/>
    <x v="2"/>
    <s v="Mortgaged"/>
    <n v="15"/>
    <n v="2"/>
    <s v="Yes"/>
    <s v="No"/>
    <x v="3"/>
    <n v="183987"/>
    <x v="1504"/>
    <x v="30"/>
    <x v="371"/>
    <x v="1"/>
    <x v="0"/>
    <x v="2"/>
  </r>
  <r>
    <x v="1512"/>
    <s v="Joshua Kelly"/>
    <x v="17"/>
    <x v="0"/>
    <x v="3"/>
    <s v="PhD"/>
    <x v="0"/>
    <n v="62495"/>
    <n v="434"/>
    <n v="47244"/>
    <x v="2"/>
    <n v="0.19109999999999999"/>
    <x v="5"/>
    <s v="Mortgaged"/>
    <n v="19"/>
    <n v="3"/>
    <s v="Yes"/>
    <s v="Yes"/>
    <x v="4"/>
    <n v="21407"/>
    <x v="1505"/>
    <x v="51"/>
    <x v="1040"/>
    <x v="0"/>
    <x v="0"/>
    <x v="2"/>
  </r>
  <r>
    <x v="1513"/>
    <s v="Richard Walsh"/>
    <x v="42"/>
    <x v="0"/>
    <x v="0"/>
    <s v="Postgraduate"/>
    <x v="0"/>
    <n v="137478"/>
    <n v="433"/>
    <n v="3036"/>
    <x v="4"/>
    <n v="0.14319999999999999"/>
    <x v="4"/>
    <s v="Owned"/>
    <n v="22"/>
    <n v="2"/>
    <s v="No"/>
    <s v="Yes"/>
    <x v="2"/>
    <n v="189889"/>
    <x v="901"/>
    <x v="6"/>
    <x v="429"/>
    <x v="1"/>
    <x v="0"/>
    <x v="2"/>
  </r>
  <r>
    <x v="1514"/>
    <s v="Frank Nichols"/>
    <x v="0"/>
    <x v="0"/>
    <x v="1"/>
    <s v="Graduate"/>
    <x v="0"/>
    <n v="60297"/>
    <n v="433"/>
    <n v="2885"/>
    <x v="0"/>
    <n v="0.10249999999999999"/>
    <x v="1"/>
    <s v="Owned"/>
    <n v="17"/>
    <n v="4"/>
    <s v="No"/>
    <s v="No"/>
    <x v="2"/>
    <n v="90236"/>
    <x v="1506"/>
    <x v="49"/>
    <x v="381"/>
    <x v="0"/>
    <x v="1"/>
    <x v="2"/>
  </r>
  <r>
    <x v="1515"/>
    <s v="April Bennett"/>
    <x v="4"/>
    <x v="1"/>
    <x v="3"/>
    <s v="Graduate"/>
    <x v="0"/>
    <n v="141701"/>
    <n v="433"/>
    <n v="31143"/>
    <x v="0"/>
    <n v="9.4299999999999995E-2"/>
    <x v="2"/>
    <s v="Rented"/>
    <n v="15"/>
    <n v="2"/>
    <s v="Yes"/>
    <s v="No"/>
    <x v="0"/>
    <n v="64591"/>
    <x v="1507"/>
    <x v="68"/>
    <x v="328"/>
    <x v="0"/>
    <x v="0"/>
    <x v="2"/>
  </r>
  <r>
    <x v="1516"/>
    <s v="Stephanie Martin"/>
    <x v="23"/>
    <x v="1"/>
    <x v="1"/>
    <s v="High School"/>
    <x v="1"/>
    <n v="91776"/>
    <n v="432"/>
    <n v="42300"/>
    <x v="2"/>
    <n v="0.16420000000000001"/>
    <x v="1"/>
    <s v="Owned"/>
    <n v="1"/>
    <n v="2"/>
    <s v="Yes"/>
    <s v="No"/>
    <x v="2"/>
    <n v="192958"/>
    <x v="1508"/>
    <x v="77"/>
    <x v="1041"/>
    <x v="1"/>
    <x v="0"/>
    <x v="2"/>
  </r>
  <r>
    <x v="1517"/>
    <s v="Amanda Mcgee"/>
    <x v="2"/>
    <x v="1"/>
    <x v="1"/>
    <s v="Graduate"/>
    <x v="1"/>
    <n v="124879"/>
    <n v="432"/>
    <n v="45078"/>
    <x v="2"/>
    <n v="0.19769999999999999"/>
    <x v="3"/>
    <s v="Rented"/>
    <n v="22"/>
    <n v="3"/>
    <s v="Yes"/>
    <s v="Yes"/>
    <x v="3"/>
    <n v="188445"/>
    <x v="1509"/>
    <x v="51"/>
    <x v="704"/>
    <x v="1"/>
    <x v="0"/>
    <x v="2"/>
  </r>
  <r>
    <x v="1518"/>
    <s v="Karen Pacheco"/>
    <x v="34"/>
    <x v="1"/>
    <x v="3"/>
    <s v="Graduate"/>
    <x v="1"/>
    <n v="21620"/>
    <n v="432"/>
    <n v="7766"/>
    <x v="1"/>
    <n v="0.15380000000000002"/>
    <x v="5"/>
    <s v="Owned"/>
    <n v="11"/>
    <n v="4"/>
    <s v="No"/>
    <s v="No"/>
    <x v="1"/>
    <n v="86356"/>
    <x v="1510"/>
    <x v="82"/>
    <x v="1042"/>
    <x v="1"/>
    <x v="0"/>
    <x v="2"/>
  </r>
  <r>
    <x v="1519"/>
    <s v="Hunter Howard"/>
    <x v="18"/>
    <x v="0"/>
    <x v="2"/>
    <s v="PhD"/>
    <x v="0"/>
    <n v="105945"/>
    <n v="432"/>
    <n v="11523"/>
    <x v="2"/>
    <n v="8.6400000000000005E-2"/>
    <x v="2"/>
    <s v="Mortgaged"/>
    <n v="5"/>
    <n v="2"/>
    <s v="Yes"/>
    <s v="No"/>
    <x v="4"/>
    <n v="146628"/>
    <x v="1511"/>
    <x v="9"/>
    <x v="1017"/>
    <x v="1"/>
    <x v="0"/>
    <x v="2"/>
  </r>
  <r>
    <x v="1520"/>
    <s v="Patricia Henderson"/>
    <x v="5"/>
    <x v="1"/>
    <x v="0"/>
    <s v="Graduate"/>
    <x v="3"/>
    <n v="33777"/>
    <n v="432"/>
    <n v="45052"/>
    <x v="3"/>
    <n v="0.105"/>
    <x v="4"/>
    <s v="Rented"/>
    <n v="3"/>
    <n v="2"/>
    <s v="No"/>
    <s v="No"/>
    <x v="4"/>
    <n v="47594"/>
    <x v="1512"/>
    <x v="10"/>
    <x v="134"/>
    <x v="0"/>
    <x v="0"/>
    <x v="2"/>
  </r>
  <r>
    <x v="1521"/>
    <s v="David Woods"/>
    <x v="38"/>
    <x v="1"/>
    <x v="2"/>
    <s v="PhD"/>
    <x v="3"/>
    <n v="140012"/>
    <n v="432"/>
    <n v="2753"/>
    <x v="0"/>
    <n v="0.13150000000000001"/>
    <x v="1"/>
    <s v="Owned"/>
    <n v="13"/>
    <n v="1"/>
    <s v="No"/>
    <s v="Yes"/>
    <x v="4"/>
    <n v="21635"/>
    <x v="1513"/>
    <x v="69"/>
    <x v="600"/>
    <x v="0"/>
    <x v="0"/>
    <x v="2"/>
  </r>
  <r>
    <x v="1522"/>
    <s v="Henry Collins"/>
    <x v="32"/>
    <x v="0"/>
    <x v="0"/>
    <s v="Graduate"/>
    <x v="3"/>
    <n v="79624"/>
    <n v="432"/>
    <n v="37048"/>
    <x v="0"/>
    <n v="0.18989999999999999"/>
    <x v="1"/>
    <s v="Rented"/>
    <n v="7"/>
    <n v="0"/>
    <s v="No"/>
    <s v="No"/>
    <x v="0"/>
    <n v="17447"/>
    <x v="1514"/>
    <x v="66"/>
    <x v="465"/>
    <x v="0"/>
    <x v="0"/>
    <x v="2"/>
  </r>
  <r>
    <x v="1523"/>
    <s v="Shirley Ryan"/>
    <x v="24"/>
    <x v="0"/>
    <x v="0"/>
    <s v="Postgraduate"/>
    <x v="3"/>
    <n v="47867"/>
    <n v="431"/>
    <n v="10304"/>
    <x v="3"/>
    <n v="0.16300000000000001"/>
    <x v="1"/>
    <s v="Owned"/>
    <n v="23"/>
    <n v="4"/>
    <s v="Yes"/>
    <s v="No"/>
    <x v="2"/>
    <n v="11772"/>
    <x v="1515"/>
    <x v="0"/>
    <x v="1039"/>
    <x v="0"/>
    <x v="0"/>
    <x v="2"/>
  </r>
  <r>
    <x v="1524"/>
    <s v="Bradley Chandler"/>
    <x v="29"/>
    <x v="1"/>
    <x v="0"/>
    <s v="High School"/>
    <x v="0"/>
    <n v="70711"/>
    <n v="431"/>
    <n v="13239"/>
    <x v="3"/>
    <n v="0.1381"/>
    <x v="2"/>
    <s v="Rented"/>
    <n v="7"/>
    <n v="1"/>
    <s v="No"/>
    <s v="No"/>
    <x v="2"/>
    <n v="172443"/>
    <x v="1516"/>
    <x v="1"/>
    <x v="125"/>
    <x v="1"/>
    <x v="0"/>
    <x v="2"/>
  </r>
  <r>
    <x v="1525"/>
    <s v="Charles Martinez"/>
    <x v="4"/>
    <x v="0"/>
    <x v="2"/>
    <s v="PhD"/>
    <x v="0"/>
    <n v="71586"/>
    <n v="431"/>
    <n v="39973"/>
    <x v="2"/>
    <n v="0.19690000000000002"/>
    <x v="5"/>
    <s v="Rented"/>
    <n v="11"/>
    <n v="0"/>
    <s v="Yes"/>
    <s v="No"/>
    <x v="1"/>
    <n v="87667"/>
    <x v="1517"/>
    <x v="61"/>
    <x v="1043"/>
    <x v="1"/>
    <x v="1"/>
    <x v="2"/>
  </r>
  <r>
    <x v="1526"/>
    <s v="Amy Garcia"/>
    <x v="3"/>
    <x v="0"/>
    <x v="0"/>
    <s v="Postgraduate"/>
    <x v="1"/>
    <n v="126718"/>
    <n v="431"/>
    <n v="39255"/>
    <x v="2"/>
    <n v="0.1192"/>
    <x v="1"/>
    <s v="Mortgaged"/>
    <n v="7"/>
    <n v="4"/>
    <s v="Yes"/>
    <s v="No"/>
    <x v="3"/>
    <n v="198138"/>
    <x v="1518"/>
    <x v="47"/>
    <x v="1044"/>
    <x v="1"/>
    <x v="0"/>
    <x v="2"/>
  </r>
  <r>
    <x v="1527"/>
    <s v="Amanda Berry"/>
    <x v="20"/>
    <x v="1"/>
    <x v="2"/>
    <s v="High School"/>
    <x v="2"/>
    <n v="91629"/>
    <n v="430"/>
    <n v="3552"/>
    <x v="0"/>
    <n v="8.4100000000000008E-2"/>
    <x v="1"/>
    <s v="Mortgaged"/>
    <n v="3"/>
    <n v="1"/>
    <s v="No"/>
    <s v="No"/>
    <x v="3"/>
    <n v="1986"/>
    <x v="1519"/>
    <x v="32"/>
    <x v="1045"/>
    <x v="0"/>
    <x v="1"/>
    <x v="2"/>
  </r>
  <r>
    <x v="1528"/>
    <s v="Sonya Anderson"/>
    <x v="36"/>
    <x v="1"/>
    <x v="0"/>
    <s v="PhD"/>
    <x v="1"/>
    <n v="60502"/>
    <n v="430"/>
    <n v="38657"/>
    <x v="3"/>
    <n v="0.1507"/>
    <x v="4"/>
    <s v="Owned"/>
    <n v="7"/>
    <n v="4"/>
    <s v="No"/>
    <s v="No"/>
    <x v="4"/>
    <n v="188564"/>
    <x v="1520"/>
    <x v="49"/>
    <x v="737"/>
    <x v="1"/>
    <x v="0"/>
    <x v="2"/>
  </r>
  <r>
    <x v="1529"/>
    <s v="Monica George"/>
    <x v="17"/>
    <x v="0"/>
    <x v="2"/>
    <s v="Postgraduate"/>
    <x v="0"/>
    <n v="100373"/>
    <n v="430"/>
    <n v="3526"/>
    <x v="0"/>
    <n v="6.4299999999999996E-2"/>
    <x v="0"/>
    <s v="Mortgaged"/>
    <n v="9"/>
    <n v="3"/>
    <s v="No"/>
    <s v="No"/>
    <x v="0"/>
    <n v="149416"/>
    <x v="1521"/>
    <x v="90"/>
    <x v="400"/>
    <x v="0"/>
    <x v="0"/>
    <x v="2"/>
  </r>
  <r>
    <x v="1530"/>
    <s v="Natasha Snyder"/>
    <x v="3"/>
    <x v="1"/>
    <x v="3"/>
    <s v="PhD"/>
    <x v="2"/>
    <n v="121489"/>
    <n v="429"/>
    <n v="24446"/>
    <x v="2"/>
    <n v="5.8200000000000002E-2"/>
    <x v="0"/>
    <s v="Mortgaged"/>
    <n v="11"/>
    <n v="1"/>
    <s v="Yes"/>
    <s v="Yes"/>
    <x v="0"/>
    <n v="14612"/>
    <x v="1522"/>
    <x v="28"/>
    <x v="768"/>
    <x v="1"/>
    <x v="0"/>
    <x v="2"/>
  </r>
  <r>
    <x v="1531"/>
    <s v="Justin Day"/>
    <x v="6"/>
    <x v="1"/>
    <x v="2"/>
    <s v="Graduate"/>
    <x v="1"/>
    <n v="58826"/>
    <n v="429"/>
    <n v="17479"/>
    <x v="1"/>
    <n v="0.16519999999999999"/>
    <x v="1"/>
    <s v="Owned"/>
    <n v="19"/>
    <n v="4"/>
    <s v="Yes"/>
    <s v="Yes"/>
    <x v="0"/>
    <n v="118156"/>
    <x v="1523"/>
    <x v="33"/>
    <x v="1046"/>
    <x v="1"/>
    <x v="0"/>
    <x v="2"/>
  </r>
  <r>
    <x v="1532"/>
    <s v="Glenda Baxter"/>
    <x v="32"/>
    <x v="1"/>
    <x v="1"/>
    <s v="Graduate"/>
    <x v="0"/>
    <n v="69434"/>
    <n v="429"/>
    <n v="37845"/>
    <x v="3"/>
    <n v="0.1245"/>
    <x v="0"/>
    <s v="Rented"/>
    <n v="8"/>
    <n v="2"/>
    <s v="Yes"/>
    <s v="Yes"/>
    <x v="0"/>
    <n v="158629"/>
    <x v="769"/>
    <x v="30"/>
    <x v="490"/>
    <x v="0"/>
    <x v="0"/>
    <x v="2"/>
  </r>
  <r>
    <x v="1533"/>
    <s v="Lauren Jensen"/>
    <x v="8"/>
    <x v="1"/>
    <x v="0"/>
    <s v="High School"/>
    <x v="3"/>
    <n v="144010"/>
    <n v="428"/>
    <n v="41611"/>
    <x v="0"/>
    <n v="0.10249999999999999"/>
    <x v="3"/>
    <s v="Owned"/>
    <n v="27"/>
    <n v="1"/>
    <s v="Yes"/>
    <s v="No"/>
    <x v="4"/>
    <n v="174835"/>
    <x v="1524"/>
    <x v="72"/>
    <x v="1047"/>
    <x v="0"/>
    <x v="0"/>
    <x v="2"/>
  </r>
  <r>
    <x v="1534"/>
    <s v="David Petersen"/>
    <x v="7"/>
    <x v="1"/>
    <x v="2"/>
    <s v="Postgraduate"/>
    <x v="1"/>
    <n v="128612"/>
    <n v="428"/>
    <n v="47581"/>
    <x v="2"/>
    <n v="7.22E-2"/>
    <x v="1"/>
    <s v="Owned"/>
    <n v="20"/>
    <n v="0"/>
    <s v="Yes"/>
    <s v="No"/>
    <x v="3"/>
    <n v="128428"/>
    <x v="1525"/>
    <x v="36"/>
    <x v="459"/>
    <x v="0"/>
    <x v="1"/>
    <x v="2"/>
  </r>
  <r>
    <x v="1535"/>
    <s v="Janet Turner"/>
    <x v="40"/>
    <x v="0"/>
    <x v="2"/>
    <s v="PhD"/>
    <x v="3"/>
    <n v="25666"/>
    <n v="427"/>
    <n v="16611"/>
    <x v="4"/>
    <n v="6.4899999999999999E-2"/>
    <x v="1"/>
    <s v="Owned"/>
    <n v="15"/>
    <n v="1"/>
    <s v="Yes"/>
    <s v="Yes"/>
    <x v="4"/>
    <n v="183490"/>
    <x v="1526"/>
    <x v="56"/>
    <x v="635"/>
    <x v="0"/>
    <x v="0"/>
    <x v="2"/>
  </r>
  <r>
    <x v="1536"/>
    <s v="Ashley Perez"/>
    <x v="37"/>
    <x v="0"/>
    <x v="1"/>
    <s v="PhD"/>
    <x v="2"/>
    <n v="67663"/>
    <n v="427"/>
    <n v="7487"/>
    <x v="4"/>
    <n v="8.3699999999999997E-2"/>
    <x v="5"/>
    <s v="Rented"/>
    <n v="23"/>
    <n v="2"/>
    <s v="Yes"/>
    <s v="Yes"/>
    <x v="0"/>
    <n v="73501"/>
    <x v="1527"/>
    <x v="17"/>
    <x v="1048"/>
    <x v="0"/>
    <x v="1"/>
    <x v="2"/>
  </r>
  <r>
    <x v="1537"/>
    <s v="Edward Hughes"/>
    <x v="11"/>
    <x v="0"/>
    <x v="0"/>
    <s v="PhD"/>
    <x v="0"/>
    <n v="80624"/>
    <n v="427"/>
    <n v="23159"/>
    <x v="1"/>
    <n v="0.19339999999999999"/>
    <x v="2"/>
    <s v="Owned"/>
    <n v="11"/>
    <n v="2"/>
    <s v="No"/>
    <s v="Yes"/>
    <x v="2"/>
    <n v="173883"/>
    <x v="1528"/>
    <x v="82"/>
    <x v="190"/>
    <x v="0"/>
    <x v="0"/>
    <x v="2"/>
  </r>
  <r>
    <x v="1538"/>
    <s v="Jason Boone"/>
    <x v="30"/>
    <x v="1"/>
    <x v="0"/>
    <s v="Postgraduate"/>
    <x v="1"/>
    <n v="70755"/>
    <n v="427"/>
    <n v="44989"/>
    <x v="1"/>
    <n v="0.1338"/>
    <x v="2"/>
    <s v="Mortgaged"/>
    <n v="16"/>
    <n v="0"/>
    <s v="Yes"/>
    <s v="Yes"/>
    <x v="4"/>
    <n v="186087"/>
    <x v="1529"/>
    <x v="46"/>
    <x v="1036"/>
    <x v="0"/>
    <x v="0"/>
    <x v="2"/>
  </r>
  <r>
    <x v="1539"/>
    <s v="Carolyn Smith"/>
    <x v="43"/>
    <x v="0"/>
    <x v="1"/>
    <s v="Graduate"/>
    <x v="2"/>
    <n v="70374"/>
    <n v="427"/>
    <n v="26594"/>
    <x v="4"/>
    <n v="0.17480000000000001"/>
    <x v="5"/>
    <s v="Rented"/>
    <n v="5"/>
    <n v="3"/>
    <s v="No"/>
    <s v="No"/>
    <x v="0"/>
    <n v="60159"/>
    <x v="1530"/>
    <x v="83"/>
    <x v="27"/>
    <x v="0"/>
    <x v="0"/>
    <x v="2"/>
  </r>
  <r>
    <x v="1540"/>
    <s v="Elizabeth Riley"/>
    <x v="40"/>
    <x v="1"/>
    <x v="0"/>
    <s v="High School"/>
    <x v="0"/>
    <n v="69377"/>
    <n v="427"/>
    <n v="29715"/>
    <x v="2"/>
    <n v="0.12609999999999999"/>
    <x v="2"/>
    <s v="Owned"/>
    <n v="28"/>
    <n v="2"/>
    <s v="No"/>
    <s v="No"/>
    <x v="2"/>
    <n v="108538"/>
    <x v="1531"/>
    <x v="76"/>
    <x v="1047"/>
    <x v="0"/>
    <x v="0"/>
    <x v="2"/>
  </r>
  <r>
    <x v="1541"/>
    <s v="Mr. Curtis Hammond"/>
    <x v="33"/>
    <x v="1"/>
    <x v="2"/>
    <s v="Postgraduate"/>
    <x v="2"/>
    <n v="71514"/>
    <n v="427"/>
    <n v="35329"/>
    <x v="4"/>
    <n v="9.5899999999999999E-2"/>
    <x v="3"/>
    <s v="Mortgaged"/>
    <n v="7"/>
    <n v="0"/>
    <s v="Yes"/>
    <s v="No"/>
    <x v="0"/>
    <n v="182108"/>
    <x v="1532"/>
    <x v="12"/>
    <x v="703"/>
    <x v="1"/>
    <x v="0"/>
    <x v="2"/>
  </r>
  <r>
    <x v="1542"/>
    <s v="Chris Bridges"/>
    <x v="1"/>
    <x v="1"/>
    <x v="0"/>
    <s v="Postgraduate"/>
    <x v="1"/>
    <n v="63539"/>
    <n v="426"/>
    <n v="11247"/>
    <x v="3"/>
    <n v="9.98E-2"/>
    <x v="2"/>
    <s v="Owned"/>
    <n v="14"/>
    <n v="0"/>
    <s v="No"/>
    <s v="No"/>
    <x v="0"/>
    <n v="108304"/>
    <x v="1533"/>
    <x v="2"/>
    <x v="747"/>
    <x v="0"/>
    <x v="0"/>
    <x v="2"/>
  </r>
  <r>
    <x v="1543"/>
    <s v="Elizabeth Williams"/>
    <x v="26"/>
    <x v="1"/>
    <x v="3"/>
    <s v="PhD"/>
    <x v="2"/>
    <n v="115042"/>
    <n v="426"/>
    <n v="47996"/>
    <x v="1"/>
    <n v="7.5700000000000003E-2"/>
    <x v="1"/>
    <s v="Rented"/>
    <n v="15"/>
    <n v="4"/>
    <s v="No"/>
    <s v="No"/>
    <x v="1"/>
    <n v="75506"/>
    <x v="1534"/>
    <x v="56"/>
    <x v="782"/>
    <x v="1"/>
    <x v="0"/>
    <x v="2"/>
  </r>
  <r>
    <x v="1544"/>
    <s v="Darin Lane"/>
    <x v="36"/>
    <x v="1"/>
    <x v="2"/>
    <s v="Graduate"/>
    <x v="0"/>
    <n v="132205"/>
    <n v="426"/>
    <n v="7840"/>
    <x v="1"/>
    <n v="0.18489999999999998"/>
    <x v="3"/>
    <s v="Mortgaged"/>
    <n v="11"/>
    <n v="0"/>
    <s v="Yes"/>
    <s v="Yes"/>
    <x v="1"/>
    <n v="15797"/>
    <x v="1535"/>
    <x v="81"/>
    <x v="1049"/>
    <x v="1"/>
    <x v="0"/>
    <x v="2"/>
  </r>
  <r>
    <x v="1545"/>
    <s v="Micheal Thompson"/>
    <x v="0"/>
    <x v="0"/>
    <x v="3"/>
    <s v="Postgraduate"/>
    <x v="3"/>
    <n v="77089"/>
    <n v="426"/>
    <n v="39915"/>
    <x v="0"/>
    <n v="9.6799999999999997E-2"/>
    <x v="2"/>
    <s v="Rented"/>
    <n v="5"/>
    <n v="3"/>
    <s v="Yes"/>
    <s v="Yes"/>
    <x v="1"/>
    <n v="72726"/>
    <x v="1536"/>
    <x v="43"/>
    <x v="1050"/>
    <x v="1"/>
    <x v="1"/>
    <x v="2"/>
  </r>
  <r>
    <x v="1546"/>
    <s v="Shelly Miller"/>
    <x v="5"/>
    <x v="0"/>
    <x v="1"/>
    <s v="High School"/>
    <x v="1"/>
    <n v="41400"/>
    <n v="425"/>
    <n v="44798"/>
    <x v="3"/>
    <n v="0.18469999999999998"/>
    <x v="0"/>
    <s v="Mortgaged"/>
    <n v="14"/>
    <n v="1"/>
    <s v="No"/>
    <s v="Yes"/>
    <x v="4"/>
    <n v="149307"/>
    <x v="1537"/>
    <x v="84"/>
    <x v="19"/>
    <x v="0"/>
    <x v="0"/>
    <x v="2"/>
  </r>
  <r>
    <x v="1547"/>
    <s v="Samuel Hayes"/>
    <x v="25"/>
    <x v="1"/>
    <x v="1"/>
    <s v="PhD"/>
    <x v="1"/>
    <n v="129349"/>
    <n v="425"/>
    <n v="47353"/>
    <x v="4"/>
    <n v="7.6700000000000004E-2"/>
    <x v="0"/>
    <s v="Owned"/>
    <n v="22"/>
    <n v="1"/>
    <s v="No"/>
    <s v="Yes"/>
    <x v="0"/>
    <n v="117248"/>
    <x v="1538"/>
    <x v="82"/>
    <x v="799"/>
    <x v="1"/>
    <x v="0"/>
    <x v="2"/>
  </r>
  <r>
    <x v="1548"/>
    <s v="Makayla Adams"/>
    <x v="23"/>
    <x v="0"/>
    <x v="2"/>
    <s v="PhD"/>
    <x v="2"/>
    <n v="56701"/>
    <n v="424"/>
    <n v="17407"/>
    <x v="1"/>
    <n v="7.6100000000000001E-2"/>
    <x v="3"/>
    <s v="Owned"/>
    <n v="22"/>
    <n v="1"/>
    <s v="No"/>
    <s v="Yes"/>
    <x v="4"/>
    <n v="126697"/>
    <x v="1539"/>
    <x v="39"/>
    <x v="785"/>
    <x v="0"/>
    <x v="0"/>
    <x v="2"/>
  </r>
  <r>
    <x v="1549"/>
    <s v="Samantha Williams"/>
    <x v="40"/>
    <x v="1"/>
    <x v="1"/>
    <s v="PhD"/>
    <x v="0"/>
    <n v="40750"/>
    <n v="424"/>
    <n v="16479"/>
    <x v="1"/>
    <n v="0.11749999999999999"/>
    <x v="5"/>
    <s v="Mortgaged"/>
    <n v="25"/>
    <n v="3"/>
    <s v="Yes"/>
    <s v="Yes"/>
    <x v="2"/>
    <n v="111175"/>
    <x v="1540"/>
    <x v="28"/>
    <x v="1051"/>
    <x v="0"/>
    <x v="0"/>
    <x v="2"/>
  </r>
  <r>
    <x v="1550"/>
    <s v="Marvin Molina"/>
    <x v="0"/>
    <x v="1"/>
    <x v="0"/>
    <s v="PhD"/>
    <x v="1"/>
    <n v="119525"/>
    <n v="424"/>
    <n v="7299"/>
    <x v="3"/>
    <n v="0.13639999999999999"/>
    <x v="5"/>
    <s v="Mortgaged"/>
    <n v="13"/>
    <n v="4"/>
    <s v="Yes"/>
    <s v="No"/>
    <x v="3"/>
    <n v="176559"/>
    <x v="1541"/>
    <x v="29"/>
    <x v="1052"/>
    <x v="1"/>
    <x v="0"/>
    <x v="2"/>
  </r>
  <r>
    <x v="1551"/>
    <s v="Norman Gomez"/>
    <x v="37"/>
    <x v="0"/>
    <x v="0"/>
    <s v="PhD"/>
    <x v="1"/>
    <n v="78645"/>
    <n v="424"/>
    <n v="35980"/>
    <x v="3"/>
    <n v="0.1729"/>
    <x v="2"/>
    <s v="Owned"/>
    <n v="19"/>
    <n v="3"/>
    <s v="Yes"/>
    <s v="No"/>
    <x v="2"/>
    <n v="45813"/>
    <x v="1542"/>
    <x v="61"/>
    <x v="1053"/>
    <x v="1"/>
    <x v="0"/>
    <x v="2"/>
  </r>
  <r>
    <x v="1552"/>
    <s v="Thomas Love"/>
    <x v="37"/>
    <x v="0"/>
    <x v="3"/>
    <s v="PhD"/>
    <x v="3"/>
    <n v="129979"/>
    <n v="423"/>
    <n v="2669"/>
    <x v="0"/>
    <n v="0.14219999999999999"/>
    <x v="1"/>
    <s v="Mortgaged"/>
    <n v="15"/>
    <n v="0"/>
    <s v="Yes"/>
    <s v="Yes"/>
    <x v="0"/>
    <n v="65294"/>
    <x v="1543"/>
    <x v="4"/>
    <x v="1054"/>
    <x v="1"/>
    <x v="1"/>
    <x v="2"/>
  </r>
  <r>
    <x v="1553"/>
    <s v="Elizabeth Martinez"/>
    <x v="34"/>
    <x v="0"/>
    <x v="0"/>
    <s v="PhD"/>
    <x v="1"/>
    <n v="148921"/>
    <n v="423"/>
    <n v="5131"/>
    <x v="4"/>
    <n v="7.51E-2"/>
    <x v="4"/>
    <s v="Rented"/>
    <n v="3"/>
    <n v="3"/>
    <s v="Yes"/>
    <s v="No"/>
    <x v="2"/>
    <n v="48068"/>
    <x v="1544"/>
    <x v="48"/>
    <x v="20"/>
    <x v="1"/>
    <x v="0"/>
    <x v="2"/>
  </r>
  <r>
    <x v="1554"/>
    <s v="Cheryl Walters"/>
    <x v="14"/>
    <x v="0"/>
    <x v="0"/>
    <s v="High School"/>
    <x v="1"/>
    <n v="41576"/>
    <n v="422"/>
    <n v="44417"/>
    <x v="2"/>
    <n v="8.8399999999999992E-2"/>
    <x v="0"/>
    <s v="Owned"/>
    <n v="4"/>
    <n v="1"/>
    <s v="No"/>
    <s v="No"/>
    <x v="3"/>
    <n v="57175"/>
    <x v="1545"/>
    <x v="62"/>
    <x v="778"/>
    <x v="0"/>
    <x v="0"/>
    <x v="2"/>
  </r>
  <r>
    <x v="1555"/>
    <s v="Christine Miller"/>
    <x v="3"/>
    <x v="1"/>
    <x v="1"/>
    <s v="Graduate"/>
    <x v="1"/>
    <n v="125586"/>
    <n v="422"/>
    <n v="9798"/>
    <x v="0"/>
    <n v="7.3099999999999998E-2"/>
    <x v="0"/>
    <s v="Mortgaged"/>
    <n v="27"/>
    <n v="4"/>
    <s v="Yes"/>
    <s v="Yes"/>
    <x v="1"/>
    <n v="142923"/>
    <x v="1546"/>
    <x v="82"/>
    <x v="1055"/>
    <x v="0"/>
    <x v="0"/>
    <x v="2"/>
  </r>
  <r>
    <x v="1556"/>
    <s v="William Green"/>
    <x v="26"/>
    <x v="1"/>
    <x v="1"/>
    <s v="High School"/>
    <x v="1"/>
    <n v="136116"/>
    <n v="422"/>
    <n v="47105"/>
    <x v="0"/>
    <n v="0.08"/>
    <x v="4"/>
    <s v="Mortgaged"/>
    <n v="27"/>
    <n v="0"/>
    <s v="Yes"/>
    <s v="No"/>
    <x v="0"/>
    <n v="140057"/>
    <x v="1547"/>
    <x v="14"/>
    <x v="1056"/>
    <x v="0"/>
    <x v="1"/>
    <x v="2"/>
  </r>
  <r>
    <x v="1557"/>
    <s v="Jamie Hall"/>
    <x v="1"/>
    <x v="1"/>
    <x v="3"/>
    <s v="Postgraduate"/>
    <x v="2"/>
    <n v="70248"/>
    <n v="422"/>
    <n v="43017"/>
    <x v="0"/>
    <n v="0.1094"/>
    <x v="1"/>
    <s v="Mortgaged"/>
    <n v="11"/>
    <n v="4"/>
    <s v="No"/>
    <s v="No"/>
    <x v="4"/>
    <n v="143787"/>
    <x v="1548"/>
    <x v="75"/>
    <x v="419"/>
    <x v="1"/>
    <x v="0"/>
    <x v="2"/>
  </r>
  <r>
    <x v="1558"/>
    <s v="Ms. Diane Nixon"/>
    <x v="42"/>
    <x v="1"/>
    <x v="3"/>
    <s v="Graduate"/>
    <x v="3"/>
    <n v="98082"/>
    <n v="422"/>
    <n v="32115"/>
    <x v="3"/>
    <n v="0.14380000000000001"/>
    <x v="0"/>
    <s v="Mortgaged"/>
    <n v="22"/>
    <n v="4"/>
    <s v="No"/>
    <s v="Yes"/>
    <x v="0"/>
    <n v="158433"/>
    <x v="1549"/>
    <x v="1"/>
    <x v="1057"/>
    <x v="0"/>
    <x v="0"/>
    <x v="2"/>
  </r>
  <r>
    <x v="1559"/>
    <s v="Andrew Phillips"/>
    <x v="5"/>
    <x v="0"/>
    <x v="1"/>
    <s v="PhD"/>
    <x v="2"/>
    <n v="146545"/>
    <n v="421"/>
    <n v="46403"/>
    <x v="0"/>
    <n v="0.16149999999999998"/>
    <x v="4"/>
    <s v="Owned"/>
    <n v="14"/>
    <n v="3"/>
    <s v="No"/>
    <s v="No"/>
    <x v="2"/>
    <n v="1265"/>
    <x v="1550"/>
    <x v="70"/>
    <x v="1058"/>
    <x v="1"/>
    <x v="0"/>
    <x v="2"/>
  </r>
  <r>
    <x v="1560"/>
    <s v="Jeffrey Harrington"/>
    <x v="42"/>
    <x v="0"/>
    <x v="2"/>
    <s v="Graduate"/>
    <x v="2"/>
    <n v="22013"/>
    <n v="421"/>
    <n v="17206"/>
    <x v="0"/>
    <n v="0.16600000000000001"/>
    <x v="5"/>
    <s v="Mortgaged"/>
    <n v="6"/>
    <n v="2"/>
    <s v="No"/>
    <s v="No"/>
    <x v="2"/>
    <n v="714"/>
    <x v="1551"/>
    <x v="38"/>
    <x v="639"/>
    <x v="1"/>
    <x v="1"/>
    <x v="2"/>
  </r>
  <r>
    <x v="1561"/>
    <s v="Roger Lane"/>
    <x v="21"/>
    <x v="1"/>
    <x v="3"/>
    <s v="Postgraduate"/>
    <x v="2"/>
    <n v="37397"/>
    <n v="421"/>
    <n v="42609"/>
    <x v="1"/>
    <n v="0.1244"/>
    <x v="4"/>
    <s v="Rented"/>
    <n v="21"/>
    <n v="3"/>
    <s v="Yes"/>
    <s v="No"/>
    <x v="2"/>
    <n v="61262"/>
    <x v="1552"/>
    <x v="86"/>
    <x v="1059"/>
    <x v="1"/>
    <x v="0"/>
    <x v="2"/>
  </r>
  <r>
    <x v="1562"/>
    <s v="Gary Smith"/>
    <x v="6"/>
    <x v="0"/>
    <x v="3"/>
    <s v="PhD"/>
    <x v="0"/>
    <n v="76321"/>
    <n v="421"/>
    <n v="34740"/>
    <x v="3"/>
    <n v="0.16070000000000001"/>
    <x v="1"/>
    <s v="Owned"/>
    <n v="29"/>
    <n v="2"/>
    <s v="No"/>
    <s v="Yes"/>
    <x v="1"/>
    <n v="176946"/>
    <x v="1553"/>
    <x v="0"/>
    <x v="376"/>
    <x v="1"/>
    <x v="0"/>
    <x v="2"/>
  </r>
  <r>
    <x v="1563"/>
    <s v="Bill Jacobson"/>
    <x v="34"/>
    <x v="0"/>
    <x v="2"/>
    <s v="High School"/>
    <x v="0"/>
    <n v="132551"/>
    <n v="421"/>
    <n v="33899"/>
    <x v="0"/>
    <n v="6.6600000000000006E-2"/>
    <x v="0"/>
    <s v="Mortgaged"/>
    <n v="9"/>
    <n v="3"/>
    <s v="Yes"/>
    <s v="No"/>
    <x v="2"/>
    <n v="63708"/>
    <x v="1554"/>
    <x v="77"/>
    <x v="605"/>
    <x v="0"/>
    <x v="0"/>
    <x v="2"/>
  </r>
  <r>
    <x v="1564"/>
    <s v="Shannon Guerra"/>
    <x v="4"/>
    <x v="1"/>
    <x v="0"/>
    <s v="Postgraduate"/>
    <x v="2"/>
    <n v="126917"/>
    <n v="421"/>
    <n v="14136"/>
    <x v="1"/>
    <n v="0.1081"/>
    <x v="4"/>
    <s v="Owned"/>
    <n v="25"/>
    <n v="2"/>
    <s v="No"/>
    <s v="Yes"/>
    <x v="1"/>
    <n v="122538"/>
    <x v="1555"/>
    <x v="86"/>
    <x v="571"/>
    <x v="1"/>
    <x v="0"/>
    <x v="2"/>
  </r>
  <r>
    <x v="1565"/>
    <s v="Paula Thompson"/>
    <x v="26"/>
    <x v="0"/>
    <x v="1"/>
    <s v="High School"/>
    <x v="2"/>
    <n v="35690"/>
    <n v="421"/>
    <n v="17878"/>
    <x v="4"/>
    <n v="0.1479"/>
    <x v="1"/>
    <s v="Owned"/>
    <n v="4"/>
    <n v="0"/>
    <s v="Yes"/>
    <s v="No"/>
    <x v="2"/>
    <n v="107237"/>
    <x v="1556"/>
    <x v="10"/>
    <x v="27"/>
    <x v="1"/>
    <x v="0"/>
    <x v="2"/>
  </r>
  <r>
    <x v="1566"/>
    <s v="Brad Mcmillan"/>
    <x v="20"/>
    <x v="1"/>
    <x v="2"/>
    <s v="Graduate"/>
    <x v="3"/>
    <n v="101787"/>
    <n v="420"/>
    <n v="5395"/>
    <x v="0"/>
    <n v="9.5600000000000004E-2"/>
    <x v="1"/>
    <s v="Rented"/>
    <n v="9"/>
    <n v="2"/>
    <s v="Yes"/>
    <s v="No"/>
    <x v="2"/>
    <n v="22878"/>
    <x v="1557"/>
    <x v="72"/>
    <x v="233"/>
    <x v="0"/>
    <x v="0"/>
    <x v="2"/>
  </r>
  <r>
    <x v="1567"/>
    <s v="Miguel Harris"/>
    <x v="30"/>
    <x v="1"/>
    <x v="0"/>
    <s v="High School"/>
    <x v="1"/>
    <n v="83767"/>
    <n v="420"/>
    <n v="38739"/>
    <x v="2"/>
    <n v="7.4400000000000008E-2"/>
    <x v="5"/>
    <s v="Mortgaged"/>
    <n v="17"/>
    <n v="2"/>
    <s v="Yes"/>
    <s v="Yes"/>
    <x v="4"/>
    <n v="142466"/>
    <x v="1558"/>
    <x v="90"/>
    <x v="1060"/>
    <x v="0"/>
    <x v="0"/>
    <x v="2"/>
  </r>
  <r>
    <x v="1568"/>
    <s v="Christopher Barnett"/>
    <x v="15"/>
    <x v="1"/>
    <x v="1"/>
    <s v="PhD"/>
    <x v="2"/>
    <n v="111737"/>
    <n v="420"/>
    <n v="39964"/>
    <x v="3"/>
    <n v="0.1082"/>
    <x v="0"/>
    <s v="Mortgaged"/>
    <n v="25"/>
    <n v="1"/>
    <s v="No"/>
    <s v="Yes"/>
    <x v="3"/>
    <n v="123304"/>
    <x v="1559"/>
    <x v="16"/>
    <x v="930"/>
    <x v="1"/>
    <x v="1"/>
    <x v="2"/>
  </r>
  <r>
    <x v="1569"/>
    <s v="Justin Wilson"/>
    <x v="18"/>
    <x v="0"/>
    <x v="2"/>
    <s v="Graduate"/>
    <x v="3"/>
    <n v="137106"/>
    <n v="419"/>
    <n v="6445"/>
    <x v="3"/>
    <n v="0.11630000000000001"/>
    <x v="0"/>
    <s v="Owned"/>
    <n v="15"/>
    <n v="2"/>
    <s v="Yes"/>
    <s v="Yes"/>
    <x v="1"/>
    <n v="122211"/>
    <x v="1560"/>
    <x v="29"/>
    <x v="449"/>
    <x v="0"/>
    <x v="1"/>
    <x v="2"/>
  </r>
  <r>
    <x v="1570"/>
    <s v="Clifford Rivers"/>
    <x v="20"/>
    <x v="1"/>
    <x v="3"/>
    <s v="Graduate"/>
    <x v="3"/>
    <n v="34549"/>
    <n v="417"/>
    <n v="30677"/>
    <x v="3"/>
    <n v="0.1341"/>
    <x v="1"/>
    <s v="Owned"/>
    <n v="23"/>
    <n v="0"/>
    <s v="No"/>
    <s v="Yes"/>
    <x v="1"/>
    <n v="156323"/>
    <x v="1561"/>
    <x v="84"/>
    <x v="1061"/>
    <x v="0"/>
    <x v="0"/>
    <x v="2"/>
  </r>
  <r>
    <x v="1571"/>
    <s v="Mrs. Cassandra Berry"/>
    <x v="2"/>
    <x v="1"/>
    <x v="1"/>
    <s v="Postgraduate"/>
    <x v="1"/>
    <n v="145737"/>
    <n v="417"/>
    <n v="11129"/>
    <x v="3"/>
    <n v="0.16589999999999999"/>
    <x v="0"/>
    <s v="Rented"/>
    <n v="7"/>
    <n v="0"/>
    <s v="No"/>
    <s v="Yes"/>
    <x v="1"/>
    <n v="22053"/>
    <x v="1562"/>
    <x v="63"/>
    <x v="666"/>
    <x v="0"/>
    <x v="0"/>
    <x v="2"/>
  </r>
  <r>
    <x v="1572"/>
    <s v="Theresa Olson"/>
    <x v="27"/>
    <x v="0"/>
    <x v="2"/>
    <s v="Postgraduate"/>
    <x v="0"/>
    <n v="114346"/>
    <n v="416"/>
    <n v="46037"/>
    <x v="2"/>
    <n v="0.1832"/>
    <x v="2"/>
    <s v="Rented"/>
    <n v="14"/>
    <n v="4"/>
    <s v="No"/>
    <s v="No"/>
    <x v="3"/>
    <n v="65122"/>
    <x v="1563"/>
    <x v="79"/>
    <x v="1062"/>
    <x v="1"/>
    <x v="0"/>
    <x v="2"/>
  </r>
  <r>
    <x v="1573"/>
    <s v="Rebecca Thomas"/>
    <x v="27"/>
    <x v="0"/>
    <x v="1"/>
    <s v="High School"/>
    <x v="3"/>
    <n v="67322"/>
    <n v="415"/>
    <n v="30049"/>
    <x v="0"/>
    <n v="0.19079999999999997"/>
    <x v="1"/>
    <s v="Owned"/>
    <n v="19"/>
    <n v="2"/>
    <s v="Yes"/>
    <s v="No"/>
    <x v="3"/>
    <n v="82532"/>
    <x v="1564"/>
    <x v="48"/>
    <x v="1063"/>
    <x v="0"/>
    <x v="0"/>
    <x v="2"/>
  </r>
  <r>
    <x v="1574"/>
    <s v="Bryan Lee"/>
    <x v="30"/>
    <x v="0"/>
    <x v="1"/>
    <s v="High School"/>
    <x v="0"/>
    <n v="110937"/>
    <n v="414"/>
    <n v="40161"/>
    <x v="4"/>
    <n v="0.13750000000000001"/>
    <x v="4"/>
    <s v="Rented"/>
    <n v="12"/>
    <n v="0"/>
    <s v="No"/>
    <s v="No"/>
    <x v="3"/>
    <n v="83525"/>
    <x v="1565"/>
    <x v="56"/>
    <x v="1064"/>
    <x v="1"/>
    <x v="1"/>
    <x v="2"/>
  </r>
  <r>
    <x v="1575"/>
    <s v="Michael Johnson"/>
    <x v="16"/>
    <x v="0"/>
    <x v="2"/>
    <s v="High School"/>
    <x v="2"/>
    <n v="29718"/>
    <n v="414"/>
    <n v="18861"/>
    <x v="0"/>
    <n v="0.1106"/>
    <x v="0"/>
    <s v="Mortgaged"/>
    <n v="27"/>
    <n v="0"/>
    <s v="No"/>
    <s v="No"/>
    <x v="0"/>
    <n v="81757"/>
    <x v="1566"/>
    <x v="47"/>
    <x v="757"/>
    <x v="1"/>
    <x v="0"/>
    <x v="2"/>
  </r>
  <r>
    <x v="1576"/>
    <s v="Holly Arias"/>
    <x v="36"/>
    <x v="0"/>
    <x v="0"/>
    <s v="PhD"/>
    <x v="0"/>
    <n v="93705"/>
    <n v="414"/>
    <n v="10915"/>
    <x v="0"/>
    <n v="0.1807"/>
    <x v="4"/>
    <s v="Owned"/>
    <n v="22"/>
    <n v="2"/>
    <s v="Yes"/>
    <s v="No"/>
    <x v="4"/>
    <n v="61320"/>
    <x v="1567"/>
    <x v="48"/>
    <x v="1065"/>
    <x v="1"/>
    <x v="0"/>
    <x v="2"/>
  </r>
  <r>
    <x v="1577"/>
    <s v="Reginald Morgan"/>
    <x v="39"/>
    <x v="0"/>
    <x v="3"/>
    <s v="PhD"/>
    <x v="0"/>
    <n v="130186"/>
    <n v="414"/>
    <n v="5643"/>
    <x v="1"/>
    <n v="0.15229999999999999"/>
    <x v="4"/>
    <s v="Owned"/>
    <n v="24"/>
    <n v="3"/>
    <s v="Yes"/>
    <s v="No"/>
    <x v="3"/>
    <n v="159508"/>
    <x v="1568"/>
    <x v="32"/>
    <x v="556"/>
    <x v="0"/>
    <x v="0"/>
    <x v="2"/>
  </r>
  <r>
    <x v="1578"/>
    <s v="William Dalton"/>
    <x v="4"/>
    <x v="0"/>
    <x v="2"/>
    <s v="High School"/>
    <x v="2"/>
    <n v="119083"/>
    <n v="414"/>
    <n v="28740"/>
    <x v="3"/>
    <n v="0.17350000000000002"/>
    <x v="0"/>
    <s v="Owned"/>
    <n v="1"/>
    <n v="1"/>
    <s v="Yes"/>
    <s v="No"/>
    <x v="2"/>
    <n v="191820"/>
    <x v="1569"/>
    <x v="22"/>
    <x v="353"/>
    <x v="1"/>
    <x v="0"/>
    <x v="2"/>
  </r>
  <r>
    <x v="1579"/>
    <s v="Charlene Carter"/>
    <x v="22"/>
    <x v="0"/>
    <x v="1"/>
    <s v="Postgraduate"/>
    <x v="3"/>
    <n v="102867"/>
    <n v="413"/>
    <n v="47359"/>
    <x v="3"/>
    <n v="9.6600000000000005E-2"/>
    <x v="1"/>
    <s v="Mortgaged"/>
    <n v="2"/>
    <n v="1"/>
    <s v="Yes"/>
    <s v="No"/>
    <x v="4"/>
    <n v="2175"/>
    <x v="1570"/>
    <x v="73"/>
    <x v="1066"/>
    <x v="0"/>
    <x v="0"/>
    <x v="2"/>
  </r>
  <r>
    <x v="1580"/>
    <s v="Steven Melendez"/>
    <x v="5"/>
    <x v="0"/>
    <x v="1"/>
    <s v="Postgraduate"/>
    <x v="2"/>
    <n v="51826"/>
    <n v="413"/>
    <n v="31255"/>
    <x v="4"/>
    <n v="0.1381"/>
    <x v="5"/>
    <s v="Owned"/>
    <n v="25"/>
    <n v="2"/>
    <s v="Yes"/>
    <s v="No"/>
    <x v="4"/>
    <n v="114008"/>
    <x v="1571"/>
    <x v="10"/>
    <x v="920"/>
    <x v="0"/>
    <x v="0"/>
    <x v="2"/>
  </r>
  <r>
    <x v="1581"/>
    <s v="Kristin Lopez"/>
    <x v="13"/>
    <x v="0"/>
    <x v="2"/>
    <s v="Postgraduate"/>
    <x v="1"/>
    <n v="70222"/>
    <n v="413"/>
    <n v="29457"/>
    <x v="1"/>
    <n v="0.16250000000000001"/>
    <x v="5"/>
    <s v="Rented"/>
    <n v="17"/>
    <n v="2"/>
    <s v="No"/>
    <s v="No"/>
    <x v="0"/>
    <n v="177204"/>
    <x v="1572"/>
    <x v="20"/>
    <x v="237"/>
    <x v="1"/>
    <x v="0"/>
    <x v="2"/>
  </r>
  <r>
    <x v="1582"/>
    <s v="Amanda Crawford"/>
    <x v="3"/>
    <x v="1"/>
    <x v="1"/>
    <s v="Postgraduate"/>
    <x v="3"/>
    <n v="70721"/>
    <n v="413"/>
    <n v="17254"/>
    <x v="2"/>
    <n v="0.13400000000000001"/>
    <x v="2"/>
    <s v="Mortgaged"/>
    <n v="11"/>
    <n v="0"/>
    <s v="No"/>
    <s v="No"/>
    <x v="1"/>
    <n v="23625"/>
    <x v="1573"/>
    <x v="78"/>
    <x v="1067"/>
    <x v="0"/>
    <x v="0"/>
    <x v="2"/>
  </r>
  <r>
    <x v="1583"/>
    <s v="Gloria Irwin"/>
    <x v="2"/>
    <x v="1"/>
    <x v="1"/>
    <s v="Graduate"/>
    <x v="3"/>
    <n v="34116"/>
    <n v="412"/>
    <n v="30090"/>
    <x v="4"/>
    <n v="6.7299999999999999E-2"/>
    <x v="2"/>
    <s v="Mortgaged"/>
    <n v="23"/>
    <n v="0"/>
    <s v="Yes"/>
    <s v="No"/>
    <x v="0"/>
    <n v="68542"/>
    <x v="1574"/>
    <x v="90"/>
    <x v="232"/>
    <x v="0"/>
    <x v="0"/>
    <x v="2"/>
  </r>
  <r>
    <x v="1584"/>
    <s v="James Vargas"/>
    <x v="7"/>
    <x v="0"/>
    <x v="3"/>
    <s v="High School"/>
    <x v="2"/>
    <n v="24792"/>
    <n v="412"/>
    <n v="36136"/>
    <x v="3"/>
    <n v="9.7699999999999995E-2"/>
    <x v="3"/>
    <s v="Owned"/>
    <n v="10"/>
    <n v="3"/>
    <s v="No"/>
    <s v="Yes"/>
    <x v="4"/>
    <n v="27618"/>
    <x v="1575"/>
    <x v="77"/>
    <x v="1068"/>
    <x v="1"/>
    <x v="0"/>
    <x v="2"/>
  </r>
  <r>
    <x v="1585"/>
    <s v="Jennifer Simpson"/>
    <x v="32"/>
    <x v="1"/>
    <x v="3"/>
    <s v="Postgraduate"/>
    <x v="1"/>
    <n v="26273"/>
    <n v="412"/>
    <n v="16861"/>
    <x v="0"/>
    <n v="0.1065"/>
    <x v="4"/>
    <s v="Mortgaged"/>
    <n v="27"/>
    <n v="2"/>
    <s v="Yes"/>
    <s v="Yes"/>
    <x v="0"/>
    <n v="172990"/>
    <x v="1576"/>
    <x v="50"/>
    <x v="1042"/>
    <x v="1"/>
    <x v="0"/>
    <x v="2"/>
  </r>
  <r>
    <x v="1586"/>
    <s v="Christopher Mcmillan"/>
    <x v="30"/>
    <x v="1"/>
    <x v="1"/>
    <s v="Postgraduate"/>
    <x v="3"/>
    <n v="91147"/>
    <n v="411"/>
    <n v="3093"/>
    <x v="0"/>
    <n v="6.4199999999999993E-2"/>
    <x v="1"/>
    <s v="Owned"/>
    <n v="16"/>
    <n v="4"/>
    <s v="No"/>
    <s v="Yes"/>
    <x v="3"/>
    <n v="79220"/>
    <x v="1577"/>
    <x v="35"/>
    <x v="1045"/>
    <x v="1"/>
    <x v="0"/>
    <x v="2"/>
  </r>
  <r>
    <x v="1587"/>
    <s v="Mackenzie Frank"/>
    <x v="15"/>
    <x v="0"/>
    <x v="0"/>
    <s v="High School"/>
    <x v="3"/>
    <n v="70468"/>
    <n v="411"/>
    <n v="28962"/>
    <x v="1"/>
    <n v="0.1593"/>
    <x v="2"/>
    <s v="Mortgaged"/>
    <n v="25"/>
    <n v="4"/>
    <s v="Yes"/>
    <s v="Yes"/>
    <x v="4"/>
    <n v="175325"/>
    <x v="1578"/>
    <x v="30"/>
    <x v="16"/>
    <x v="1"/>
    <x v="0"/>
    <x v="2"/>
  </r>
  <r>
    <x v="1588"/>
    <s v="Shannon Hall"/>
    <x v="8"/>
    <x v="1"/>
    <x v="1"/>
    <s v="High School"/>
    <x v="0"/>
    <n v="134176"/>
    <n v="411"/>
    <n v="48003"/>
    <x v="0"/>
    <n v="0.17800000000000002"/>
    <x v="3"/>
    <s v="Owned"/>
    <n v="20"/>
    <n v="2"/>
    <s v="No"/>
    <s v="No"/>
    <x v="0"/>
    <n v="165045"/>
    <x v="1579"/>
    <x v="38"/>
    <x v="1069"/>
    <x v="0"/>
    <x v="0"/>
    <x v="2"/>
  </r>
  <r>
    <x v="1589"/>
    <s v="Timothy Medina"/>
    <x v="35"/>
    <x v="0"/>
    <x v="2"/>
    <s v="Postgraduate"/>
    <x v="2"/>
    <n v="127338"/>
    <n v="411"/>
    <n v="47553"/>
    <x v="0"/>
    <n v="0.10279999999999999"/>
    <x v="5"/>
    <s v="Owned"/>
    <n v="22"/>
    <n v="4"/>
    <s v="No"/>
    <s v="Yes"/>
    <x v="3"/>
    <n v="182822"/>
    <x v="1580"/>
    <x v="22"/>
    <x v="250"/>
    <x v="0"/>
    <x v="0"/>
    <x v="2"/>
  </r>
  <r>
    <x v="1590"/>
    <s v="Tony Johnson"/>
    <x v="21"/>
    <x v="1"/>
    <x v="3"/>
    <s v="High School"/>
    <x v="3"/>
    <n v="74847"/>
    <n v="411"/>
    <n v="2740"/>
    <x v="1"/>
    <n v="0.1313"/>
    <x v="0"/>
    <s v="Owned"/>
    <n v="5"/>
    <n v="4"/>
    <s v="No"/>
    <s v="No"/>
    <x v="1"/>
    <n v="11998"/>
    <x v="1581"/>
    <x v="85"/>
    <x v="1070"/>
    <x v="0"/>
    <x v="0"/>
    <x v="2"/>
  </r>
  <r>
    <x v="1591"/>
    <s v="Paula Wilkinson"/>
    <x v="20"/>
    <x v="1"/>
    <x v="3"/>
    <s v="Graduate"/>
    <x v="1"/>
    <n v="29964"/>
    <n v="411"/>
    <n v="22730"/>
    <x v="2"/>
    <n v="6.1900000000000004E-2"/>
    <x v="4"/>
    <s v="Owned"/>
    <n v="18"/>
    <n v="4"/>
    <s v="No"/>
    <s v="Yes"/>
    <x v="3"/>
    <n v="11637"/>
    <x v="1582"/>
    <x v="20"/>
    <x v="824"/>
    <x v="0"/>
    <x v="0"/>
    <x v="2"/>
  </r>
  <r>
    <x v="1592"/>
    <s v="Eric Rodriguez"/>
    <x v="36"/>
    <x v="1"/>
    <x v="2"/>
    <s v="PhD"/>
    <x v="2"/>
    <n v="37138"/>
    <n v="410"/>
    <n v="26557"/>
    <x v="2"/>
    <n v="0.1176"/>
    <x v="3"/>
    <s v="Rented"/>
    <n v="13"/>
    <n v="0"/>
    <s v="No"/>
    <s v="Yes"/>
    <x v="2"/>
    <n v="174292"/>
    <x v="1583"/>
    <x v="11"/>
    <x v="1071"/>
    <x v="1"/>
    <x v="0"/>
    <x v="2"/>
  </r>
  <r>
    <x v="1593"/>
    <s v="George Mosley"/>
    <x v="17"/>
    <x v="0"/>
    <x v="3"/>
    <s v="Postgraduate"/>
    <x v="3"/>
    <n v="41252"/>
    <n v="410"/>
    <n v="22182"/>
    <x v="2"/>
    <n v="0.1368"/>
    <x v="4"/>
    <s v="Mortgaged"/>
    <n v="21"/>
    <n v="0"/>
    <s v="No"/>
    <s v="Yes"/>
    <x v="3"/>
    <n v="199014"/>
    <x v="1584"/>
    <x v="33"/>
    <x v="1072"/>
    <x v="1"/>
    <x v="0"/>
    <x v="2"/>
  </r>
  <r>
    <x v="1594"/>
    <s v="Michael Potter"/>
    <x v="8"/>
    <x v="0"/>
    <x v="2"/>
    <s v="Graduate"/>
    <x v="3"/>
    <n v="39950"/>
    <n v="409"/>
    <n v="11220"/>
    <x v="0"/>
    <n v="6.3200000000000006E-2"/>
    <x v="1"/>
    <s v="Owned"/>
    <n v="7"/>
    <n v="1"/>
    <s v="Yes"/>
    <s v="Yes"/>
    <x v="1"/>
    <n v="122092"/>
    <x v="1585"/>
    <x v="17"/>
    <x v="1073"/>
    <x v="1"/>
    <x v="0"/>
    <x v="2"/>
  </r>
  <r>
    <x v="1595"/>
    <s v="Robert Anderson"/>
    <x v="33"/>
    <x v="0"/>
    <x v="1"/>
    <s v="High School"/>
    <x v="1"/>
    <n v="69990"/>
    <n v="409"/>
    <n v="25469"/>
    <x v="0"/>
    <n v="0.18280000000000002"/>
    <x v="1"/>
    <s v="Rented"/>
    <n v="15"/>
    <n v="1"/>
    <s v="No"/>
    <s v="Yes"/>
    <x v="1"/>
    <n v="4720"/>
    <x v="1586"/>
    <x v="60"/>
    <x v="766"/>
    <x v="1"/>
    <x v="0"/>
    <x v="2"/>
  </r>
  <r>
    <x v="1596"/>
    <s v="Kenneth Harris"/>
    <x v="29"/>
    <x v="0"/>
    <x v="1"/>
    <s v="Graduate"/>
    <x v="0"/>
    <n v="105707"/>
    <n v="409"/>
    <n v="37587"/>
    <x v="3"/>
    <n v="0.1193"/>
    <x v="4"/>
    <s v="Rented"/>
    <n v="2"/>
    <n v="0"/>
    <s v="Yes"/>
    <s v="Yes"/>
    <x v="2"/>
    <n v="68923"/>
    <x v="1587"/>
    <x v="35"/>
    <x v="1074"/>
    <x v="0"/>
    <x v="0"/>
    <x v="2"/>
  </r>
  <r>
    <x v="1597"/>
    <s v="David Stafford"/>
    <x v="39"/>
    <x v="1"/>
    <x v="3"/>
    <s v="High School"/>
    <x v="0"/>
    <n v="133396"/>
    <n v="409"/>
    <n v="8207"/>
    <x v="3"/>
    <n v="0.19059999999999999"/>
    <x v="5"/>
    <s v="Owned"/>
    <n v="22"/>
    <n v="1"/>
    <s v="No"/>
    <s v="Yes"/>
    <x v="3"/>
    <n v="185115"/>
    <x v="1588"/>
    <x v="48"/>
    <x v="1075"/>
    <x v="0"/>
    <x v="0"/>
    <x v="2"/>
  </r>
  <r>
    <x v="1598"/>
    <s v="Michael Matthews"/>
    <x v="34"/>
    <x v="1"/>
    <x v="2"/>
    <s v="Postgraduate"/>
    <x v="0"/>
    <n v="53760"/>
    <n v="409"/>
    <n v="49115"/>
    <x v="4"/>
    <n v="0.19399999999999998"/>
    <x v="0"/>
    <s v="Rented"/>
    <n v="25"/>
    <n v="4"/>
    <s v="No"/>
    <s v="No"/>
    <x v="2"/>
    <n v="97915"/>
    <x v="1589"/>
    <x v="20"/>
    <x v="1076"/>
    <x v="1"/>
    <x v="0"/>
    <x v="2"/>
  </r>
  <r>
    <x v="1599"/>
    <s v="Nichole Williams"/>
    <x v="6"/>
    <x v="0"/>
    <x v="1"/>
    <s v="Postgraduate"/>
    <x v="3"/>
    <n v="103565"/>
    <n v="408"/>
    <n v="38924"/>
    <x v="0"/>
    <n v="8.1900000000000001E-2"/>
    <x v="0"/>
    <s v="Owned"/>
    <n v="11"/>
    <n v="3"/>
    <s v="No"/>
    <s v="No"/>
    <x v="3"/>
    <n v="131156"/>
    <x v="1590"/>
    <x v="83"/>
    <x v="624"/>
    <x v="1"/>
    <x v="0"/>
    <x v="2"/>
  </r>
  <r>
    <x v="1600"/>
    <s v="Lori Alvarez"/>
    <x v="12"/>
    <x v="1"/>
    <x v="2"/>
    <s v="High School"/>
    <x v="1"/>
    <n v="94094"/>
    <n v="408"/>
    <n v="29287"/>
    <x v="0"/>
    <n v="0.17050000000000001"/>
    <x v="0"/>
    <s v="Mortgaged"/>
    <n v="13"/>
    <n v="3"/>
    <s v="No"/>
    <s v="No"/>
    <x v="0"/>
    <n v="181775"/>
    <x v="1591"/>
    <x v="86"/>
    <x v="292"/>
    <x v="0"/>
    <x v="1"/>
    <x v="2"/>
  </r>
  <r>
    <x v="1601"/>
    <s v="Tiffany Ewing"/>
    <x v="5"/>
    <x v="1"/>
    <x v="3"/>
    <s v="Postgraduate"/>
    <x v="2"/>
    <n v="122911"/>
    <n v="407"/>
    <n v="34097"/>
    <x v="2"/>
    <n v="0.14779999999999999"/>
    <x v="1"/>
    <s v="Owned"/>
    <n v="22"/>
    <n v="1"/>
    <s v="No"/>
    <s v="No"/>
    <x v="1"/>
    <n v="133631"/>
    <x v="1592"/>
    <x v="21"/>
    <x v="467"/>
    <x v="0"/>
    <x v="0"/>
    <x v="2"/>
  </r>
  <r>
    <x v="1602"/>
    <s v="Gabriel Henry"/>
    <x v="26"/>
    <x v="0"/>
    <x v="2"/>
    <s v="Postgraduate"/>
    <x v="1"/>
    <n v="95235"/>
    <n v="406"/>
    <n v="13974"/>
    <x v="1"/>
    <n v="0.17929999999999999"/>
    <x v="2"/>
    <s v="Owned"/>
    <n v="6"/>
    <n v="3"/>
    <s v="Yes"/>
    <s v="No"/>
    <x v="4"/>
    <n v="58688"/>
    <x v="1593"/>
    <x v="82"/>
    <x v="774"/>
    <x v="1"/>
    <x v="1"/>
    <x v="2"/>
  </r>
  <r>
    <x v="1603"/>
    <s v="Vanessa Thompson"/>
    <x v="38"/>
    <x v="1"/>
    <x v="0"/>
    <s v="High School"/>
    <x v="3"/>
    <n v="73014"/>
    <n v="406"/>
    <n v="45308"/>
    <x v="4"/>
    <n v="8.2100000000000006E-2"/>
    <x v="1"/>
    <s v="Rented"/>
    <n v="26"/>
    <n v="0"/>
    <s v="Yes"/>
    <s v="Yes"/>
    <x v="2"/>
    <n v="43787"/>
    <x v="758"/>
    <x v="29"/>
    <x v="224"/>
    <x v="0"/>
    <x v="1"/>
    <x v="2"/>
  </r>
  <r>
    <x v="1604"/>
    <s v="Rachel Moore"/>
    <x v="15"/>
    <x v="1"/>
    <x v="0"/>
    <s v="Postgraduate"/>
    <x v="1"/>
    <n v="34706"/>
    <n v="406"/>
    <n v="45288"/>
    <x v="1"/>
    <n v="5.2699999999999997E-2"/>
    <x v="2"/>
    <s v="Mortgaged"/>
    <n v="13"/>
    <n v="4"/>
    <s v="No"/>
    <s v="No"/>
    <x v="3"/>
    <n v="28568"/>
    <x v="1594"/>
    <x v="63"/>
    <x v="459"/>
    <x v="0"/>
    <x v="1"/>
    <x v="2"/>
  </r>
  <r>
    <x v="1605"/>
    <s v="Kenneth Richardson"/>
    <x v="12"/>
    <x v="0"/>
    <x v="0"/>
    <s v="Postgraduate"/>
    <x v="0"/>
    <n v="85030"/>
    <n v="405"/>
    <n v="28974"/>
    <x v="4"/>
    <n v="0.15629999999999999"/>
    <x v="4"/>
    <s v="Rented"/>
    <n v="15"/>
    <n v="1"/>
    <s v="Yes"/>
    <s v="No"/>
    <x v="3"/>
    <n v="149148"/>
    <x v="1595"/>
    <x v="14"/>
    <x v="197"/>
    <x v="0"/>
    <x v="0"/>
    <x v="2"/>
  </r>
  <r>
    <x v="1606"/>
    <s v="Mary Rivera"/>
    <x v="43"/>
    <x v="0"/>
    <x v="3"/>
    <s v="Graduate"/>
    <x v="1"/>
    <n v="34345"/>
    <n v="405"/>
    <n v="36757"/>
    <x v="1"/>
    <n v="9.7699999999999995E-2"/>
    <x v="3"/>
    <s v="Owned"/>
    <n v="12"/>
    <n v="4"/>
    <s v="No"/>
    <s v="Yes"/>
    <x v="2"/>
    <n v="146676"/>
    <x v="1596"/>
    <x v="18"/>
    <x v="586"/>
    <x v="0"/>
    <x v="0"/>
    <x v="2"/>
  </r>
  <r>
    <x v="1607"/>
    <s v="William Werner"/>
    <x v="43"/>
    <x v="1"/>
    <x v="1"/>
    <s v="PhD"/>
    <x v="1"/>
    <n v="124089"/>
    <n v="405"/>
    <n v="17052"/>
    <x v="1"/>
    <n v="9.2300000000000007E-2"/>
    <x v="5"/>
    <s v="Mortgaged"/>
    <n v="25"/>
    <n v="1"/>
    <s v="No"/>
    <s v="Yes"/>
    <x v="0"/>
    <n v="68774"/>
    <x v="1597"/>
    <x v="65"/>
    <x v="893"/>
    <x v="1"/>
    <x v="0"/>
    <x v="2"/>
  </r>
  <r>
    <x v="1608"/>
    <s v="Kristen Hernandez"/>
    <x v="32"/>
    <x v="1"/>
    <x v="1"/>
    <s v="High School"/>
    <x v="0"/>
    <n v="137569"/>
    <n v="405"/>
    <n v="45159"/>
    <x v="2"/>
    <n v="0.18559999999999999"/>
    <x v="0"/>
    <s v="Mortgaged"/>
    <n v="26"/>
    <n v="2"/>
    <s v="No"/>
    <s v="No"/>
    <x v="3"/>
    <n v="172889"/>
    <x v="1598"/>
    <x v="45"/>
    <x v="1077"/>
    <x v="0"/>
    <x v="0"/>
    <x v="2"/>
  </r>
  <r>
    <x v="1609"/>
    <s v="Steven Nguyen"/>
    <x v="31"/>
    <x v="1"/>
    <x v="1"/>
    <s v="PhD"/>
    <x v="2"/>
    <n v="81715"/>
    <n v="405"/>
    <n v="39311"/>
    <x v="3"/>
    <n v="0.1439"/>
    <x v="1"/>
    <s v="Mortgaged"/>
    <n v="26"/>
    <n v="1"/>
    <s v="No"/>
    <s v="No"/>
    <x v="2"/>
    <n v="65669"/>
    <x v="1599"/>
    <x v="64"/>
    <x v="110"/>
    <x v="0"/>
    <x v="0"/>
    <x v="2"/>
  </r>
  <r>
    <x v="1610"/>
    <s v="Kimberly Sanders"/>
    <x v="26"/>
    <x v="1"/>
    <x v="1"/>
    <s v="Postgraduate"/>
    <x v="2"/>
    <n v="107640"/>
    <n v="405"/>
    <n v="9621"/>
    <x v="3"/>
    <n v="0.18899999999999997"/>
    <x v="3"/>
    <s v="Mortgaged"/>
    <n v="11"/>
    <n v="3"/>
    <s v="Yes"/>
    <s v="Yes"/>
    <x v="3"/>
    <n v="32624"/>
    <x v="1600"/>
    <x v="82"/>
    <x v="596"/>
    <x v="1"/>
    <x v="0"/>
    <x v="2"/>
  </r>
  <r>
    <x v="1611"/>
    <s v="Sara Lopez"/>
    <x v="27"/>
    <x v="0"/>
    <x v="1"/>
    <s v="Graduate"/>
    <x v="1"/>
    <n v="119273"/>
    <n v="404"/>
    <n v="11510"/>
    <x v="0"/>
    <n v="0.1043"/>
    <x v="2"/>
    <s v="Mortgaged"/>
    <n v="20"/>
    <n v="4"/>
    <s v="No"/>
    <s v="No"/>
    <x v="2"/>
    <n v="44121"/>
    <x v="1601"/>
    <x v="80"/>
    <x v="1078"/>
    <x v="0"/>
    <x v="0"/>
    <x v="2"/>
  </r>
  <r>
    <x v="1612"/>
    <s v="Brandon Huff"/>
    <x v="23"/>
    <x v="0"/>
    <x v="2"/>
    <s v="High School"/>
    <x v="3"/>
    <n v="80277"/>
    <n v="404"/>
    <n v="39379"/>
    <x v="3"/>
    <n v="7.5999999999999998E-2"/>
    <x v="1"/>
    <s v="Mortgaged"/>
    <n v="22"/>
    <n v="4"/>
    <s v="Yes"/>
    <s v="Yes"/>
    <x v="0"/>
    <n v="96396"/>
    <x v="1602"/>
    <x v="56"/>
    <x v="1079"/>
    <x v="1"/>
    <x v="0"/>
    <x v="2"/>
  </r>
  <r>
    <x v="1613"/>
    <s v="Lisa Armstrong"/>
    <x v="38"/>
    <x v="0"/>
    <x v="1"/>
    <s v="High School"/>
    <x v="2"/>
    <n v="79902"/>
    <n v="404"/>
    <n v="17705"/>
    <x v="3"/>
    <n v="0.1769"/>
    <x v="2"/>
    <s v="Rented"/>
    <n v="18"/>
    <n v="2"/>
    <s v="No"/>
    <s v="Yes"/>
    <x v="4"/>
    <n v="63818"/>
    <x v="1603"/>
    <x v="82"/>
    <x v="476"/>
    <x v="0"/>
    <x v="1"/>
    <x v="2"/>
  </r>
  <r>
    <x v="1614"/>
    <s v="Katherine Hernandez"/>
    <x v="23"/>
    <x v="0"/>
    <x v="3"/>
    <s v="Postgraduate"/>
    <x v="2"/>
    <n v="25419"/>
    <n v="404"/>
    <n v="32912"/>
    <x v="1"/>
    <n v="0.16879999999999998"/>
    <x v="2"/>
    <s v="Owned"/>
    <n v="28"/>
    <n v="4"/>
    <s v="No"/>
    <s v="Yes"/>
    <x v="0"/>
    <n v="14992"/>
    <x v="1604"/>
    <x v="38"/>
    <x v="346"/>
    <x v="1"/>
    <x v="1"/>
    <x v="2"/>
  </r>
  <r>
    <x v="1615"/>
    <s v="Yolanda Fisher"/>
    <x v="17"/>
    <x v="1"/>
    <x v="3"/>
    <s v="PhD"/>
    <x v="1"/>
    <n v="83079"/>
    <n v="404"/>
    <n v="27549"/>
    <x v="2"/>
    <n v="8.6599999999999996E-2"/>
    <x v="4"/>
    <s v="Rented"/>
    <n v="16"/>
    <n v="4"/>
    <s v="Yes"/>
    <s v="Yes"/>
    <x v="0"/>
    <n v="94906"/>
    <x v="1605"/>
    <x v="61"/>
    <x v="226"/>
    <x v="0"/>
    <x v="0"/>
    <x v="2"/>
  </r>
  <r>
    <x v="1616"/>
    <s v="Brian Lewis"/>
    <x v="40"/>
    <x v="1"/>
    <x v="2"/>
    <s v="High School"/>
    <x v="0"/>
    <n v="96920"/>
    <n v="404"/>
    <n v="44809"/>
    <x v="0"/>
    <n v="0.14880000000000002"/>
    <x v="0"/>
    <s v="Owned"/>
    <n v="20"/>
    <n v="4"/>
    <s v="No"/>
    <s v="Yes"/>
    <x v="0"/>
    <n v="113257"/>
    <x v="1606"/>
    <x v="69"/>
    <x v="210"/>
    <x v="1"/>
    <x v="1"/>
    <x v="2"/>
  </r>
  <r>
    <x v="1617"/>
    <s v="Mrs. Monica Hansen"/>
    <x v="31"/>
    <x v="0"/>
    <x v="3"/>
    <s v="Graduate"/>
    <x v="2"/>
    <n v="52959"/>
    <n v="404"/>
    <n v="41128"/>
    <x v="3"/>
    <n v="0.1348"/>
    <x v="5"/>
    <s v="Rented"/>
    <n v="20"/>
    <n v="1"/>
    <s v="No"/>
    <s v="Yes"/>
    <x v="4"/>
    <n v="2929"/>
    <x v="1607"/>
    <x v="9"/>
    <x v="1080"/>
    <x v="1"/>
    <x v="0"/>
    <x v="2"/>
  </r>
  <r>
    <x v="1618"/>
    <s v="Richard Hernandez"/>
    <x v="19"/>
    <x v="1"/>
    <x v="1"/>
    <s v="High School"/>
    <x v="3"/>
    <n v="69756"/>
    <n v="403"/>
    <n v="43746"/>
    <x v="2"/>
    <n v="0.10460000000000001"/>
    <x v="4"/>
    <s v="Rented"/>
    <n v="5"/>
    <n v="4"/>
    <s v="Yes"/>
    <s v="No"/>
    <x v="4"/>
    <n v="2967"/>
    <x v="1608"/>
    <x v="86"/>
    <x v="718"/>
    <x v="0"/>
    <x v="0"/>
    <x v="2"/>
  </r>
  <r>
    <x v="1619"/>
    <s v="Carrie Burgess"/>
    <x v="43"/>
    <x v="0"/>
    <x v="0"/>
    <s v="PhD"/>
    <x v="3"/>
    <n v="43104"/>
    <n v="403"/>
    <n v="27483"/>
    <x v="4"/>
    <n v="0.156"/>
    <x v="0"/>
    <s v="Rented"/>
    <n v="11"/>
    <n v="1"/>
    <s v="No"/>
    <s v="No"/>
    <x v="2"/>
    <n v="77668"/>
    <x v="1609"/>
    <x v="72"/>
    <x v="1081"/>
    <x v="0"/>
    <x v="1"/>
    <x v="2"/>
  </r>
  <r>
    <x v="1620"/>
    <s v="Claire Mitchell"/>
    <x v="0"/>
    <x v="1"/>
    <x v="2"/>
    <s v="Postgraduate"/>
    <x v="1"/>
    <n v="144633"/>
    <n v="403"/>
    <n v="27651"/>
    <x v="0"/>
    <n v="0.16350000000000001"/>
    <x v="1"/>
    <s v="Rented"/>
    <n v="19"/>
    <n v="3"/>
    <s v="Yes"/>
    <s v="Yes"/>
    <x v="0"/>
    <n v="103556"/>
    <x v="1610"/>
    <x v="49"/>
    <x v="887"/>
    <x v="1"/>
    <x v="0"/>
    <x v="2"/>
  </r>
  <r>
    <x v="1621"/>
    <s v="Joseph Carter"/>
    <x v="4"/>
    <x v="0"/>
    <x v="2"/>
    <s v="Graduate"/>
    <x v="2"/>
    <n v="26041"/>
    <n v="403"/>
    <n v="33017"/>
    <x v="2"/>
    <n v="0.19370000000000001"/>
    <x v="4"/>
    <s v="Owned"/>
    <n v="5"/>
    <n v="0"/>
    <s v="No"/>
    <s v="Yes"/>
    <x v="3"/>
    <n v="93730"/>
    <x v="1611"/>
    <x v="23"/>
    <x v="1082"/>
    <x v="0"/>
    <x v="0"/>
    <x v="2"/>
  </r>
  <r>
    <x v="1622"/>
    <s v="Charles Brown"/>
    <x v="0"/>
    <x v="0"/>
    <x v="0"/>
    <s v="Graduate"/>
    <x v="1"/>
    <n v="138558"/>
    <n v="403"/>
    <n v="36198"/>
    <x v="4"/>
    <n v="0.1578"/>
    <x v="2"/>
    <s v="Owned"/>
    <n v="14"/>
    <n v="2"/>
    <s v="No"/>
    <s v="Yes"/>
    <x v="4"/>
    <n v="163764"/>
    <x v="1612"/>
    <x v="68"/>
    <x v="469"/>
    <x v="1"/>
    <x v="0"/>
    <x v="2"/>
  </r>
  <r>
    <x v="1623"/>
    <s v="Jennifer Cruz"/>
    <x v="21"/>
    <x v="0"/>
    <x v="1"/>
    <s v="PhD"/>
    <x v="1"/>
    <n v="35733"/>
    <n v="402"/>
    <n v="23597"/>
    <x v="3"/>
    <n v="8.3699999999999997E-2"/>
    <x v="3"/>
    <s v="Mortgaged"/>
    <n v="1"/>
    <n v="0"/>
    <s v="Yes"/>
    <s v="No"/>
    <x v="4"/>
    <n v="93644"/>
    <x v="1613"/>
    <x v="48"/>
    <x v="1039"/>
    <x v="1"/>
    <x v="0"/>
    <x v="2"/>
  </r>
  <r>
    <x v="1624"/>
    <s v="Nancy Todd"/>
    <x v="40"/>
    <x v="1"/>
    <x v="3"/>
    <s v="Postgraduate"/>
    <x v="3"/>
    <n v="75856"/>
    <n v="401"/>
    <n v="46987"/>
    <x v="3"/>
    <n v="6.5299999999999997E-2"/>
    <x v="5"/>
    <s v="Rented"/>
    <n v="20"/>
    <n v="1"/>
    <s v="No"/>
    <s v="Yes"/>
    <x v="4"/>
    <n v="38593"/>
    <x v="1614"/>
    <x v="85"/>
    <x v="1083"/>
    <x v="1"/>
    <x v="0"/>
    <x v="2"/>
  </r>
  <r>
    <x v="1625"/>
    <s v="Mike Lucas"/>
    <x v="2"/>
    <x v="0"/>
    <x v="2"/>
    <s v="Graduate"/>
    <x v="1"/>
    <n v="81192"/>
    <n v="400"/>
    <n v="31216"/>
    <x v="3"/>
    <n v="0.183"/>
    <x v="5"/>
    <s v="Owned"/>
    <n v="10"/>
    <n v="3"/>
    <s v="Yes"/>
    <s v="No"/>
    <x v="1"/>
    <n v="183758"/>
    <x v="1615"/>
    <x v="74"/>
    <x v="456"/>
    <x v="0"/>
    <x v="0"/>
    <x v="2"/>
  </r>
  <r>
    <x v="1626"/>
    <s v="Tyler Gutierrez"/>
    <x v="24"/>
    <x v="0"/>
    <x v="0"/>
    <s v="High School"/>
    <x v="2"/>
    <n v="147006"/>
    <n v="400"/>
    <n v="41617"/>
    <x v="2"/>
    <n v="0.159"/>
    <x v="3"/>
    <s v="Rented"/>
    <n v="1"/>
    <n v="4"/>
    <s v="No"/>
    <s v="No"/>
    <x v="1"/>
    <n v="135816"/>
    <x v="1616"/>
    <x v="72"/>
    <x v="612"/>
    <x v="0"/>
    <x v="0"/>
    <x v="2"/>
  </r>
  <r>
    <x v="1627"/>
    <s v="Robin Smith"/>
    <x v="15"/>
    <x v="1"/>
    <x v="0"/>
    <s v="PhD"/>
    <x v="2"/>
    <n v="127779"/>
    <n v="400"/>
    <n v="42552"/>
    <x v="3"/>
    <n v="5.0799999999999998E-2"/>
    <x v="1"/>
    <s v="Rented"/>
    <n v="21"/>
    <n v="3"/>
    <s v="Yes"/>
    <s v="No"/>
    <x v="3"/>
    <n v="102132"/>
    <x v="1617"/>
    <x v="5"/>
    <x v="1036"/>
    <x v="1"/>
    <x v="0"/>
    <x v="2"/>
  </r>
  <r>
    <x v="1628"/>
    <s v="Madeline Smith"/>
    <x v="20"/>
    <x v="1"/>
    <x v="1"/>
    <s v="Graduate"/>
    <x v="2"/>
    <n v="80926"/>
    <n v="400"/>
    <n v="43864"/>
    <x v="1"/>
    <n v="6.7599999999999993E-2"/>
    <x v="4"/>
    <s v="Owned"/>
    <n v="26"/>
    <n v="0"/>
    <s v="No"/>
    <s v="No"/>
    <x v="0"/>
    <n v="39986"/>
    <x v="1618"/>
    <x v="27"/>
    <x v="479"/>
    <x v="0"/>
    <x v="0"/>
    <x v="2"/>
  </r>
  <r>
    <x v="1629"/>
    <s v="Jessica Sampson"/>
    <x v="40"/>
    <x v="1"/>
    <x v="2"/>
    <s v="Postgraduate"/>
    <x v="0"/>
    <n v="94400"/>
    <n v="399"/>
    <n v="37210"/>
    <x v="4"/>
    <n v="0.1797"/>
    <x v="2"/>
    <s v="Rented"/>
    <n v="22"/>
    <n v="2"/>
    <s v="No"/>
    <s v="No"/>
    <x v="0"/>
    <n v="182974"/>
    <x v="1619"/>
    <x v="42"/>
    <x v="336"/>
    <x v="0"/>
    <x v="0"/>
    <x v="2"/>
  </r>
  <r>
    <x v="1630"/>
    <s v="Caitlin Wheeler"/>
    <x v="11"/>
    <x v="1"/>
    <x v="1"/>
    <s v="Postgraduate"/>
    <x v="0"/>
    <n v="96000"/>
    <n v="398"/>
    <n v="6703"/>
    <x v="0"/>
    <n v="0.13919999999999999"/>
    <x v="5"/>
    <s v="Mortgaged"/>
    <n v="18"/>
    <n v="3"/>
    <s v="Yes"/>
    <s v="No"/>
    <x v="4"/>
    <n v="196566"/>
    <x v="1620"/>
    <x v="37"/>
    <x v="507"/>
    <x v="1"/>
    <x v="1"/>
    <x v="2"/>
  </r>
  <r>
    <x v="1631"/>
    <s v="Jenna Adkins"/>
    <x v="15"/>
    <x v="1"/>
    <x v="3"/>
    <s v="Postgraduate"/>
    <x v="2"/>
    <n v="130463"/>
    <n v="398"/>
    <n v="16008"/>
    <x v="0"/>
    <n v="0.1447"/>
    <x v="1"/>
    <s v="Owned"/>
    <n v="26"/>
    <n v="1"/>
    <s v="No"/>
    <s v="Yes"/>
    <x v="4"/>
    <n v="110756"/>
    <x v="1621"/>
    <x v="5"/>
    <x v="1084"/>
    <x v="0"/>
    <x v="0"/>
    <x v="2"/>
  </r>
  <r>
    <x v="1632"/>
    <s v="Alexis Weber"/>
    <x v="11"/>
    <x v="0"/>
    <x v="3"/>
    <s v="High School"/>
    <x v="2"/>
    <n v="135150"/>
    <n v="398"/>
    <n v="30520"/>
    <x v="0"/>
    <n v="0.1011"/>
    <x v="1"/>
    <s v="Owned"/>
    <n v="27"/>
    <n v="0"/>
    <s v="No"/>
    <s v="No"/>
    <x v="0"/>
    <n v="101101"/>
    <x v="1622"/>
    <x v="41"/>
    <x v="155"/>
    <x v="1"/>
    <x v="0"/>
    <x v="2"/>
  </r>
  <r>
    <x v="1633"/>
    <s v="Melissa Stanley"/>
    <x v="36"/>
    <x v="0"/>
    <x v="3"/>
    <s v="PhD"/>
    <x v="2"/>
    <n v="67307"/>
    <n v="398"/>
    <n v="29231"/>
    <x v="4"/>
    <n v="0.13869999999999999"/>
    <x v="1"/>
    <s v="Rented"/>
    <n v="10"/>
    <n v="3"/>
    <s v="No"/>
    <s v="Yes"/>
    <x v="2"/>
    <n v="36454"/>
    <x v="1623"/>
    <x v="40"/>
    <x v="421"/>
    <x v="0"/>
    <x v="0"/>
    <x v="2"/>
  </r>
  <r>
    <x v="1634"/>
    <s v="Jose Marquez"/>
    <x v="41"/>
    <x v="0"/>
    <x v="2"/>
    <s v="PhD"/>
    <x v="3"/>
    <n v="127724"/>
    <n v="396"/>
    <n v="20394"/>
    <x v="2"/>
    <n v="5.2300000000000006E-2"/>
    <x v="2"/>
    <s v="Rented"/>
    <n v="7"/>
    <n v="0"/>
    <s v="No"/>
    <s v="Yes"/>
    <x v="0"/>
    <n v="115532"/>
    <x v="1624"/>
    <x v="52"/>
    <x v="1085"/>
    <x v="0"/>
    <x v="0"/>
    <x v="2"/>
  </r>
  <r>
    <x v="1635"/>
    <s v="Thomas Jackson"/>
    <x v="33"/>
    <x v="0"/>
    <x v="3"/>
    <s v="High School"/>
    <x v="1"/>
    <n v="59500"/>
    <n v="396"/>
    <n v="13207"/>
    <x v="0"/>
    <n v="0.17430000000000001"/>
    <x v="0"/>
    <s v="Rented"/>
    <n v="12"/>
    <n v="4"/>
    <s v="Yes"/>
    <s v="Yes"/>
    <x v="1"/>
    <n v="40983"/>
    <x v="1625"/>
    <x v="36"/>
    <x v="1086"/>
    <x v="1"/>
    <x v="0"/>
    <x v="2"/>
  </r>
  <r>
    <x v="1636"/>
    <s v="April Hudson"/>
    <x v="8"/>
    <x v="0"/>
    <x v="2"/>
    <s v="Postgraduate"/>
    <x v="1"/>
    <n v="143568"/>
    <n v="396"/>
    <n v="10695"/>
    <x v="0"/>
    <n v="0.16600000000000001"/>
    <x v="3"/>
    <s v="Rented"/>
    <n v="18"/>
    <n v="4"/>
    <s v="No"/>
    <s v="No"/>
    <x v="4"/>
    <n v="23925"/>
    <x v="1626"/>
    <x v="31"/>
    <x v="737"/>
    <x v="1"/>
    <x v="0"/>
    <x v="2"/>
  </r>
  <r>
    <x v="1637"/>
    <s v="Austin Cunningham"/>
    <x v="22"/>
    <x v="0"/>
    <x v="2"/>
    <s v="Postgraduate"/>
    <x v="3"/>
    <n v="60857"/>
    <n v="395"/>
    <n v="41985"/>
    <x v="0"/>
    <n v="0.16089999999999999"/>
    <x v="3"/>
    <s v="Mortgaged"/>
    <n v="9"/>
    <n v="1"/>
    <s v="Yes"/>
    <s v="Yes"/>
    <x v="3"/>
    <n v="120525"/>
    <x v="1627"/>
    <x v="72"/>
    <x v="241"/>
    <x v="1"/>
    <x v="0"/>
    <x v="2"/>
  </r>
  <r>
    <x v="1638"/>
    <s v="Caroline Johnson"/>
    <x v="35"/>
    <x v="0"/>
    <x v="1"/>
    <s v="Graduate"/>
    <x v="2"/>
    <n v="69464"/>
    <n v="395"/>
    <n v="31666"/>
    <x v="2"/>
    <n v="8.0199999999999994E-2"/>
    <x v="1"/>
    <s v="Owned"/>
    <n v="12"/>
    <n v="0"/>
    <s v="No"/>
    <s v="Yes"/>
    <x v="2"/>
    <n v="10301"/>
    <x v="1628"/>
    <x v="44"/>
    <x v="1076"/>
    <x v="0"/>
    <x v="0"/>
    <x v="2"/>
  </r>
  <r>
    <x v="1639"/>
    <s v="Kelly Strong"/>
    <x v="40"/>
    <x v="0"/>
    <x v="3"/>
    <s v="PhD"/>
    <x v="1"/>
    <n v="20834"/>
    <n v="395"/>
    <n v="26957"/>
    <x v="1"/>
    <n v="6.08E-2"/>
    <x v="3"/>
    <s v="Mortgaged"/>
    <n v="15"/>
    <n v="4"/>
    <s v="No"/>
    <s v="No"/>
    <x v="0"/>
    <n v="186252"/>
    <x v="1629"/>
    <x v="5"/>
    <x v="157"/>
    <x v="1"/>
    <x v="1"/>
    <x v="2"/>
  </r>
  <r>
    <x v="1640"/>
    <s v="James Burke"/>
    <x v="6"/>
    <x v="1"/>
    <x v="2"/>
    <s v="Postgraduate"/>
    <x v="2"/>
    <n v="143721"/>
    <n v="394"/>
    <n v="20739"/>
    <x v="2"/>
    <n v="0.11269999999999999"/>
    <x v="0"/>
    <s v="Mortgaged"/>
    <n v="4"/>
    <n v="1"/>
    <s v="No"/>
    <s v="No"/>
    <x v="2"/>
    <n v="96636"/>
    <x v="1630"/>
    <x v="47"/>
    <x v="685"/>
    <x v="0"/>
    <x v="0"/>
    <x v="2"/>
  </r>
  <r>
    <x v="1641"/>
    <s v="Mrs. Kelli Reyes"/>
    <x v="20"/>
    <x v="1"/>
    <x v="1"/>
    <s v="High School"/>
    <x v="1"/>
    <n v="127620"/>
    <n v="394"/>
    <n v="5179"/>
    <x v="4"/>
    <n v="0.1202"/>
    <x v="3"/>
    <s v="Owned"/>
    <n v="12"/>
    <n v="4"/>
    <s v="No"/>
    <s v="No"/>
    <x v="3"/>
    <n v="67854"/>
    <x v="1631"/>
    <x v="24"/>
    <x v="1087"/>
    <x v="1"/>
    <x v="0"/>
    <x v="2"/>
  </r>
  <r>
    <x v="1642"/>
    <s v="Thomas Green"/>
    <x v="40"/>
    <x v="0"/>
    <x v="1"/>
    <s v="Postgraduate"/>
    <x v="1"/>
    <n v="145266"/>
    <n v="394"/>
    <n v="47229"/>
    <x v="2"/>
    <n v="0.13470000000000001"/>
    <x v="3"/>
    <s v="Rented"/>
    <n v="27"/>
    <n v="2"/>
    <s v="No"/>
    <s v="Yes"/>
    <x v="2"/>
    <n v="183201"/>
    <x v="1632"/>
    <x v="81"/>
    <x v="1088"/>
    <x v="0"/>
    <x v="1"/>
    <x v="2"/>
  </r>
  <r>
    <x v="1643"/>
    <s v="Eric Howe"/>
    <x v="33"/>
    <x v="0"/>
    <x v="1"/>
    <s v="Graduate"/>
    <x v="1"/>
    <n v="41630"/>
    <n v="394"/>
    <n v="21175"/>
    <x v="0"/>
    <n v="0.19570000000000001"/>
    <x v="0"/>
    <s v="Owned"/>
    <n v="14"/>
    <n v="1"/>
    <s v="No"/>
    <s v="No"/>
    <x v="0"/>
    <n v="33292"/>
    <x v="1633"/>
    <x v="1"/>
    <x v="402"/>
    <x v="1"/>
    <x v="0"/>
    <x v="2"/>
  </r>
  <r>
    <x v="1644"/>
    <s v="Jennifer Ware"/>
    <x v="16"/>
    <x v="1"/>
    <x v="0"/>
    <s v="Graduate"/>
    <x v="2"/>
    <n v="147152"/>
    <n v="394"/>
    <n v="49582"/>
    <x v="3"/>
    <n v="6.3099999999999989E-2"/>
    <x v="2"/>
    <s v="Mortgaged"/>
    <n v="6"/>
    <n v="3"/>
    <s v="Yes"/>
    <s v="No"/>
    <x v="0"/>
    <n v="167348"/>
    <x v="1634"/>
    <x v="3"/>
    <x v="1089"/>
    <x v="0"/>
    <x v="0"/>
    <x v="2"/>
  </r>
  <r>
    <x v="1645"/>
    <s v="Javier Duarte"/>
    <x v="4"/>
    <x v="1"/>
    <x v="1"/>
    <s v="High School"/>
    <x v="0"/>
    <n v="27903"/>
    <n v="394"/>
    <n v="15988"/>
    <x v="0"/>
    <n v="0.17249999999999999"/>
    <x v="2"/>
    <s v="Owned"/>
    <n v="22"/>
    <n v="3"/>
    <s v="No"/>
    <s v="Yes"/>
    <x v="4"/>
    <n v="149387"/>
    <x v="1635"/>
    <x v="19"/>
    <x v="746"/>
    <x v="1"/>
    <x v="0"/>
    <x v="2"/>
  </r>
  <r>
    <x v="1646"/>
    <s v="Kevin Wong"/>
    <x v="8"/>
    <x v="0"/>
    <x v="3"/>
    <s v="Postgraduate"/>
    <x v="1"/>
    <n v="75991"/>
    <n v="394"/>
    <n v="6681"/>
    <x v="1"/>
    <n v="0.13150000000000001"/>
    <x v="0"/>
    <s v="Mortgaged"/>
    <n v="11"/>
    <n v="0"/>
    <s v="No"/>
    <s v="No"/>
    <x v="2"/>
    <n v="71096"/>
    <x v="1636"/>
    <x v="16"/>
    <x v="1090"/>
    <x v="0"/>
    <x v="0"/>
    <x v="2"/>
  </r>
  <r>
    <x v="1647"/>
    <s v="Allison James"/>
    <x v="3"/>
    <x v="1"/>
    <x v="2"/>
    <s v="Graduate"/>
    <x v="0"/>
    <n v="83044"/>
    <n v="393"/>
    <n v="18732"/>
    <x v="3"/>
    <n v="0.1986"/>
    <x v="2"/>
    <s v="Rented"/>
    <n v="9"/>
    <n v="1"/>
    <s v="No"/>
    <s v="Yes"/>
    <x v="1"/>
    <n v="147662"/>
    <x v="1637"/>
    <x v="4"/>
    <x v="1091"/>
    <x v="1"/>
    <x v="0"/>
    <x v="2"/>
  </r>
  <r>
    <x v="1648"/>
    <s v="Jason Wright"/>
    <x v="5"/>
    <x v="1"/>
    <x v="2"/>
    <s v="High School"/>
    <x v="0"/>
    <n v="31801"/>
    <n v="393"/>
    <n v="39665"/>
    <x v="4"/>
    <n v="0.161"/>
    <x v="1"/>
    <s v="Mortgaged"/>
    <n v="6"/>
    <n v="4"/>
    <s v="Yes"/>
    <s v="No"/>
    <x v="4"/>
    <n v="145625"/>
    <x v="1638"/>
    <x v="18"/>
    <x v="777"/>
    <x v="0"/>
    <x v="0"/>
    <x v="2"/>
  </r>
  <r>
    <x v="1649"/>
    <s v="James Wilson"/>
    <x v="22"/>
    <x v="0"/>
    <x v="1"/>
    <s v="Graduate"/>
    <x v="3"/>
    <n v="104981"/>
    <n v="393"/>
    <n v="49365"/>
    <x v="2"/>
    <n v="0.11960000000000001"/>
    <x v="3"/>
    <s v="Rented"/>
    <n v="22"/>
    <n v="1"/>
    <s v="No"/>
    <s v="No"/>
    <x v="3"/>
    <n v="5838"/>
    <x v="1639"/>
    <x v="38"/>
    <x v="1092"/>
    <x v="1"/>
    <x v="0"/>
    <x v="2"/>
  </r>
  <r>
    <x v="1650"/>
    <s v="Hunter Spears"/>
    <x v="3"/>
    <x v="0"/>
    <x v="3"/>
    <s v="High School"/>
    <x v="3"/>
    <n v="57383"/>
    <n v="392"/>
    <n v="14731"/>
    <x v="2"/>
    <n v="0.12890000000000001"/>
    <x v="4"/>
    <s v="Rented"/>
    <n v="3"/>
    <n v="1"/>
    <s v="Yes"/>
    <s v="No"/>
    <x v="1"/>
    <n v="177759"/>
    <x v="1640"/>
    <x v="33"/>
    <x v="1093"/>
    <x v="1"/>
    <x v="1"/>
    <x v="2"/>
  </r>
  <r>
    <x v="1651"/>
    <s v="Stephanie Moore"/>
    <x v="8"/>
    <x v="1"/>
    <x v="0"/>
    <s v="PhD"/>
    <x v="0"/>
    <n v="93960"/>
    <n v="392"/>
    <n v="9968"/>
    <x v="2"/>
    <n v="0.11269999999999999"/>
    <x v="4"/>
    <s v="Rented"/>
    <n v="16"/>
    <n v="3"/>
    <s v="Yes"/>
    <s v="Yes"/>
    <x v="3"/>
    <n v="199814"/>
    <x v="1641"/>
    <x v="38"/>
    <x v="1094"/>
    <x v="1"/>
    <x v="1"/>
    <x v="2"/>
  </r>
  <r>
    <x v="1652"/>
    <s v="Mathew Hobbs"/>
    <x v="12"/>
    <x v="0"/>
    <x v="0"/>
    <s v="Graduate"/>
    <x v="0"/>
    <n v="131030"/>
    <n v="392"/>
    <n v="2620"/>
    <x v="2"/>
    <n v="0.12520000000000001"/>
    <x v="4"/>
    <s v="Owned"/>
    <n v="11"/>
    <n v="2"/>
    <s v="No"/>
    <s v="Yes"/>
    <x v="4"/>
    <n v="93029"/>
    <x v="1642"/>
    <x v="81"/>
    <x v="820"/>
    <x v="1"/>
    <x v="1"/>
    <x v="2"/>
  </r>
  <r>
    <x v="1653"/>
    <s v="Alexandra Hamilton"/>
    <x v="20"/>
    <x v="0"/>
    <x v="3"/>
    <s v="Graduate"/>
    <x v="0"/>
    <n v="58744"/>
    <n v="392"/>
    <n v="48899"/>
    <x v="4"/>
    <n v="0.1343"/>
    <x v="5"/>
    <s v="Owned"/>
    <n v="8"/>
    <n v="2"/>
    <s v="Yes"/>
    <s v="No"/>
    <x v="4"/>
    <n v="42541"/>
    <x v="1643"/>
    <x v="59"/>
    <x v="1095"/>
    <x v="1"/>
    <x v="0"/>
    <x v="2"/>
  </r>
  <r>
    <x v="1654"/>
    <s v="Dawn Hubbard"/>
    <x v="1"/>
    <x v="1"/>
    <x v="2"/>
    <s v="High School"/>
    <x v="0"/>
    <n v="108478"/>
    <n v="392"/>
    <n v="25346"/>
    <x v="1"/>
    <n v="8.7300000000000003E-2"/>
    <x v="4"/>
    <s v="Owned"/>
    <n v="10"/>
    <n v="0"/>
    <s v="Yes"/>
    <s v="Yes"/>
    <x v="2"/>
    <n v="169366"/>
    <x v="1644"/>
    <x v="37"/>
    <x v="437"/>
    <x v="1"/>
    <x v="0"/>
    <x v="2"/>
  </r>
  <r>
    <x v="1655"/>
    <s v="Angela Moran"/>
    <x v="9"/>
    <x v="1"/>
    <x v="1"/>
    <s v="Postgraduate"/>
    <x v="1"/>
    <n v="34799"/>
    <n v="391"/>
    <n v="7683"/>
    <x v="1"/>
    <n v="9.4899999999999998E-2"/>
    <x v="2"/>
    <s v="Mortgaged"/>
    <n v="8"/>
    <n v="1"/>
    <s v="Yes"/>
    <s v="No"/>
    <x v="2"/>
    <n v="169231"/>
    <x v="1645"/>
    <x v="69"/>
    <x v="1096"/>
    <x v="1"/>
    <x v="0"/>
    <x v="2"/>
  </r>
  <r>
    <x v="1656"/>
    <s v="Tina Thompson"/>
    <x v="33"/>
    <x v="0"/>
    <x v="0"/>
    <s v="Graduate"/>
    <x v="2"/>
    <n v="57841"/>
    <n v="391"/>
    <n v="22140"/>
    <x v="4"/>
    <n v="5.2600000000000001E-2"/>
    <x v="1"/>
    <s v="Mortgaged"/>
    <n v="5"/>
    <n v="3"/>
    <s v="No"/>
    <s v="Yes"/>
    <x v="0"/>
    <n v="96001"/>
    <x v="1646"/>
    <x v="30"/>
    <x v="484"/>
    <x v="0"/>
    <x v="0"/>
    <x v="2"/>
  </r>
  <r>
    <x v="1657"/>
    <s v="Melissa Tucker"/>
    <x v="39"/>
    <x v="0"/>
    <x v="1"/>
    <s v="Postgraduate"/>
    <x v="3"/>
    <n v="39462"/>
    <n v="391"/>
    <n v="24130"/>
    <x v="2"/>
    <n v="0.12380000000000001"/>
    <x v="5"/>
    <s v="Mortgaged"/>
    <n v="11"/>
    <n v="4"/>
    <s v="Yes"/>
    <s v="No"/>
    <x v="2"/>
    <n v="95504"/>
    <x v="1647"/>
    <x v="25"/>
    <x v="1097"/>
    <x v="0"/>
    <x v="0"/>
    <x v="2"/>
  </r>
  <r>
    <x v="1658"/>
    <s v="William Harrison DDS"/>
    <x v="42"/>
    <x v="1"/>
    <x v="2"/>
    <s v="High School"/>
    <x v="2"/>
    <n v="88921"/>
    <n v="391"/>
    <n v="34741"/>
    <x v="1"/>
    <n v="0.1852"/>
    <x v="0"/>
    <s v="Rented"/>
    <n v="24"/>
    <n v="2"/>
    <s v="Yes"/>
    <s v="Yes"/>
    <x v="4"/>
    <n v="60084"/>
    <x v="1648"/>
    <x v="48"/>
    <x v="992"/>
    <x v="1"/>
    <x v="0"/>
    <x v="2"/>
  </r>
  <r>
    <x v="1659"/>
    <s v="Ryan Simpson"/>
    <x v="14"/>
    <x v="1"/>
    <x v="2"/>
    <s v="High School"/>
    <x v="3"/>
    <n v="89893"/>
    <n v="391"/>
    <n v="38695"/>
    <x v="3"/>
    <n v="0.13830000000000001"/>
    <x v="2"/>
    <s v="Rented"/>
    <n v="11"/>
    <n v="1"/>
    <s v="Yes"/>
    <s v="Yes"/>
    <x v="3"/>
    <n v="120036"/>
    <x v="1107"/>
    <x v="64"/>
    <x v="1098"/>
    <x v="0"/>
    <x v="0"/>
    <x v="2"/>
  </r>
  <r>
    <x v="1660"/>
    <s v="Monique Thompson"/>
    <x v="4"/>
    <x v="1"/>
    <x v="3"/>
    <s v="High School"/>
    <x v="2"/>
    <n v="93181"/>
    <n v="390"/>
    <n v="21567"/>
    <x v="1"/>
    <n v="0.11269999999999999"/>
    <x v="0"/>
    <s v="Owned"/>
    <n v="19"/>
    <n v="3"/>
    <s v="Yes"/>
    <s v="Yes"/>
    <x v="1"/>
    <n v="60528"/>
    <x v="1649"/>
    <x v="88"/>
    <x v="840"/>
    <x v="1"/>
    <x v="1"/>
    <x v="2"/>
  </r>
  <r>
    <x v="1661"/>
    <s v="Sharon Miller"/>
    <x v="26"/>
    <x v="1"/>
    <x v="0"/>
    <s v="High School"/>
    <x v="3"/>
    <n v="102421"/>
    <n v="390"/>
    <n v="4823"/>
    <x v="1"/>
    <n v="0.1454"/>
    <x v="2"/>
    <s v="Rented"/>
    <n v="27"/>
    <n v="2"/>
    <s v="Yes"/>
    <s v="No"/>
    <x v="3"/>
    <n v="176173"/>
    <x v="1650"/>
    <x v="30"/>
    <x v="298"/>
    <x v="0"/>
    <x v="0"/>
    <x v="2"/>
  </r>
  <r>
    <x v="1662"/>
    <s v="Stacy Goodman"/>
    <x v="14"/>
    <x v="1"/>
    <x v="0"/>
    <s v="PhD"/>
    <x v="0"/>
    <n v="130284"/>
    <n v="390"/>
    <n v="45732"/>
    <x v="3"/>
    <n v="0.17350000000000002"/>
    <x v="0"/>
    <s v="Rented"/>
    <n v="13"/>
    <n v="2"/>
    <s v="Yes"/>
    <s v="No"/>
    <x v="4"/>
    <n v="33668"/>
    <x v="1651"/>
    <x v="42"/>
    <x v="885"/>
    <x v="1"/>
    <x v="1"/>
    <x v="2"/>
  </r>
  <r>
    <x v="1663"/>
    <s v="Michelle Guerra"/>
    <x v="37"/>
    <x v="1"/>
    <x v="1"/>
    <s v="PhD"/>
    <x v="2"/>
    <n v="148713"/>
    <n v="390"/>
    <n v="43220"/>
    <x v="4"/>
    <n v="6.8000000000000005E-2"/>
    <x v="4"/>
    <s v="Rented"/>
    <n v="4"/>
    <n v="1"/>
    <s v="No"/>
    <s v="Yes"/>
    <x v="4"/>
    <n v="58277"/>
    <x v="1652"/>
    <x v="71"/>
    <x v="1060"/>
    <x v="0"/>
    <x v="0"/>
    <x v="2"/>
  </r>
  <r>
    <x v="1664"/>
    <s v="Jason Short"/>
    <x v="4"/>
    <x v="0"/>
    <x v="1"/>
    <s v="Graduate"/>
    <x v="1"/>
    <n v="70715"/>
    <n v="389"/>
    <n v="26037"/>
    <x v="4"/>
    <n v="5.0799999999999998E-2"/>
    <x v="2"/>
    <s v="Mortgaged"/>
    <n v="24"/>
    <n v="0"/>
    <s v="Yes"/>
    <s v="Yes"/>
    <x v="3"/>
    <n v="151098"/>
    <x v="1653"/>
    <x v="16"/>
    <x v="369"/>
    <x v="1"/>
    <x v="0"/>
    <x v="2"/>
  </r>
  <r>
    <x v="1665"/>
    <s v="Lindsey Martinez"/>
    <x v="28"/>
    <x v="0"/>
    <x v="1"/>
    <s v="Graduate"/>
    <x v="0"/>
    <n v="123325"/>
    <n v="389"/>
    <n v="34092"/>
    <x v="1"/>
    <n v="0.1913"/>
    <x v="1"/>
    <s v="Mortgaged"/>
    <n v="7"/>
    <n v="2"/>
    <s v="No"/>
    <s v="No"/>
    <x v="2"/>
    <n v="139563"/>
    <x v="1654"/>
    <x v="71"/>
    <x v="1099"/>
    <x v="1"/>
    <x v="1"/>
    <x v="2"/>
  </r>
  <r>
    <x v="1666"/>
    <s v="Jody Zhang"/>
    <x v="35"/>
    <x v="0"/>
    <x v="3"/>
    <s v="Graduate"/>
    <x v="3"/>
    <n v="139415"/>
    <n v="388"/>
    <n v="21446"/>
    <x v="0"/>
    <n v="0.1133"/>
    <x v="0"/>
    <s v="Rented"/>
    <n v="29"/>
    <n v="2"/>
    <s v="No"/>
    <s v="Yes"/>
    <x v="2"/>
    <n v="78399"/>
    <x v="1655"/>
    <x v="66"/>
    <x v="101"/>
    <x v="1"/>
    <x v="0"/>
    <x v="2"/>
  </r>
  <r>
    <x v="1667"/>
    <s v="Michael Shaw"/>
    <x v="24"/>
    <x v="0"/>
    <x v="1"/>
    <s v="Postgraduate"/>
    <x v="0"/>
    <n v="125290"/>
    <n v="388"/>
    <n v="10415"/>
    <x v="4"/>
    <n v="8.1000000000000003E-2"/>
    <x v="5"/>
    <s v="Mortgaged"/>
    <n v="8"/>
    <n v="0"/>
    <s v="Yes"/>
    <s v="Yes"/>
    <x v="3"/>
    <n v="177386"/>
    <x v="1656"/>
    <x v="63"/>
    <x v="1100"/>
    <x v="1"/>
    <x v="1"/>
    <x v="2"/>
  </r>
  <r>
    <x v="1668"/>
    <s v="Paul Young"/>
    <x v="32"/>
    <x v="1"/>
    <x v="0"/>
    <s v="PhD"/>
    <x v="2"/>
    <n v="109367"/>
    <n v="388"/>
    <n v="22033"/>
    <x v="0"/>
    <n v="0.13730000000000001"/>
    <x v="1"/>
    <s v="Owned"/>
    <n v="11"/>
    <n v="1"/>
    <s v="No"/>
    <s v="No"/>
    <x v="1"/>
    <n v="152542"/>
    <x v="1657"/>
    <x v="4"/>
    <x v="1025"/>
    <x v="0"/>
    <x v="0"/>
    <x v="2"/>
  </r>
  <r>
    <x v="1669"/>
    <s v="Cody Grimes"/>
    <x v="43"/>
    <x v="0"/>
    <x v="1"/>
    <s v="Graduate"/>
    <x v="2"/>
    <n v="56021"/>
    <n v="388"/>
    <n v="24434"/>
    <x v="4"/>
    <n v="6.5099999999999991E-2"/>
    <x v="5"/>
    <s v="Owned"/>
    <n v="11"/>
    <n v="4"/>
    <s v="No"/>
    <s v="No"/>
    <x v="4"/>
    <n v="25099"/>
    <x v="1658"/>
    <x v="66"/>
    <x v="1101"/>
    <x v="0"/>
    <x v="0"/>
    <x v="2"/>
  </r>
  <r>
    <x v="1670"/>
    <s v="Travis Pratt"/>
    <x v="16"/>
    <x v="0"/>
    <x v="3"/>
    <s v="PhD"/>
    <x v="2"/>
    <n v="105914"/>
    <n v="388"/>
    <n v="40489"/>
    <x v="4"/>
    <n v="0.17129999999999998"/>
    <x v="0"/>
    <s v="Owned"/>
    <n v="26"/>
    <n v="2"/>
    <s v="Yes"/>
    <s v="Yes"/>
    <x v="1"/>
    <n v="149767"/>
    <x v="1659"/>
    <x v="16"/>
    <x v="1102"/>
    <x v="0"/>
    <x v="0"/>
    <x v="2"/>
  </r>
  <r>
    <x v="1671"/>
    <s v="Samuel Stone"/>
    <x v="6"/>
    <x v="1"/>
    <x v="3"/>
    <s v="Postgraduate"/>
    <x v="2"/>
    <n v="88653"/>
    <n v="387"/>
    <n v="14410"/>
    <x v="0"/>
    <n v="5.7000000000000002E-2"/>
    <x v="4"/>
    <s v="Owned"/>
    <n v="4"/>
    <n v="3"/>
    <s v="Yes"/>
    <s v="Yes"/>
    <x v="2"/>
    <n v="108576"/>
    <x v="1660"/>
    <x v="72"/>
    <x v="8"/>
    <x v="0"/>
    <x v="0"/>
    <x v="2"/>
  </r>
  <r>
    <x v="1672"/>
    <s v="Michael Armstrong"/>
    <x v="36"/>
    <x v="1"/>
    <x v="2"/>
    <s v="High School"/>
    <x v="0"/>
    <n v="45251"/>
    <n v="387"/>
    <n v="44371"/>
    <x v="0"/>
    <n v="0.18870000000000001"/>
    <x v="5"/>
    <s v="Owned"/>
    <n v="12"/>
    <n v="0"/>
    <s v="No"/>
    <s v="Yes"/>
    <x v="4"/>
    <n v="42973"/>
    <x v="1661"/>
    <x v="13"/>
    <x v="1103"/>
    <x v="1"/>
    <x v="0"/>
    <x v="2"/>
  </r>
  <r>
    <x v="1673"/>
    <s v="Zachary Briggs"/>
    <x v="29"/>
    <x v="0"/>
    <x v="0"/>
    <s v="Postgraduate"/>
    <x v="3"/>
    <n v="44363"/>
    <n v="387"/>
    <n v="10032"/>
    <x v="3"/>
    <n v="5.96E-2"/>
    <x v="3"/>
    <s v="Rented"/>
    <n v="7"/>
    <n v="0"/>
    <s v="No"/>
    <s v="Yes"/>
    <x v="1"/>
    <n v="58612"/>
    <x v="1662"/>
    <x v="26"/>
    <x v="1104"/>
    <x v="0"/>
    <x v="0"/>
    <x v="2"/>
  </r>
  <r>
    <x v="1674"/>
    <s v="Stephanie Fitzgerald"/>
    <x v="11"/>
    <x v="0"/>
    <x v="1"/>
    <s v="PhD"/>
    <x v="1"/>
    <n v="90246"/>
    <n v="387"/>
    <n v="40842"/>
    <x v="1"/>
    <n v="0.1449"/>
    <x v="5"/>
    <s v="Mortgaged"/>
    <n v="15"/>
    <n v="2"/>
    <s v="Yes"/>
    <s v="No"/>
    <x v="2"/>
    <n v="11920"/>
    <x v="1663"/>
    <x v="33"/>
    <x v="1105"/>
    <x v="1"/>
    <x v="0"/>
    <x v="2"/>
  </r>
  <r>
    <x v="1675"/>
    <s v="Anne Fowler"/>
    <x v="9"/>
    <x v="1"/>
    <x v="2"/>
    <s v="Graduate"/>
    <x v="2"/>
    <n v="85864"/>
    <n v="387"/>
    <n v="4996"/>
    <x v="1"/>
    <n v="8.6300000000000002E-2"/>
    <x v="4"/>
    <s v="Rented"/>
    <n v="6"/>
    <n v="1"/>
    <s v="Yes"/>
    <s v="No"/>
    <x v="0"/>
    <n v="80453"/>
    <x v="1664"/>
    <x v="48"/>
    <x v="1106"/>
    <x v="0"/>
    <x v="0"/>
    <x v="2"/>
  </r>
  <r>
    <x v="1676"/>
    <s v="Gina Clark"/>
    <x v="43"/>
    <x v="1"/>
    <x v="2"/>
    <s v="High School"/>
    <x v="1"/>
    <n v="138920"/>
    <n v="387"/>
    <n v="26838"/>
    <x v="1"/>
    <n v="6.7699999999999996E-2"/>
    <x v="2"/>
    <s v="Owned"/>
    <n v="6"/>
    <n v="2"/>
    <s v="Yes"/>
    <s v="No"/>
    <x v="2"/>
    <n v="166784"/>
    <x v="1665"/>
    <x v="69"/>
    <x v="977"/>
    <x v="0"/>
    <x v="0"/>
    <x v="2"/>
  </r>
  <r>
    <x v="1677"/>
    <s v="Gloria Williams"/>
    <x v="18"/>
    <x v="1"/>
    <x v="0"/>
    <s v="Postgraduate"/>
    <x v="3"/>
    <n v="75311"/>
    <n v="386"/>
    <n v="37282"/>
    <x v="0"/>
    <n v="0.1351"/>
    <x v="4"/>
    <s v="Mortgaged"/>
    <n v="27"/>
    <n v="3"/>
    <s v="Yes"/>
    <s v="No"/>
    <x v="1"/>
    <n v="188542"/>
    <x v="1666"/>
    <x v="43"/>
    <x v="1107"/>
    <x v="0"/>
    <x v="0"/>
    <x v="2"/>
  </r>
  <r>
    <x v="1678"/>
    <s v="Robert Olson"/>
    <x v="23"/>
    <x v="0"/>
    <x v="1"/>
    <s v="Graduate"/>
    <x v="2"/>
    <n v="49187"/>
    <n v="386"/>
    <n v="29490"/>
    <x v="1"/>
    <n v="0.14319999999999999"/>
    <x v="3"/>
    <s v="Rented"/>
    <n v="17"/>
    <n v="4"/>
    <s v="Yes"/>
    <s v="No"/>
    <x v="0"/>
    <n v="145479"/>
    <x v="544"/>
    <x v="23"/>
    <x v="1108"/>
    <x v="0"/>
    <x v="0"/>
    <x v="2"/>
  </r>
  <r>
    <x v="1679"/>
    <s v="Frank Mccormick"/>
    <x v="30"/>
    <x v="0"/>
    <x v="0"/>
    <s v="PhD"/>
    <x v="0"/>
    <n v="94099"/>
    <n v="386"/>
    <n v="28738"/>
    <x v="4"/>
    <n v="0.1527"/>
    <x v="2"/>
    <s v="Mortgaged"/>
    <n v="16"/>
    <n v="0"/>
    <s v="Yes"/>
    <s v="No"/>
    <x v="4"/>
    <n v="193419"/>
    <x v="1667"/>
    <x v="46"/>
    <x v="1109"/>
    <x v="0"/>
    <x v="0"/>
    <x v="2"/>
  </r>
  <r>
    <x v="1680"/>
    <s v="Katie Coleman"/>
    <x v="40"/>
    <x v="0"/>
    <x v="1"/>
    <s v="Graduate"/>
    <x v="1"/>
    <n v="20968"/>
    <n v="386"/>
    <n v="13877"/>
    <x v="1"/>
    <n v="8.6899999999999991E-2"/>
    <x v="4"/>
    <s v="Mortgaged"/>
    <n v="10"/>
    <n v="4"/>
    <s v="Yes"/>
    <s v="Yes"/>
    <x v="4"/>
    <n v="76034"/>
    <x v="1668"/>
    <x v="20"/>
    <x v="23"/>
    <x v="0"/>
    <x v="0"/>
    <x v="2"/>
  </r>
  <r>
    <x v="1681"/>
    <s v="Pamela Roberts"/>
    <x v="14"/>
    <x v="1"/>
    <x v="0"/>
    <s v="Graduate"/>
    <x v="1"/>
    <n v="34621"/>
    <n v="385"/>
    <n v="48021"/>
    <x v="4"/>
    <n v="0.1215"/>
    <x v="2"/>
    <s v="Mortgaged"/>
    <n v="8"/>
    <n v="4"/>
    <s v="No"/>
    <s v="No"/>
    <x v="0"/>
    <n v="156745"/>
    <x v="1669"/>
    <x v="39"/>
    <x v="721"/>
    <x v="0"/>
    <x v="1"/>
    <x v="2"/>
  </r>
  <r>
    <x v="1682"/>
    <s v="Ryan Davis"/>
    <x v="39"/>
    <x v="1"/>
    <x v="2"/>
    <s v="High School"/>
    <x v="1"/>
    <n v="50297"/>
    <n v="385"/>
    <n v="5597"/>
    <x v="1"/>
    <n v="8.4100000000000008E-2"/>
    <x v="3"/>
    <s v="Owned"/>
    <n v="7"/>
    <n v="3"/>
    <s v="No"/>
    <s v="No"/>
    <x v="0"/>
    <n v="32035"/>
    <x v="1670"/>
    <x v="36"/>
    <x v="1018"/>
    <x v="1"/>
    <x v="1"/>
    <x v="2"/>
  </r>
  <r>
    <x v="1683"/>
    <s v="Crystal Juarez"/>
    <x v="27"/>
    <x v="0"/>
    <x v="0"/>
    <s v="High School"/>
    <x v="2"/>
    <n v="66737"/>
    <n v="385"/>
    <n v="43842"/>
    <x v="4"/>
    <n v="6.6600000000000006E-2"/>
    <x v="2"/>
    <s v="Mortgaged"/>
    <n v="28"/>
    <n v="4"/>
    <s v="Yes"/>
    <s v="No"/>
    <x v="1"/>
    <n v="131185"/>
    <x v="1671"/>
    <x v="10"/>
    <x v="1001"/>
    <x v="0"/>
    <x v="1"/>
    <x v="2"/>
  </r>
  <r>
    <x v="1684"/>
    <s v="Carrie Wilkerson"/>
    <x v="12"/>
    <x v="1"/>
    <x v="3"/>
    <s v="PhD"/>
    <x v="3"/>
    <n v="55863"/>
    <n v="385"/>
    <n v="33596"/>
    <x v="4"/>
    <n v="0.11460000000000001"/>
    <x v="3"/>
    <s v="Owned"/>
    <n v="7"/>
    <n v="1"/>
    <s v="Yes"/>
    <s v="Yes"/>
    <x v="3"/>
    <n v="52600"/>
    <x v="1672"/>
    <x v="74"/>
    <x v="547"/>
    <x v="0"/>
    <x v="0"/>
    <x v="2"/>
  </r>
  <r>
    <x v="1685"/>
    <s v="Jean Singh"/>
    <x v="5"/>
    <x v="0"/>
    <x v="3"/>
    <s v="Graduate"/>
    <x v="1"/>
    <n v="53172"/>
    <n v="385"/>
    <n v="30531"/>
    <x v="4"/>
    <n v="0.19640000000000002"/>
    <x v="0"/>
    <s v="Rented"/>
    <n v="2"/>
    <n v="4"/>
    <s v="No"/>
    <s v="Yes"/>
    <x v="3"/>
    <n v="183835"/>
    <x v="1673"/>
    <x v="53"/>
    <x v="1110"/>
    <x v="1"/>
    <x v="0"/>
    <x v="2"/>
  </r>
  <r>
    <x v="1686"/>
    <s v="Jeremy Beck"/>
    <x v="10"/>
    <x v="0"/>
    <x v="0"/>
    <s v="Graduate"/>
    <x v="3"/>
    <n v="35540"/>
    <n v="385"/>
    <n v="21514"/>
    <x v="3"/>
    <n v="8.5800000000000001E-2"/>
    <x v="1"/>
    <s v="Rented"/>
    <n v="17"/>
    <n v="0"/>
    <s v="No"/>
    <s v="Yes"/>
    <x v="2"/>
    <n v="16734"/>
    <x v="1674"/>
    <x v="18"/>
    <x v="1111"/>
    <x v="1"/>
    <x v="0"/>
    <x v="2"/>
  </r>
  <r>
    <x v="1687"/>
    <s v="Erin Caldwell"/>
    <x v="20"/>
    <x v="1"/>
    <x v="2"/>
    <s v="High School"/>
    <x v="2"/>
    <n v="42606"/>
    <n v="385"/>
    <n v="41910"/>
    <x v="2"/>
    <n v="7.1900000000000006E-2"/>
    <x v="2"/>
    <s v="Rented"/>
    <n v="17"/>
    <n v="1"/>
    <s v="Yes"/>
    <s v="No"/>
    <x v="3"/>
    <n v="27132"/>
    <x v="1675"/>
    <x v="50"/>
    <x v="703"/>
    <x v="1"/>
    <x v="1"/>
    <x v="2"/>
  </r>
  <r>
    <x v="1688"/>
    <s v="Amber Price"/>
    <x v="11"/>
    <x v="1"/>
    <x v="1"/>
    <s v="High School"/>
    <x v="1"/>
    <n v="43350"/>
    <n v="384"/>
    <n v="39428"/>
    <x v="2"/>
    <n v="8.2899999999999988E-2"/>
    <x v="5"/>
    <s v="Owned"/>
    <n v="17"/>
    <n v="1"/>
    <s v="Yes"/>
    <s v="No"/>
    <x v="0"/>
    <n v="140559"/>
    <x v="1676"/>
    <x v="38"/>
    <x v="1112"/>
    <x v="0"/>
    <x v="0"/>
    <x v="2"/>
  </r>
  <r>
    <x v="1689"/>
    <s v="James Franklin"/>
    <x v="42"/>
    <x v="0"/>
    <x v="3"/>
    <s v="PhD"/>
    <x v="1"/>
    <n v="148588"/>
    <n v="384"/>
    <n v="3921"/>
    <x v="0"/>
    <n v="0.13189999999999999"/>
    <x v="3"/>
    <s v="Rented"/>
    <n v="2"/>
    <n v="3"/>
    <s v="Yes"/>
    <s v="No"/>
    <x v="0"/>
    <n v="189958"/>
    <x v="1677"/>
    <x v="25"/>
    <x v="920"/>
    <x v="1"/>
    <x v="1"/>
    <x v="2"/>
  </r>
  <r>
    <x v="1690"/>
    <s v="Christina Montgomery"/>
    <x v="4"/>
    <x v="1"/>
    <x v="2"/>
    <s v="Graduate"/>
    <x v="1"/>
    <n v="20132"/>
    <n v="384"/>
    <n v="25537"/>
    <x v="0"/>
    <n v="0.1898"/>
    <x v="1"/>
    <s v="Mortgaged"/>
    <n v="26"/>
    <n v="2"/>
    <s v="Yes"/>
    <s v="No"/>
    <x v="3"/>
    <n v="135157"/>
    <x v="1678"/>
    <x v="27"/>
    <x v="1113"/>
    <x v="0"/>
    <x v="0"/>
    <x v="2"/>
  </r>
  <r>
    <x v="1691"/>
    <s v="Jennifer Davis"/>
    <x v="6"/>
    <x v="0"/>
    <x v="3"/>
    <s v="PhD"/>
    <x v="0"/>
    <n v="55187"/>
    <n v="383"/>
    <n v="4196"/>
    <x v="1"/>
    <n v="0.17629999999999998"/>
    <x v="3"/>
    <s v="Owned"/>
    <n v="21"/>
    <n v="4"/>
    <s v="Yes"/>
    <s v="Yes"/>
    <x v="4"/>
    <n v="11179"/>
    <x v="1679"/>
    <x v="71"/>
    <x v="531"/>
    <x v="1"/>
    <x v="0"/>
    <x v="2"/>
  </r>
  <r>
    <x v="1692"/>
    <s v="Danielle Griffin"/>
    <x v="39"/>
    <x v="1"/>
    <x v="0"/>
    <s v="Postgraduate"/>
    <x v="1"/>
    <n v="60733"/>
    <n v="383"/>
    <n v="36814"/>
    <x v="4"/>
    <n v="0.16889999999999999"/>
    <x v="2"/>
    <s v="Rented"/>
    <n v="21"/>
    <n v="2"/>
    <s v="Yes"/>
    <s v="No"/>
    <x v="1"/>
    <n v="149642"/>
    <x v="1680"/>
    <x v="25"/>
    <x v="1114"/>
    <x v="0"/>
    <x v="1"/>
    <x v="2"/>
  </r>
  <r>
    <x v="1693"/>
    <s v="Alexis Mullins"/>
    <x v="23"/>
    <x v="1"/>
    <x v="0"/>
    <s v="Graduate"/>
    <x v="0"/>
    <n v="40625"/>
    <n v="383"/>
    <n v="26772"/>
    <x v="1"/>
    <n v="0.155"/>
    <x v="2"/>
    <s v="Mortgaged"/>
    <n v="15"/>
    <n v="3"/>
    <s v="Yes"/>
    <s v="Yes"/>
    <x v="3"/>
    <n v="141376"/>
    <x v="1681"/>
    <x v="25"/>
    <x v="1115"/>
    <x v="1"/>
    <x v="0"/>
    <x v="2"/>
  </r>
  <r>
    <x v="1694"/>
    <s v="Kimberly Sanchez"/>
    <x v="11"/>
    <x v="1"/>
    <x v="2"/>
    <s v="Graduate"/>
    <x v="1"/>
    <n v="72066"/>
    <n v="383"/>
    <n v="39413"/>
    <x v="4"/>
    <n v="0.18859999999999999"/>
    <x v="0"/>
    <s v="Mortgaged"/>
    <n v="19"/>
    <n v="1"/>
    <s v="Yes"/>
    <s v="No"/>
    <x v="1"/>
    <n v="1459"/>
    <x v="1682"/>
    <x v="60"/>
    <x v="1116"/>
    <x v="1"/>
    <x v="0"/>
    <x v="2"/>
  </r>
  <r>
    <x v="1695"/>
    <s v="Jason Reyes"/>
    <x v="0"/>
    <x v="1"/>
    <x v="2"/>
    <s v="Graduate"/>
    <x v="0"/>
    <n v="31110"/>
    <n v="382"/>
    <n v="46530"/>
    <x v="0"/>
    <n v="0.16020000000000001"/>
    <x v="2"/>
    <s v="Rented"/>
    <n v="1"/>
    <n v="0"/>
    <s v="Yes"/>
    <s v="No"/>
    <x v="0"/>
    <n v="64397"/>
    <x v="1683"/>
    <x v="36"/>
    <x v="1090"/>
    <x v="0"/>
    <x v="0"/>
    <x v="2"/>
  </r>
  <r>
    <x v="1696"/>
    <s v="Allison Bailey"/>
    <x v="41"/>
    <x v="1"/>
    <x v="1"/>
    <s v="Postgraduate"/>
    <x v="2"/>
    <n v="37194"/>
    <n v="382"/>
    <n v="10243"/>
    <x v="4"/>
    <n v="8.7899999999999992E-2"/>
    <x v="5"/>
    <s v="Mortgaged"/>
    <n v="28"/>
    <n v="0"/>
    <s v="Yes"/>
    <s v="Yes"/>
    <x v="0"/>
    <n v="69191"/>
    <x v="1684"/>
    <x v="15"/>
    <x v="1117"/>
    <x v="1"/>
    <x v="0"/>
    <x v="2"/>
  </r>
  <r>
    <x v="1697"/>
    <s v="Lisa Smith"/>
    <x v="0"/>
    <x v="1"/>
    <x v="2"/>
    <s v="Postgraduate"/>
    <x v="0"/>
    <n v="88906"/>
    <n v="382"/>
    <n v="40255"/>
    <x v="3"/>
    <n v="0.13819999999999999"/>
    <x v="2"/>
    <s v="Owned"/>
    <n v="10"/>
    <n v="3"/>
    <s v="No"/>
    <s v="No"/>
    <x v="3"/>
    <n v="20598"/>
    <x v="1685"/>
    <x v="64"/>
    <x v="1118"/>
    <x v="0"/>
    <x v="1"/>
    <x v="2"/>
  </r>
  <r>
    <x v="1698"/>
    <s v="Craig Miller"/>
    <x v="15"/>
    <x v="1"/>
    <x v="2"/>
    <s v="Postgraduate"/>
    <x v="0"/>
    <n v="24042"/>
    <n v="381"/>
    <n v="46516"/>
    <x v="3"/>
    <n v="7.8200000000000006E-2"/>
    <x v="4"/>
    <s v="Rented"/>
    <n v="9"/>
    <n v="0"/>
    <s v="No"/>
    <s v="No"/>
    <x v="0"/>
    <n v="71352"/>
    <x v="1686"/>
    <x v="2"/>
    <x v="1119"/>
    <x v="1"/>
    <x v="0"/>
    <x v="2"/>
  </r>
  <r>
    <x v="1699"/>
    <s v="Patrick Marshall"/>
    <x v="27"/>
    <x v="0"/>
    <x v="1"/>
    <s v="Graduate"/>
    <x v="3"/>
    <n v="50766"/>
    <n v="381"/>
    <n v="28268"/>
    <x v="0"/>
    <n v="0.1542"/>
    <x v="0"/>
    <s v="Owned"/>
    <n v="4"/>
    <n v="3"/>
    <s v="No"/>
    <s v="Yes"/>
    <x v="1"/>
    <n v="137715"/>
    <x v="1687"/>
    <x v="87"/>
    <x v="505"/>
    <x v="0"/>
    <x v="0"/>
    <x v="2"/>
  </r>
  <r>
    <x v="1700"/>
    <s v="Tracy Smith"/>
    <x v="15"/>
    <x v="1"/>
    <x v="3"/>
    <s v="Graduate"/>
    <x v="2"/>
    <n v="29479"/>
    <n v="381"/>
    <n v="16619"/>
    <x v="1"/>
    <n v="0.1137"/>
    <x v="4"/>
    <s v="Owned"/>
    <n v="16"/>
    <n v="2"/>
    <s v="Yes"/>
    <s v="Yes"/>
    <x v="4"/>
    <n v="86951"/>
    <x v="1688"/>
    <x v="12"/>
    <x v="1120"/>
    <x v="0"/>
    <x v="0"/>
    <x v="2"/>
  </r>
  <r>
    <x v="1701"/>
    <s v="James King"/>
    <x v="9"/>
    <x v="0"/>
    <x v="1"/>
    <s v="Graduate"/>
    <x v="2"/>
    <n v="132113"/>
    <n v="381"/>
    <n v="30529"/>
    <x v="1"/>
    <n v="0.16870000000000002"/>
    <x v="5"/>
    <s v="Rented"/>
    <n v="2"/>
    <n v="3"/>
    <s v="Yes"/>
    <s v="No"/>
    <x v="4"/>
    <n v="104426"/>
    <x v="1689"/>
    <x v="51"/>
    <x v="1121"/>
    <x v="1"/>
    <x v="0"/>
    <x v="2"/>
  </r>
  <r>
    <x v="1702"/>
    <s v="Michael Clements"/>
    <x v="12"/>
    <x v="1"/>
    <x v="0"/>
    <s v="High School"/>
    <x v="1"/>
    <n v="111271"/>
    <n v="381"/>
    <n v="27398"/>
    <x v="1"/>
    <n v="0.19399999999999998"/>
    <x v="1"/>
    <s v="Mortgaged"/>
    <n v="27"/>
    <n v="1"/>
    <s v="No"/>
    <s v="Yes"/>
    <x v="1"/>
    <n v="154251"/>
    <x v="1690"/>
    <x v="50"/>
    <x v="1108"/>
    <x v="1"/>
    <x v="0"/>
    <x v="2"/>
  </r>
  <r>
    <x v="1703"/>
    <s v="Ariel Garcia"/>
    <x v="6"/>
    <x v="1"/>
    <x v="2"/>
    <s v="Graduate"/>
    <x v="1"/>
    <n v="129198"/>
    <n v="380"/>
    <n v="23578"/>
    <x v="1"/>
    <n v="0.11460000000000001"/>
    <x v="3"/>
    <s v="Rented"/>
    <n v="6"/>
    <n v="4"/>
    <s v="No"/>
    <s v="Yes"/>
    <x v="2"/>
    <n v="109756"/>
    <x v="1691"/>
    <x v="74"/>
    <x v="975"/>
    <x v="1"/>
    <x v="1"/>
    <x v="2"/>
  </r>
  <r>
    <x v="1704"/>
    <s v="Rebecca Fisher"/>
    <x v="17"/>
    <x v="1"/>
    <x v="3"/>
    <s v="PhD"/>
    <x v="0"/>
    <n v="29336"/>
    <n v="380"/>
    <n v="39311"/>
    <x v="3"/>
    <n v="0.1666"/>
    <x v="5"/>
    <s v="Owned"/>
    <n v="11"/>
    <n v="3"/>
    <s v="Yes"/>
    <s v="Yes"/>
    <x v="4"/>
    <n v="182308"/>
    <x v="1692"/>
    <x v="62"/>
    <x v="1122"/>
    <x v="1"/>
    <x v="1"/>
    <x v="2"/>
  </r>
  <r>
    <x v="1705"/>
    <s v="Matthew Mays"/>
    <x v="31"/>
    <x v="0"/>
    <x v="2"/>
    <s v="PhD"/>
    <x v="1"/>
    <n v="88104"/>
    <n v="380"/>
    <n v="43964"/>
    <x v="2"/>
    <n v="0.11380000000000001"/>
    <x v="5"/>
    <s v="Owned"/>
    <n v="21"/>
    <n v="0"/>
    <s v="Yes"/>
    <s v="No"/>
    <x v="4"/>
    <n v="81059"/>
    <x v="1693"/>
    <x v="49"/>
    <x v="261"/>
    <x v="1"/>
    <x v="0"/>
    <x v="2"/>
  </r>
  <r>
    <x v="1706"/>
    <s v="Jacqueline Mcclain"/>
    <x v="41"/>
    <x v="1"/>
    <x v="1"/>
    <s v="Graduate"/>
    <x v="3"/>
    <n v="81245"/>
    <n v="380"/>
    <n v="2848"/>
    <x v="4"/>
    <n v="0.18820000000000001"/>
    <x v="4"/>
    <s v="Mortgaged"/>
    <n v="8"/>
    <n v="1"/>
    <s v="Yes"/>
    <s v="No"/>
    <x v="4"/>
    <n v="78723"/>
    <x v="1694"/>
    <x v="40"/>
    <x v="755"/>
    <x v="1"/>
    <x v="1"/>
    <x v="2"/>
  </r>
  <r>
    <x v="1707"/>
    <s v="Jose Martinez"/>
    <x v="28"/>
    <x v="0"/>
    <x v="2"/>
    <s v="High School"/>
    <x v="3"/>
    <n v="140871"/>
    <n v="379"/>
    <n v="3347"/>
    <x v="1"/>
    <n v="0.12330000000000001"/>
    <x v="4"/>
    <s v="Owned"/>
    <n v="6"/>
    <n v="0"/>
    <s v="Yes"/>
    <s v="Yes"/>
    <x v="2"/>
    <n v="39644"/>
    <x v="1695"/>
    <x v="74"/>
    <x v="561"/>
    <x v="1"/>
    <x v="0"/>
    <x v="2"/>
  </r>
  <r>
    <x v="1708"/>
    <s v="Michael Moody"/>
    <x v="28"/>
    <x v="0"/>
    <x v="1"/>
    <s v="Postgraduate"/>
    <x v="2"/>
    <n v="87906"/>
    <n v="379"/>
    <n v="41308"/>
    <x v="3"/>
    <n v="9.4899999999999998E-2"/>
    <x v="0"/>
    <s v="Rented"/>
    <n v="10"/>
    <n v="4"/>
    <s v="No"/>
    <s v="No"/>
    <x v="0"/>
    <n v="107878"/>
    <x v="1696"/>
    <x v="83"/>
    <x v="1123"/>
    <x v="1"/>
    <x v="0"/>
    <x v="2"/>
  </r>
  <r>
    <x v="1709"/>
    <s v="Katrina Wise"/>
    <x v="3"/>
    <x v="0"/>
    <x v="2"/>
    <s v="Postgraduate"/>
    <x v="2"/>
    <n v="31560"/>
    <n v="379"/>
    <n v="24246"/>
    <x v="3"/>
    <n v="0.14699999999999999"/>
    <x v="5"/>
    <s v="Rented"/>
    <n v="9"/>
    <n v="3"/>
    <s v="Yes"/>
    <s v="Yes"/>
    <x v="4"/>
    <n v="78437"/>
    <x v="1161"/>
    <x v="69"/>
    <x v="1124"/>
    <x v="1"/>
    <x v="0"/>
    <x v="2"/>
  </r>
  <r>
    <x v="1710"/>
    <s v="Robin Davis"/>
    <x v="15"/>
    <x v="1"/>
    <x v="2"/>
    <s v="Graduate"/>
    <x v="2"/>
    <n v="101218"/>
    <n v="379"/>
    <n v="43816"/>
    <x v="1"/>
    <n v="0.1482"/>
    <x v="5"/>
    <s v="Rented"/>
    <n v="26"/>
    <n v="3"/>
    <s v="Yes"/>
    <s v="Yes"/>
    <x v="1"/>
    <n v="95009"/>
    <x v="1697"/>
    <x v="68"/>
    <x v="290"/>
    <x v="1"/>
    <x v="0"/>
    <x v="2"/>
  </r>
  <r>
    <x v="1711"/>
    <s v="Brian Johnson"/>
    <x v="31"/>
    <x v="0"/>
    <x v="2"/>
    <s v="High School"/>
    <x v="2"/>
    <n v="107362"/>
    <n v="379"/>
    <n v="21599"/>
    <x v="2"/>
    <n v="7.6799999999999993E-2"/>
    <x v="1"/>
    <s v="Rented"/>
    <n v="22"/>
    <n v="4"/>
    <s v="No"/>
    <s v="No"/>
    <x v="0"/>
    <n v="105849"/>
    <x v="1698"/>
    <x v="67"/>
    <x v="1125"/>
    <x v="0"/>
    <x v="0"/>
    <x v="2"/>
  </r>
  <r>
    <x v="1712"/>
    <s v="Ricardo Figueroa"/>
    <x v="29"/>
    <x v="0"/>
    <x v="0"/>
    <s v="Postgraduate"/>
    <x v="2"/>
    <n v="28789"/>
    <n v="379"/>
    <n v="18522"/>
    <x v="3"/>
    <n v="0.10039999999999999"/>
    <x v="2"/>
    <s v="Rented"/>
    <n v="29"/>
    <n v="4"/>
    <s v="No"/>
    <s v="Yes"/>
    <x v="2"/>
    <n v="83172"/>
    <x v="1699"/>
    <x v="8"/>
    <x v="1126"/>
    <x v="1"/>
    <x v="1"/>
    <x v="2"/>
  </r>
  <r>
    <x v="1713"/>
    <s v="Bradley Flores"/>
    <x v="31"/>
    <x v="1"/>
    <x v="1"/>
    <s v="High School"/>
    <x v="1"/>
    <n v="70311"/>
    <n v="379"/>
    <n v="49228"/>
    <x v="2"/>
    <n v="0.10349999999999999"/>
    <x v="3"/>
    <s v="Rented"/>
    <n v="12"/>
    <n v="2"/>
    <s v="No"/>
    <s v="Yes"/>
    <x v="0"/>
    <n v="187888"/>
    <x v="1700"/>
    <x v="63"/>
    <x v="1127"/>
    <x v="1"/>
    <x v="1"/>
    <x v="2"/>
  </r>
  <r>
    <x v="1714"/>
    <s v="Michelle Morgan"/>
    <x v="31"/>
    <x v="0"/>
    <x v="0"/>
    <s v="Postgraduate"/>
    <x v="0"/>
    <n v="29589"/>
    <n v="378"/>
    <n v="48800"/>
    <x v="1"/>
    <n v="0.16750000000000001"/>
    <x v="4"/>
    <s v="Owned"/>
    <n v="23"/>
    <n v="2"/>
    <s v="No"/>
    <s v="No"/>
    <x v="1"/>
    <n v="183552"/>
    <x v="1701"/>
    <x v="90"/>
    <x v="972"/>
    <x v="0"/>
    <x v="0"/>
    <x v="2"/>
  </r>
  <r>
    <x v="1715"/>
    <s v="Joshua Eaton"/>
    <x v="26"/>
    <x v="0"/>
    <x v="1"/>
    <s v="Postgraduate"/>
    <x v="2"/>
    <n v="23385"/>
    <n v="378"/>
    <n v="22518"/>
    <x v="0"/>
    <n v="0.1067"/>
    <x v="5"/>
    <s v="Mortgaged"/>
    <n v="18"/>
    <n v="3"/>
    <s v="No"/>
    <s v="No"/>
    <x v="4"/>
    <n v="189189"/>
    <x v="1702"/>
    <x v="58"/>
    <x v="240"/>
    <x v="1"/>
    <x v="0"/>
    <x v="2"/>
  </r>
  <r>
    <x v="1716"/>
    <s v="Michael Warner"/>
    <x v="24"/>
    <x v="0"/>
    <x v="0"/>
    <s v="Postgraduate"/>
    <x v="0"/>
    <n v="63169"/>
    <n v="376"/>
    <n v="22957"/>
    <x v="1"/>
    <n v="6.1900000000000004E-2"/>
    <x v="5"/>
    <s v="Owned"/>
    <n v="3"/>
    <n v="4"/>
    <s v="No"/>
    <s v="Yes"/>
    <x v="3"/>
    <n v="22951"/>
    <x v="1703"/>
    <x v="11"/>
    <x v="1128"/>
    <x v="1"/>
    <x v="1"/>
    <x v="2"/>
  </r>
  <r>
    <x v="1717"/>
    <s v="Nathan Chen"/>
    <x v="9"/>
    <x v="0"/>
    <x v="1"/>
    <s v="Graduate"/>
    <x v="1"/>
    <n v="32191"/>
    <n v="376"/>
    <n v="7877"/>
    <x v="0"/>
    <n v="0.129"/>
    <x v="4"/>
    <s v="Rented"/>
    <n v="27"/>
    <n v="1"/>
    <s v="Yes"/>
    <s v="No"/>
    <x v="3"/>
    <n v="26104"/>
    <x v="1704"/>
    <x v="32"/>
    <x v="1129"/>
    <x v="0"/>
    <x v="0"/>
    <x v="2"/>
  </r>
  <r>
    <x v="1718"/>
    <s v="Amber Fernandez"/>
    <x v="37"/>
    <x v="1"/>
    <x v="0"/>
    <s v="High School"/>
    <x v="1"/>
    <n v="70975"/>
    <n v="376"/>
    <n v="35875"/>
    <x v="0"/>
    <n v="0.19030000000000002"/>
    <x v="5"/>
    <s v="Rented"/>
    <n v="5"/>
    <n v="0"/>
    <s v="No"/>
    <s v="No"/>
    <x v="3"/>
    <n v="126142"/>
    <x v="1705"/>
    <x v="59"/>
    <x v="1130"/>
    <x v="0"/>
    <x v="0"/>
    <x v="2"/>
  </r>
  <r>
    <x v="1719"/>
    <s v="Angelica Nichols"/>
    <x v="23"/>
    <x v="0"/>
    <x v="1"/>
    <s v="PhD"/>
    <x v="3"/>
    <n v="25147"/>
    <n v="376"/>
    <n v="45513"/>
    <x v="0"/>
    <n v="0.1048"/>
    <x v="5"/>
    <s v="Owned"/>
    <n v="9"/>
    <n v="1"/>
    <s v="Yes"/>
    <s v="Yes"/>
    <x v="0"/>
    <n v="160930"/>
    <x v="1706"/>
    <x v="25"/>
    <x v="1125"/>
    <x v="1"/>
    <x v="0"/>
    <x v="2"/>
  </r>
  <r>
    <x v="1720"/>
    <s v="Susan Cook"/>
    <x v="37"/>
    <x v="1"/>
    <x v="3"/>
    <s v="Graduate"/>
    <x v="1"/>
    <n v="109402"/>
    <n v="376"/>
    <n v="34649"/>
    <x v="3"/>
    <n v="0.18109999999999998"/>
    <x v="2"/>
    <s v="Mortgaged"/>
    <n v="5"/>
    <n v="3"/>
    <s v="No"/>
    <s v="Yes"/>
    <x v="0"/>
    <n v="191195"/>
    <x v="1707"/>
    <x v="46"/>
    <x v="987"/>
    <x v="0"/>
    <x v="0"/>
    <x v="2"/>
  </r>
  <r>
    <x v="1721"/>
    <s v="Meagan Martinez"/>
    <x v="27"/>
    <x v="0"/>
    <x v="0"/>
    <s v="PhD"/>
    <x v="1"/>
    <n v="64140"/>
    <n v="376"/>
    <n v="25187"/>
    <x v="4"/>
    <n v="0.13439999999999999"/>
    <x v="5"/>
    <s v="Rented"/>
    <n v="22"/>
    <n v="0"/>
    <s v="Yes"/>
    <s v="No"/>
    <x v="1"/>
    <n v="61196"/>
    <x v="1708"/>
    <x v="55"/>
    <x v="1077"/>
    <x v="1"/>
    <x v="1"/>
    <x v="2"/>
  </r>
  <r>
    <x v="1722"/>
    <s v="Courtney Reid"/>
    <x v="23"/>
    <x v="0"/>
    <x v="0"/>
    <s v="PhD"/>
    <x v="2"/>
    <n v="131850"/>
    <n v="376"/>
    <n v="31279"/>
    <x v="4"/>
    <n v="0.1258"/>
    <x v="2"/>
    <s v="Rented"/>
    <n v="10"/>
    <n v="3"/>
    <s v="No"/>
    <s v="No"/>
    <x v="2"/>
    <n v="144752"/>
    <x v="1709"/>
    <x v="55"/>
    <x v="996"/>
    <x v="0"/>
    <x v="0"/>
    <x v="2"/>
  </r>
  <r>
    <x v="1723"/>
    <s v="Darlene Weeks"/>
    <x v="39"/>
    <x v="1"/>
    <x v="3"/>
    <s v="Postgraduate"/>
    <x v="1"/>
    <n v="102315"/>
    <n v="376"/>
    <n v="19704"/>
    <x v="4"/>
    <n v="0.1226"/>
    <x v="0"/>
    <s v="Mortgaged"/>
    <n v="26"/>
    <n v="0"/>
    <s v="Yes"/>
    <s v="Yes"/>
    <x v="3"/>
    <n v="76266"/>
    <x v="1710"/>
    <x v="48"/>
    <x v="481"/>
    <x v="1"/>
    <x v="1"/>
    <x v="2"/>
  </r>
  <r>
    <x v="1724"/>
    <s v="Joe Gonzalez"/>
    <x v="40"/>
    <x v="0"/>
    <x v="3"/>
    <s v="High School"/>
    <x v="2"/>
    <n v="89795"/>
    <n v="376"/>
    <n v="24940"/>
    <x v="4"/>
    <n v="0.18239999999999998"/>
    <x v="0"/>
    <s v="Rented"/>
    <n v="20"/>
    <n v="4"/>
    <s v="Yes"/>
    <s v="No"/>
    <x v="3"/>
    <n v="60424"/>
    <x v="1711"/>
    <x v="70"/>
    <x v="1131"/>
    <x v="0"/>
    <x v="0"/>
    <x v="2"/>
  </r>
  <r>
    <x v="1725"/>
    <s v="Steven Martin"/>
    <x v="35"/>
    <x v="1"/>
    <x v="0"/>
    <s v="PhD"/>
    <x v="2"/>
    <n v="33201"/>
    <n v="376"/>
    <n v="5478"/>
    <x v="0"/>
    <n v="0.17859999999999998"/>
    <x v="1"/>
    <s v="Mortgaged"/>
    <n v="6"/>
    <n v="3"/>
    <s v="No"/>
    <s v="Yes"/>
    <x v="1"/>
    <n v="192518"/>
    <x v="1712"/>
    <x v="59"/>
    <x v="1132"/>
    <x v="0"/>
    <x v="0"/>
    <x v="2"/>
  </r>
  <r>
    <x v="1726"/>
    <s v="Jessica Hayes"/>
    <x v="5"/>
    <x v="0"/>
    <x v="0"/>
    <s v="PhD"/>
    <x v="1"/>
    <n v="96230"/>
    <n v="375"/>
    <n v="7229"/>
    <x v="3"/>
    <n v="0.114"/>
    <x v="2"/>
    <s v="Mortgaged"/>
    <n v="2"/>
    <n v="2"/>
    <s v="Yes"/>
    <s v="No"/>
    <x v="0"/>
    <n v="32252"/>
    <x v="1713"/>
    <x v="81"/>
    <x v="439"/>
    <x v="1"/>
    <x v="0"/>
    <x v="2"/>
  </r>
  <r>
    <x v="1727"/>
    <s v="Dustin Meyers"/>
    <x v="1"/>
    <x v="1"/>
    <x v="2"/>
    <s v="PhD"/>
    <x v="2"/>
    <n v="64328"/>
    <n v="375"/>
    <n v="39191"/>
    <x v="1"/>
    <n v="9.849999999999999E-2"/>
    <x v="2"/>
    <s v="Rented"/>
    <n v="18"/>
    <n v="2"/>
    <s v="No"/>
    <s v="No"/>
    <x v="0"/>
    <n v="79364"/>
    <x v="1714"/>
    <x v="51"/>
    <x v="141"/>
    <x v="0"/>
    <x v="0"/>
    <x v="2"/>
  </r>
  <r>
    <x v="1728"/>
    <s v="Frederick Murphy"/>
    <x v="17"/>
    <x v="1"/>
    <x v="1"/>
    <s v="Graduate"/>
    <x v="0"/>
    <n v="147253"/>
    <n v="375"/>
    <n v="48904"/>
    <x v="3"/>
    <n v="0.11560000000000001"/>
    <x v="2"/>
    <s v="Owned"/>
    <n v="26"/>
    <n v="1"/>
    <s v="Yes"/>
    <s v="No"/>
    <x v="3"/>
    <n v="128391"/>
    <x v="1715"/>
    <x v="24"/>
    <x v="766"/>
    <x v="0"/>
    <x v="0"/>
    <x v="2"/>
  </r>
  <r>
    <x v="1729"/>
    <s v="Rebecca Oliver MD"/>
    <x v="40"/>
    <x v="1"/>
    <x v="1"/>
    <s v="High School"/>
    <x v="0"/>
    <n v="145777"/>
    <n v="375"/>
    <n v="11681"/>
    <x v="3"/>
    <n v="0.11449999999999999"/>
    <x v="4"/>
    <s v="Rented"/>
    <n v="17"/>
    <n v="1"/>
    <s v="No"/>
    <s v="Yes"/>
    <x v="2"/>
    <n v="64379"/>
    <x v="1716"/>
    <x v="84"/>
    <x v="1133"/>
    <x v="0"/>
    <x v="0"/>
    <x v="2"/>
  </r>
  <r>
    <x v="1730"/>
    <s v="Connie Hill"/>
    <x v="15"/>
    <x v="0"/>
    <x v="2"/>
    <s v="PhD"/>
    <x v="2"/>
    <n v="143402"/>
    <n v="374"/>
    <n v="27754"/>
    <x v="4"/>
    <n v="0.1371"/>
    <x v="1"/>
    <s v="Rented"/>
    <n v="28"/>
    <n v="2"/>
    <s v="Yes"/>
    <s v="Yes"/>
    <x v="3"/>
    <n v="86856"/>
    <x v="1717"/>
    <x v="65"/>
    <x v="1134"/>
    <x v="0"/>
    <x v="1"/>
    <x v="2"/>
  </r>
  <r>
    <x v="1731"/>
    <s v="Norman Davis"/>
    <x v="22"/>
    <x v="0"/>
    <x v="1"/>
    <s v="Postgraduate"/>
    <x v="2"/>
    <n v="32224"/>
    <n v="374"/>
    <n v="44481"/>
    <x v="3"/>
    <n v="0.184"/>
    <x v="4"/>
    <s v="Owned"/>
    <n v="4"/>
    <n v="2"/>
    <s v="No"/>
    <s v="No"/>
    <x v="3"/>
    <n v="49572"/>
    <x v="1718"/>
    <x v="13"/>
    <x v="0"/>
    <x v="0"/>
    <x v="0"/>
    <x v="2"/>
  </r>
  <r>
    <x v="1732"/>
    <s v="Shawn Miles"/>
    <x v="23"/>
    <x v="1"/>
    <x v="3"/>
    <s v="High School"/>
    <x v="0"/>
    <n v="78759"/>
    <n v="374"/>
    <n v="12183"/>
    <x v="0"/>
    <n v="0.15579999999999999"/>
    <x v="4"/>
    <s v="Owned"/>
    <n v="16"/>
    <n v="3"/>
    <s v="Yes"/>
    <s v="Yes"/>
    <x v="1"/>
    <n v="171674"/>
    <x v="1719"/>
    <x v="26"/>
    <x v="524"/>
    <x v="0"/>
    <x v="0"/>
    <x v="2"/>
  </r>
  <r>
    <x v="1733"/>
    <s v="Jeffery Pratt"/>
    <x v="6"/>
    <x v="1"/>
    <x v="0"/>
    <s v="Postgraduate"/>
    <x v="0"/>
    <n v="77804"/>
    <n v="373"/>
    <n v="1582"/>
    <x v="3"/>
    <n v="0.13109999999999999"/>
    <x v="2"/>
    <s v="Owned"/>
    <n v="25"/>
    <n v="0"/>
    <s v="Yes"/>
    <s v="Yes"/>
    <x v="0"/>
    <n v="53826"/>
    <x v="1720"/>
    <x v="43"/>
    <x v="78"/>
    <x v="0"/>
    <x v="1"/>
    <x v="2"/>
  </r>
  <r>
    <x v="1734"/>
    <s v="Stacy Tanner"/>
    <x v="43"/>
    <x v="1"/>
    <x v="0"/>
    <s v="PhD"/>
    <x v="0"/>
    <n v="54160"/>
    <n v="373"/>
    <n v="25918"/>
    <x v="4"/>
    <n v="0.1948"/>
    <x v="3"/>
    <s v="Rented"/>
    <n v="12"/>
    <n v="3"/>
    <s v="No"/>
    <s v="Yes"/>
    <x v="0"/>
    <n v="119726"/>
    <x v="1721"/>
    <x v="65"/>
    <x v="1135"/>
    <x v="0"/>
    <x v="0"/>
    <x v="2"/>
  </r>
  <r>
    <x v="1735"/>
    <s v="Jaime Scott"/>
    <x v="26"/>
    <x v="1"/>
    <x v="1"/>
    <s v="PhD"/>
    <x v="0"/>
    <n v="52888"/>
    <n v="373"/>
    <n v="28467"/>
    <x v="3"/>
    <n v="0.16870000000000002"/>
    <x v="4"/>
    <s v="Owned"/>
    <n v="8"/>
    <n v="3"/>
    <s v="Yes"/>
    <s v="Yes"/>
    <x v="3"/>
    <n v="158795"/>
    <x v="1722"/>
    <x v="20"/>
    <x v="1136"/>
    <x v="1"/>
    <x v="0"/>
    <x v="2"/>
  </r>
  <r>
    <x v="1736"/>
    <s v="Matthew Frey"/>
    <x v="5"/>
    <x v="1"/>
    <x v="2"/>
    <s v="Postgraduate"/>
    <x v="1"/>
    <n v="90404"/>
    <n v="373"/>
    <n v="15434"/>
    <x v="1"/>
    <n v="0.15359999999999999"/>
    <x v="0"/>
    <s v="Mortgaged"/>
    <n v="16"/>
    <n v="3"/>
    <s v="No"/>
    <s v="Yes"/>
    <x v="4"/>
    <n v="74158"/>
    <x v="1723"/>
    <x v="58"/>
    <x v="1137"/>
    <x v="0"/>
    <x v="0"/>
    <x v="2"/>
  </r>
  <r>
    <x v="1737"/>
    <s v="Angela Jackson"/>
    <x v="10"/>
    <x v="1"/>
    <x v="0"/>
    <s v="Graduate"/>
    <x v="3"/>
    <n v="98858"/>
    <n v="373"/>
    <n v="23187"/>
    <x v="4"/>
    <n v="0.126"/>
    <x v="5"/>
    <s v="Rented"/>
    <n v="23"/>
    <n v="0"/>
    <s v="Yes"/>
    <s v="Yes"/>
    <x v="2"/>
    <n v="63942"/>
    <x v="1724"/>
    <x v="14"/>
    <x v="994"/>
    <x v="1"/>
    <x v="0"/>
    <x v="2"/>
  </r>
  <r>
    <x v="1738"/>
    <s v="Dwayne James"/>
    <x v="18"/>
    <x v="1"/>
    <x v="0"/>
    <s v="Postgraduate"/>
    <x v="0"/>
    <n v="42912"/>
    <n v="373"/>
    <n v="26538"/>
    <x v="0"/>
    <n v="8.8000000000000009E-2"/>
    <x v="3"/>
    <s v="Rented"/>
    <n v="20"/>
    <n v="1"/>
    <s v="Yes"/>
    <s v="No"/>
    <x v="3"/>
    <n v="112189"/>
    <x v="1725"/>
    <x v="80"/>
    <x v="841"/>
    <x v="1"/>
    <x v="0"/>
    <x v="2"/>
  </r>
  <r>
    <x v="1739"/>
    <s v="Dennis Perry"/>
    <x v="37"/>
    <x v="1"/>
    <x v="2"/>
    <s v="High School"/>
    <x v="2"/>
    <n v="33288"/>
    <n v="372"/>
    <n v="2626"/>
    <x v="4"/>
    <n v="0.1424"/>
    <x v="4"/>
    <s v="Mortgaged"/>
    <n v="22"/>
    <n v="4"/>
    <s v="Yes"/>
    <s v="No"/>
    <x v="4"/>
    <n v="153746"/>
    <x v="1726"/>
    <x v="16"/>
    <x v="1138"/>
    <x v="0"/>
    <x v="0"/>
    <x v="2"/>
  </r>
  <r>
    <x v="1740"/>
    <s v="Colin Baird"/>
    <x v="18"/>
    <x v="0"/>
    <x v="0"/>
    <s v="Graduate"/>
    <x v="0"/>
    <n v="41301"/>
    <n v="372"/>
    <n v="27666"/>
    <x v="1"/>
    <n v="0.1341"/>
    <x v="5"/>
    <s v="Mortgaged"/>
    <n v="18"/>
    <n v="1"/>
    <s v="No"/>
    <s v="Yes"/>
    <x v="2"/>
    <n v="95490"/>
    <x v="1727"/>
    <x v="61"/>
    <x v="1139"/>
    <x v="0"/>
    <x v="0"/>
    <x v="2"/>
  </r>
  <r>
    <x v="1741"/>
    <s v="John Fitzgerald"/>
    <x v="17"/>
    <x v="0"/>
    <x v="1"/>
    <s v="Graduate"/>
    <x v="3"/>
    <n v="127092"/>
    <n v="372"/>
    <n v="44246"/>
    <x v="0"/>
    <n v="5.4299999999999994E-2"/>
    <x v="4"/>
    <s v="Owned"/>
    <n v="22"/>
    <n v="2"/>
    <s v="Yes"/>
    <s v="Yes"/>
    <x v="2"/>
    <n v="113547"/>
    <x v="1728"/>
    <x v="12"/>
    <x v="1140"/>
    <x v="1"/>
    <x v="0"/>
    <x v="2"/>
  </r>
  <r>
    <x v="1742"/>
    <s v="Joseph Moreno"/>
    <x v="10"/>
    <x v="1"/>
    <x v="2"/>
    <s v="PhD"/>
    <x v="2"/>
    <n v="58169"/>
    <n v="372"/>
    <n v="6624"/>
    <x v="4"/>
    <n v="0.11699999999999999"/>
    <x v="5"/>
    <s v="Rented"/>
    <n v="18"/>
    <n v="1"/>
    <s v="No"/>
    <s v="Yes"/>
    <x v="3"/>
    <n v="88465"/>
    <x v="1729"/>
    <x v="5"/>
    <x v="1141"/>
    <x v="0"/>
    <x v="1"/>
    <x v="2"/>
  </r>
  <r>
    <x v="1743"/>
    <s v="Ronald Singleton"/>
    <x v="12"/>
    <x v="0"/>
    <x v="0"/>
    <s v="Graduate"/>
    <x v="2"/>
    <n v="113144"/>
    <n v="371"/>
    <n v="12471"/>
    <x v="1"/>
    <n v="0.19800000000000001"/>
    <x v="1"/>
    <s v="Owned"/>
    <n v="9"/>
    <n v="0"/>
    <s v="No"/>
    <s v="No"/>
    <x v="1"/>
    <n v="145750"/>
    <x v="1730"/>
    <x v="17"/>
    <x v="1142"/>
    <x v="1"/>
    <x v="0"/>
    <x v="2"/>
  </r>
  <r>
    <x v="1744"/>
    <s v="Margaret Perry"/>
    <x v="20"/>
    <x v="0"/>
    <x v="1"/>
    <s v="Postgraduate"/>
    <x v="0"/>
    <n v="79557"/>
    <n v="371"/>
    <n v="7553"/>
    <x v="3"/>
    <n v="0.1193"/>
    <x v="2"/>
    <s v="Owned"/>
    <n v="21"/>
    <n v="0"/>
    <s v="Yes"/>
    <s v="Yes"/>
    <x v="2"/>
    <n v="24769"/>
    <x v="1731"/>
    <x v="59"/>
    <x v="516"/>
    <x v="1"/>
    <x v="1"/>
    <x v="2"/>
  </r>
  <r>
    <x v="1745"/>
    <s v="Larry Webb"/>
    <x v="26"/>
    <x v="1"/>
    <x v="1"/>
    <s v="High School"/>
    <x v="1"/>
    <n v="37393"/>
    <n v="371"/>
    <n v="14463"/>
    <x v="2"/>
    <n v="0.1182"/>
    <x v="5"/>
    <s v="Rented"/>
    <n v="4"/>
    <n v="3"/>
    <s v="Yes"/>
    <s v="Yes"/>
    <x v="4"/>
    <n v="97364"/>
    <x v="1732"/>
    <x v="52"/>
    <x v="3"/>
    <x v="1"/>
    <x v="0"/>
    <x v="2"/>
  </r>
  <r>
    <x v="1746"/>
    <s v="Kimberly Walker"/>
    <x v="26"/>
    <x v="0"/>
    <x v="1"/>
    <s v="Graduate"/>
    <x v="1"/>
    <n v="113831"/>
    <n v="371"/>
    <n v="6024"/>
    <x v="1"/>
    <n v="0.1085"/>
    <x v="4"/>
    <s v="Mortgaged"/>
    <n v="22"/>
    <n v="4"/>
    <s v="No"/>
    <s v="Yes"/>
    <x v="0"/>
    <n v="23968"/>
    <x v="1733"/>
    <x v="34"/>
    <x v="539"/>
    <x v="1"/>
    <x v="0"/>
    <x v="2"/>
  </r>
  <r>
    <x v="1747"/>
    <s v="George Wallace"/>
    <x v="6"/>
    <x v="1"/>
    <x v="3"/>
    <s v="Graduate"/>
    <x v="2"/>
    <n v="119270"/>
    <n v="371"/>
    <n v="14775"/>
    <x v="1"/>
    <n v="8.9399999999999993E-2"/>
    <x v="0"/>
    <s v="Mortgaged"/>
    <n v="1"/>
    <n v="1"/>
    <s v="No"/>
    <s v="No"/>
    <x v="2"/>
    <n v="19295"/>
    <x v="1734"/>
    <x v="50"/>
    <x v="330"/>
    <x v="1"/>
    <x v="0"/>
    <x v="2"/>
  </r>
  <r>
    <x v="1748"/>
    <s v="Eric Armstrong"/>
    <x v="14"/>
    <x v="0"/>
    <x v="3"/>
    <s v="High School"/>
    <x v="3"/>
    <n v="63601"/>
    <n v="371"/>
    <n v="39622"/>
    <x v="1"/>
    <n v="5.4800000000000001E-2"/>
    <x v="1"/>
    <s v="Rented"/>
    <n v="5"/>
    <n v="3"/>
    <s v="Yes"/>
    <s v="No"/>
    <x v="3"/>
    <n v="66326"/>
    <x v="1735"/>
    <x v="56"/>
    <x v="1143"/>
    <x v="1"/>
    <x v="0"/>
    <x v="2"/>
  </r>
  <r>
    <x v="1749"/>
    <s v="Tara Skinner PhD"/>
    <x v="36"/>
    <x v="1"/>
    <x v="3"/>
    <s v="Postgraduate"/>
    <x v="2"/>
    <n v="33303"/>
    <n v="370"/>
    <n v="39459"/>
    <x v="3"/>
    <n v="0.17980000000000002"/>
    <x v="1"/>
    <s v="Rented"/>
    <n v="8"/>
    <n v="2"/>
    <s v="Yes"/>
    <s v="Yes"/>
    <x v="2"/>
    <n v="192457"/>
    <x v="1736"/>
    <x v="53"/>
    <x v="1144"/>
    <x v="1"/>
    <x v="1"/>
    <x v="2"/>
  </r>
  <r>
    <x v="1750"/>
    <s v="Juan Edwards"/>
    <x v="35"/>
    <x v="0"/>
    <x v="1"/>
    <s v="PhD"/>
    <x v="0"/>
    <n v="24551"/>
    <n v="370"/>
    <n v="16954"/>
    <x v="1"/>
    <n v="7.5300000000000006E-2"/>
    <x v="5"/>
    <s v="Rented"/>
    <n v="19"/>
    <n v="0"/>
    <s v="No"/>
    <s v="No"/>
    <x v="2"/>
    <n v="189373"/>
    <x v="1737"/>
    <x v="84"/>
    <x v="1019"/>
    <x v="0"/>
    <x v="0"/>
    <x v="2"/>
  </r>
  <r>
    <x v="1751"/>
    <s v="Kyle Morgan"/>
    <x v="20"/>
    <x v="0"/>
    <x v="3"/>
    <s v="Postgraduate"/>
    <x v="1"/>
    <n v="79055"/>
    <n v="370"/>
    <n v="30989"/>
    <x v="4"/>
    <n v="0.19920000000000002"/>
    <x v="2"/>
    <s v="Rented"/>
    <n v="21"/>
    <n v="3"/>
    <s v="No"/>
    <s v="No"/>
    <x v="1"/>
    <n v="157189"/>
    <x v="1738"/>
    <x v="90"/>
    <x v="1145"/>
    <x v="1"/>
    <x v="0"/>
    <x v="2"/>
  </r>
  <r>
    <x v="1752"/>
    <s v="Christopher Johnson"/>
    <x v="15"/>
    <x v="1"/>
    <x v="2"/>
    <s v="PhD"/>
    <x v="0"/>
    <n v="25544"/>
    <n v="369"/>
    <n v="37303"/>
    <x v="0"/>
    <n v="0.14880000000000002"/>
    <x v="4"/>
    <s v="Owned"/>
    <n v="5"/>
    <n v="2"/>
    <s v="No"/>
    <s v="Yes"/>
    <x v="4"/>
    <n v="97883"/>
    <x v="1739"/>
    <x v="10"/>
    <x v="1064"/>
    <x v="1"/>
    <x v="0"/>
    <x v="2"/>
  </r>
  <r>
    <x v="1753"/>
    <s v="Matthew Jensen"/>
    <x v="3"/>
    <x v="1"/>
    <x v="3"/>
    <s v="PhD"/>
    <x v="0"/>
    <n v="120814"/>
    <n v="369"/>
    <n v="17740"/>
    <x v="0"/>
    <n v="0.14899999999999999"/>
    <x v="3"/>
    <s v="Mortgaged"/>
    <n v="6"/>
    <n v="4"/>
    <s v="Yes"/>
    <s v="No"/>
    <x v="1"/>
    <n v="148977"/>
    <x v="1740"/>
    <x v="84"/>
    <x v="855"/>
    <x v="1"/>
    <x v="1"/>
    <x v="2"/>
  </r>
  <r>
    <x v="1754"/>
    <s v="Sara Ewing"/>
    <x v="2"/>
    <x v="0"/>
    <x v="3"/>
    <s v="Postgraduate"/>
    <x v="0"/>
    <n v="61034"/>
    <n v="369"/>
    <n v="49307"/>
    <x v="2"/>
    <n v="0.14199999999999999"/>
    <x v="3"/>
    <s v="Owned"/>
    <n v="29"/>
    <n v="1"/>
    <s v="Yes"/>
    <s v="Yes"/>
    <x v="4"/>
    <n v="133874"/>
    <x v="1741"/>
    <x v="23"/>
    <x v="1146"/>
    <x v="0"/>
    <x v="0"/>
    <x v="2"/>
  </r>
  <r>
    <x v="1755"/>
    <s v="Luis Chandler"/>
    <x v="24"/>
    <x v="1"/>
    <x v="1"/>
    <s v="High School"/>
    <x v="3"/>
    <n v="22765"/>
    <n v="369"/>
    <n v="32813"/>
    <x v="2"/>
    <n v="0.1595"/>
    <x v="4"/>
    <s v="Owned"/>
    <n v="4"/>
    <n v="2"/>
    <s v="No"/>
    <s v="No"/>
    <x v="3"/>
    <n v="172057"/>
    <x v="1742"/>
    <x v="66"/>
    <x v="1147"/>
    <x v="0"/>
    <x v="0"/>
    <x v="2"/>
  </r>
  <r>
    <x v="1756"/>
    <s v="Amy Brown"/>
    <x v="2"/>
    <x v="0"/>
    <x v="0"/>
    <s v="Graduate"/>
    <x v="0"/>
    <n v="111529"/>
    <n v="368"/>
    <n v="25496"/>
    <x v="1"/>
    <n v="9.8400000000000001E-2"/>
    <x v="1"/>
    <s v="Mortgaged"/>
    <n v="5"/>
    <n v="3"/>
    <s v="No"/>
    <s v="No"/>
    <x v="0"/>
    <n v="185647"/>
    <x v="1743"/>
    <x v="61"/>
    <x v="523"/>
    <x v="1"/>
    <x v="0"/>
    <x v="2"/>
  </r>
  <r>
    <x v="1757"/>
    <s v="Peter Lawson"/>
    <x v="26"/>
    <x v="1"/>
    <x v="1"/>
    <s v="Graduate"/>
    <x v="0"/>
    <n v="35385"/>
    <n v="368"/>
    <n v="7762"/>
    <x v="3"/>
    <n v="0.19039999999999999"/>
    <x v="3"/>
    <s v="Owned"/>
    <n v="6"/>
    <n v="4"/>
    <s v="No"/>
    <s v="No"/>
    <x v="3"/>
    <n v="155702"/>
    <x v="1744"/>
    <x v="12"/>
    <x v="1148"/>
    <x v="0"/>
    <x v="0"/>
    <x v="2"/>
  </r>
  <r>
    <x v="1758"/>
    <s v="Mr. Michael Horn DDS"/>
    <x v="4"/>
    <x v="1"/>
    <x v="2"/>
    <s v="Graduate"/>
    <x v="3"/>
    <n v="39787"/>
    <n v="368"/>
    <n v="44083"/>
    <x v="2"/>
    <n v="9.6699999999999994E-2"/>
    <x v="5"/>
    <s v="Owned"/>
    <n v="19"/>
    <n v="3"/>
    <s v="No"/>
    <s v="No"/>
    <x v="3"/>
    <n v="149277"/>
    <x v="1745"/>
    <x v="32"/>
    <x v="1149"/>
    <x v="1"/>
    <x v="0"/>
    <x v="2"/>
  </r>
  <r>
    <x v="1759"/>
    <s v="Amanda Dennis"/>
    <x v="21"/>
    <x v="0"/>
    <x v="0"/>
    <s v="High School"/>
    <x v="0"/>
    <n v="56538"/>
    <n v="368"/>
    <n v="21654"/>
    <x v="2"/>
    <n v="7.6200000000000004E-2"/>
    <x v="4"/>
    <s v="Mortgaged"/>
    <n v="8"/>
    <n v="4"/>
    <s v="No"/>
    <s v="No"/>
    <x v="0"/>
    <n v="86230"/>
    <x v="1746"/>
    <x v="32"/>
    <x v="1150"/>
    <x v="1"/>
    <x v="1"/>
    <x v="2"/>
  </r>
  <r>
    <x v="1760"/>
    <s v="Richard White MD"/>
    <x v="1"/>
    <x v="0"/>
    <x v="1"/>
    <s v="High School"/>
    <x v="3"/>
    <n v="149529"/>
    <n v="367"/>
    <n v="30323"/>
    <x v="0"/>
    <n v="0.19039999999999999"/>
    <x v="5"/>
    <s v="Rented"/>
    <n v="3"/>
    <n v="2"/>
    <s v="No"/>
    <s v="No"/>
    <x v="4"/>
    <n v="193619"/>
    <x v="1747"/>
    <x v="17"/>
    <x v="15"/>
    <x v="0"/>
    <x v="0"/>
    <x v="2"/>
  </r>
  <r>
    <x v="1761"/>
    <s v="Gabrielle Fox"/>
    <x v="1"/>
    <x v="0"/>
    <x v="0"/>
    <s v="Postgraduate"/>
    <x v="0"/>
    <n v="107755"/>
    <n v="367"/>
    <n v="22556"/>
    <x v="4"/>
    <n v="0.1216"/>
    <x v="2"/>
    <s v="Rented"/>
    <n v="28"/>
    <n v="4"/>
    <s v="No"/>
    <s v="Yes"/>
    <x v="0"/>
    <n v="30702"/>
    <x v="1748"/>
    <x v="20"/>
    <x v="1151"/>
    <x v="1"/>
    <x v="0"/>
    <x v="2"/>
  </r>
  <r>
    <x v="1762"/>
    <s v="Elizabeth Hernandez"/>
    <x v="15"/>
    <x v="1"/>
    <x v="1"/>
    <s v="Graduate"/>
    <x v="2"/>
    <n v="57493"/>
    <n v="367"/>
    <n v="2214"/>
    <x v="3"/>
    <n v="0.12939999999999999"/>
    <x v="3"/>
    <s v="Mortgaged"/>
    <n v="12"/>
    <n v="3"/>
    <s v="No"/>
    <s v="Yes"/>
    <x v="2"/>
    <n v="15238"/>
    <x v="1749"/>
    <x v="64"/>
    <x v="619"/>
    <x v="1"/>
    <x v="0"/>
    <x v="2"/>
  </r>
  <r>
    <x v="1763"/>
    <s v="Sheila Marquez"/>
    <x v="12"/>
    <x v="0"/>
    <x v="1"/>
    <s v="High School"/>
    <x v="1"/>
    <n v="86344"/>
    <n v="366"/>
    <n v="10617"/>
    <x v="3"/>
    <n v="0.14610000000000001"/>
    <x v="3"/>
    <s v="Rented"/>
    <n v="19"/>
    <n v="3"/>
    <s v="Yes"/>
    <s v="No"/>
    <x v="0"/>
    <n v="177851"/>
    <x v="1750"/>
    <x v="30"/>
    <x v="1152"/>
    <x v="1"/>
    <x v="0"/>
    <x v="2"/>
  </r>
  <r>
    <x v="1764"/>
    <s v="Roberto Gray"/>
    <x v="29"/>
    <x v="0"/>
    <x v="2"/>
    <s v="PhD"/>
    <x v="3"/>
    <n v="33186"/>
    <n v="366"/>
    <n v="5694"/>
    <x v="3"/>
    <n v="0.109"/>
    <x v="5"/>
    <s v="Owned"/>
    <n v="3"/>
    <n v="4"/>
    <s v="Yes"/>
    <s v="No"/>
    <x v="0"/>
    <n v="109020"/>
    <x v="1751"/>
    <x v="85"/>
    <x v="852"/>
    <x v="0"/>
    <x v="0"/>
    <x v="2"/>
  </r>
  <r>
    <x v="1765"/>
    <s v="Virginia Adams"/>
    <x v="6"/>
    <x v="1"/>
    <x v="0"/>
    <s v="Postgraduate"/>
    <x v="1"/>
    <n v="49680"/>
    <n v="366"/>
    <n v="36105"/>
    <x v="1"/>
    <n v="0.13519999999999999"/>
    <x v="1"/>
    <s v="Owned"/>
    <n v="12"/>
    <n v="3"/>
    <s v="No"/>
    <s v="No"/>
    <x v="3"/>
    <n v="159987"/>
    <x v="1752"/>
    <x v="77"/>
    <x v="543"/>
    <x v="1"/>
    <x v="0"/>
    <x v="2"/>
  </r>
  <r>
    <x v="1766"/>
    <s v="Jared Sandoval"/>
    <x v="18"/>
    <x v="1"/>
    <x v="1"/>
    <s v="High School"/>
    <x v="0"/>
    <n v="127810"/>
    <n v="366"/>
    <n v="36396"/>
    <x v="4"/>
    <n v="0.13350000000000001"/>
    <x v="5"/>
    <s v="Mortgaged"/>
    <n v="13"/>
    <n v="2"/>
    <s v="No"/>
    <s v="No"/>
    <x v="4"/>
    <n v="36133"/>
    <x v="1433"/>
    <x v="52"/>
    <x v="1153"/>
    <x v="1"/>
    <x v="0"/>
    <x v="2"/>
  </r>
  <r>
    <x v="1767"/>
    <s v="Janice Nelson"/>
    <x v="19"/>
    <x v="0"/>
    <x v="3"/>
    <s v="High School"/>
    <x v="0"/>
    <n v="141640"/>
    <n v="366"/>
    <n v="28621"/>
    <x v="3"/>
    <n v="0.1072"/>
    <x v="5"/>
    <s v="Rented"/>
    <n v="10"/>
    <n v="0"/>
    <s v="No"/>
    <s v="Yes"/>
    <x v="3"/>
    <n v="81605"/>
    <x v="1753"/>
    <x v="77"/>
    <x v="767"/>
    <x v="1"/>
    <x v="0"/>
    <x v="2"/>
  </r>
  <r>
    <x v="1768"/>
    <s v="Christina Fisher"/>
    <x v="35"/>
    <x v="1"/>
    <x v="2"/>
    <s v="High School"/>
    <x v="0"/>
    <n v="127634"/>
    <n v="366"/>
    <n v="22050"/>
    <x v="0"/>
    <n v="0.10929999999999999"/>
    <x v="4"/>
    <s v="Owned"/>
    <n v="7"/>
    <n v="3"/>
    <s v="No"/>
    <s v="No"/>
    <x v="2"/>
    <n v="59430"/>
    <x v="1754"/>
    <x v="0"/>
    <x v="531"/>
    <x v="0"/>
    <x v="0"/>
    <x v="2"/>
  </r>
  <r>
    <x v="1769"/>
    <s v="Pamela Green"/>
    <x v="4"/>
    <x v="1"/>
    <x v="2"/>
    <s v="PhD"/>
    <x v="2"/>
    <n v="90821"/>
    <n v="365"/>
    <n v="37366"/>
    <x v="0"/>
    <n v="0.19820000000000002"/>
    <x v="0"/>
    <s v="Owned"/>
    <n v="2"/>
    <n v="1"/>
    <s v="Yes"/>
    <s v="Yes"/>
    <x v="3"/>
    <n v="172827"/>
    <x v="1755"/>
    <x v="60"/>
    <x v="1154"/>
    <x v="0"/>
    <x v="0"/>
    <x v="2"/>
  </r>
  <r>
    <x v="1770"/>
    <s v="Kayla Jones"/>
    <x v="31"/>
    <x v="1"/>
    <x v="2"/>
    <s v="PhD"/>
    <x v="2"/>
    <n v="21582"/>
    <n v="365"/>
    <n v="13877"/>
    <x v="2"/>
    <n v="8.6099999999999996E-2"/>
    <x v="5"/>
    <s v="Rented"/>
    <n v="17"/>
    <n v="0"/>
    <s v="No"/>
    <s v="Yes"/>
    <x v="1"/>
    <n v="17615"/>
    <x v="1756"/>
    <x v="37"/>
    <x v="738"/>
    <x v="0"/>
    <x v="0"/>
    <x v="2"/>
  </r>
  <r>
    <x v="1771"/>
    <s v="Stacey Harris"/>
    <x v="37"/>
    <x v="0"/>
    <x v="1"/>
    <s v="Graduate"/>
    <x v="3"/>
    <n v="131695"/>
    <n v="365"/>
    <n v="39749"/>
    <x v="1"/>
    <n v="0.16329999999999997"/>
    <x v="4"/>
    <s v="Rented"/>
    <n v="24"/>
    <n v="0"/>
    <s v="No"/>
    <s v="Yes"/>
    <x v="2"/>
    <n v="107552"/>
    <x v="1757"/>
    <x v="74"/>
    <x v="904"/>
    <x v="0"/>
    <x v="0"/>
    <x v="2"/>
  </r>
  <r>
    <x v="1772"/>
    <s v="Dominique Young"/>
    <x v="14"/>
    <x v="0"/>
    <x v="2"/>
    <s v="High School"/>
    <x v="2"/>
    <n v="33753"/>
    <n v="364"/>
    <n v="5746"/>
    <x v="1"/>
    <n v="8.3400000000000002E-2"/>
    <x v="5"/>
    <s v="Mortgaged"/>
    <n v="26"/>
    <n v="4"/>
    <s v="Yes"/>
    <s v="No"/>
    <x v="4"/>
    <n v="6487"/>
    <x v="1758"/>
    <x v="13"/>
    <x v="1155"/>
    <x v="1"/>
    <x v="1"/>
    <x v="2"/>
  </r>
  <r>
    <x v="1773"/>
    <s v="Lauren King"/>
    <x v="33"/>
    <x v="0"/>
    <x v="2"/>
    <s v="High School"/>
    <x v="3"/>
    <n v="50492"/>
    <n v="364"/>
    <n v="6913"/>
    <x v="0"/>
    <n v="6.7799999999999999E-2"/>
    <x v="3"/>
    <s v="Mortgaged"/>
    <n v="1"/>
    <n v="3"/>
    <s v="Yes"/>
    <s v="No"/>
    <x v="3"/>
    <n v="68274"/>
    <x v="1759"/>
    <x v="79"/>
    <x v="1156"/>
    <x v="1"/>
    <x v="0"/>
    <x v="2"/>
  </r>
  <r>
    <x v="1774"/>
    <s v="Diane Cole"/>
    <x v="38"/>
    <x v="1"/>
    <x v="0"/>
    <s v="Postgraduate"/>
    <x v="1"/>
    <n v="69999"/>
    <n v="364"/>
    <n v="32736"/>
    <x v="2"/>
    <n v="0.19550000000000001"/>
    <x v="3"/>
    <s v="Owned"/>
    <n v="26"/>
    <n v="2"/>
    <s v="Yes"/>
    <s v="Yes"/>
    <x v="3"/>
    <n v="192986"/>
    <x v="1760"/>
    <x v="9"/>
    <x v="1157"/>
    <x v="0"/>
    <x v="0"/>
    <x v="2"/>
  </r>
  <r>
    <x v="1775"/>
    <s v="Jorge Buchanan"/>
    <x v="1"/>
    <x v="0"/>
    <x v="3"/>
    <s v="Postgraduate"/>
    <x v="3"/>
    <n v="46287"/>
    <n v="364"/>
    <n v="21942"/>
    <x v="0"/>
    <n v="5.8899999999999994E-2"/>
    <x v="2"/>
    <s v="Mortgaged"/>
    <n v="28"/>
    <n v="1"/>
    <s v="Yes"/>
    <s v="No"/>
    <x v="2"/>
    <n v="37948"/>
    <x v="1761"/>
    <x v="82"/>
    <x v="1158"/>
    <x v="0"/>
    <x v="1"/>
    <x v="2"/>
  </r>
  <r>
    <x v="1776"/>
    <s v="Angela Harris"/>
    <x v="11"/>
    <x v="1"/>
    <x v="1"/>
    <s v="High School"/>
    <x v="2"/>
    <n v="39665"/>
    <n v="364"/>
    <n v="10488"/>
    <x v="2"/>
    <n v="0.19850000000000001"/>
    <x v="0"/>
    <s v="Mortgaged"/>
    <n v="27"/>
    <n v="0"/>
    <s v="Yes"/>
    <s v="No"/>
    <x v="0"/>
    <n v="95387"/>
    <x v="1762"/>
    <x v="36"/>
    <x v="1159"/>
    <x v="1"/>
    <x v="1"/>
    <x v="2"/>
  </r>
  <r>
    <x v="1777"/>
    <s v="David Rodriguez"/>
    <x v="18"/>
    <x v="0"/>
    <x v="2"/>
    <s v="Graduate"/>
    <x v="1"/>
    <n v="78901"/>
    <n v="363"/>
    <n v="43751"/>
    <x v="1"/>
    <n v="0.11630000000000001"/>
    <x v="1"/>
    <s v="Mortgaged"/>
    <n v="7"/>
    <n v="0"/>
    <s v="Yes"/>
    <s v="No"/>
    <x v="2"/>
    <n v="1907"/>
    <x v="1763"/>
    <x v="39"/>
    <x v="310"/>
    <x v="0"/>
    <x v="0"/>
    <x v="2"/>
  </r>
  <r>
    <x v="1778"/>
    <s v="Cathy Smith"/>
    <x v="27"/>
    <x v="1"/>
    <x v="3"/>
    <s v="High School"/>
    <x v="3"/>
    <n v="91749"/>
    <n v="363"/>
    <n v="1597"/>
    <x v="3"/>
    <n v="0.14319999999999999"/>
    <x v="2"/>
    <s v="Owned"/>
    <n v="12"/>
    <n v="1"/>
    <s v="No"/>
    <s v="Yes"/>
    <x v="2"/>
    <n v="172236"/>
    <x v="1764"/>
    <x v="18"/>
    <x v="1149"/>
    <x v="0"/>
    <x v="0"/>
    <x v="2"/>
  </r>
  <r>
    <x v="1779"/>
    <s v="Jack Zimmerman"/>
    <x v="0"/>
    <x v="0"/>
    <x v="1"/>
    <s v="Graduate"/>
    <x v="0"/>
    <n v="59220"/>
    <n v="363"/>
    <n v="48606"/>
    <x v="0"/>
    <n v="0.14380000000000001"/>
    <x v="3"/>
    <s v="Mortgaged"/>
    <n v="2"/>
    <n v="1"/>
    <s v="No"/>
    <s v="Yes"/>
    <x v="4"/>
    <n v="68337"/>
    <x v="1765"/>
    <x v="1"/>
    <x v="522"/>
    <x v="1"/>
    <x v="0"/>
    <x v="2"/>
  </r>
  <r>
    <x v="1780"/>
    <s v="Regina Wilson"/>
    <x v="4"/>
    <x v="1"/>
    <x v="0"/>
    <s v="Graduate"/>
    <x v="3"/>
    <n v="148355"/>
    <n v="362"/>
    <n v="11360"/>
    <x v="3"/>
    <n v="0.183"/>
    <x v="1"/>
    <s v="Owned"/>
    <n v="2"/>
    <n v="1"/>
    <s v="No"/>
    <s v="Yes"/>
    <x v="0"/>
    <n v="59871"/>
    <x v="1766"/>
    <x v="27"/>
    <x v="1160"/>
    <x v="0"/>
    <x v="1"/>
    <x v="2"/>
  </r>
  <r>
    <x v="1781"/>
    <s v="Breanna Brown"/>
    <x v="0"/>
    <x v="0"/>
    <x v="1"/>
    <s v="PhD"/>
    <x v="2"/>
    <n v="65406"/>
    <n v="362"/>
    <n v="18883"/>
    <x v="2"/>
    <n v="8.09E-2"/>
    <x v="4"/>
    <s v="Rented"/>
    <n v="1"/>
    <n v="3"/>
    <s v="Yes"/>
    <s v="No"/>
    <x v="3"/>
    <n v="27161"/>
    <x v="1767"/>
    <x v="89"/>
    <x v="1161"/>
    <x v="1"/>
    <x v="0"/>
    <x v="2"/>
  </r>
  <r>
    <x v="1782"/>
    <s v="Timothy Jones"/>
    <x v="32"/>
    <x v="0"/>
    <x v="3"/>
    <s v="Postgraduate"/>
    <x v="1"/>
    <n v="49685"/>
    <n v="361"/>
    <n v="49744"/>
    <x v="3"/>
    <n v="0.15439999999999998"/>
    <x v="0"/>
    <s v="Mortgaged"/>
    <n v="17"/>
    <n v="3"/>
    <s v="No"/>
    <s v="Yes"/>
    <x v="1"/>
    <n v="197009"/>
    <x v="1768"/>
    <x v="85"/>
    <x v="1002"/>
    <x v="0"/>
    <x v="0"/>
    <x v="2"/>
  </r>
  <r>
    <x v="1783"/>
    <s v="Maureen Gutierrez"/>
    <x v="5"/>
    <x v="0"/>
    <x v="3"/>
    <s v="Graduate"/>
    <x v="1"/>
    <n v="125331"/>
    <n v="361"/>
    <n v="31262"/>
    <x v="4"/>
    <n v="0.13400000000000001"/>
    <x v="2"/>
    <s v="Owned"/>
    <n v="2"/>
    <n v="3"/>
    <s v="Yes"/>
    <s v="No"/>
    <x v="1"/>
    <n v="165635"/>
    <x v="1769"/>
    <x v="2"/>
    <x v="461"/>
    <x v="0"/>
    <x v="0"/>
    <x v="2"/>
  </r>
  <r>
    <x v="1784"/>
    <s v="Jacob Ramos"/>
    <x v="43"/>
    <x v="1"/>
    <x v="0"/>
    <s v="PhD"/>
    <x v="2"/>
    <n v="75568"/>
    <n v="361"/>
    <n v="12859"/>
    <x v="2"/>
    <n v="0.1827"/>
    <x v="4"/>
    <s v="Rented"/>
    <n v="16"/>
    <n v="0"/>
    <s v="No"/>
    <s v="Yes"/>
    <x v="4"/>
    <n v="31104"/>
    <x v="1770"/>
    <x v="70"/>
    <x v="657"/>
    <x v="1"/>
    <x v="1"/>
    <x v="2"/>
  </r>
  <r>
    <x v="1785"/>
    <s v="Patrick Smith"/>
    <x v="31"/>
    <x v="1"/>
    <x v="2"/>
    <s v="PhD"/>
    <x v="3"/>
    <n v="76655"/>
    <n v="360"/>
    <n v="21221"/>
    <x v="1"/>
    <n v="0.129"/>
    <x v="1"/>
    <s v="Rented"/>
    <n v="21"/>
    <n v="1"/>
    <s v="No"/>
    <s v="Yes"/>
    <x v="3"/>
    <n v="108447"/>
    <x v="1771"/>
    <x v="60"/>
    <x v="1162"/>
    <x v="1"/>
    <x v="0"/>
    <x v="2"/>
  </r>
  <r>
    <x v="1786"/>
    <s v="Erik Carter"/>
    <x v="10"/>
    <x v="0"/>
    <x v="0"/>
    <s v="Graduate"/>
    <x v="0"/>
    <n v="26749"/>
    <n v="360"/>
    <n v="47932"/>
    <x v="0"/>
    <n v="0.14730000000000001"/>
    <x v="5"/>
    <s v="Rented"/>
    <n v="22"/>
    <n v="2"/>
    <s v="No"/>
    <s v="Yes"/>
    <x v="1"/>
    <n v="34973"/>
    <x v="1772"/>
    <x v="37"/>
    <x v="807"/>
    <x v="1"/>
    <x v="1"/>
    <x v="2"/>
  </r>
  <r>
    <x v="1787"/>
    <s v="Christopher Jensen"/>
    <x v="6"/>
    <x v="0"/>
    <x v="1"/>
    <s v="PhD"/>
    <x v="3"/>
    <n v="118644"/>
    <n v="360"/>
    <n v="22119"/>
    <x v="4"/>
    <n v="0.13070000000000001"/>
    <x v="2"/>
    <s v="Mortgaged"/>
    <n v="4"/>
    <n v="2"/>
    <s v="No"/>
    <s v="Yes"/>
    <x v="0"/>
    <n v="79625"/>
    <x v="1773"/>
    <x v="46"/>
    <x v="1163"/>
    <x v="0"/>
    <x v="0"/>
    <x v="2"/>
  </r>
  <r>
    <x v="1788"/>
    <s v="Kenneth Barker"/>
    <x v="13"/>
    <x v="0"/>
    <x v="3"/>
    <s v="Postgraduate"/>
    <x v="2"/>
    <n v="114830"/>
    <n v="360"/>
    <n v="8274"/>
    <x v="2"/>
    <n v="7.0499999999999993E-2"/>
    <x v="2"/>
    <s v="Mortgaged"/>
    <n v="23"/>
    <n v="0"/>
    <s v="Yes"/>
    <s v="Yes"/>
    <x v="3"/>
    <n v="23557"/>
    <x v="1774"/>
    <x v="62"/>
    <x v="156"/>
    <x v="1"/>
    <x v="0"/>
    <x v="2"/>
  </r>
  <r>
    <x v="1789"/>
    <s v="Chelsea Flores"/>
    <x v="15"/>
    <x v="1"/>
    <x v="0"/>
    <s v="Graduate"/>
    <x v="3"/>
    <n v="103245"/>
    <n v="360"/>
    <n v="4280"/>
    <x v="1"/>
    <n v="0.18149999999999999"/>
    <x v="4"/>
    <s v="Rented"/>
    <n v="12"/>
    <n v="1"/>
    <s v="No"/>
    <s v="No"/>
    <x v="3"/>
    <n v="96571"/>
    <x v="1775"/>
    <x v="16"/>
    <x v="1164"/>
    <x v="1"/>
    <x v="0"/>
    <x v="2"/>
  </r>
  <r>
    <x v="1790"/>
    <s v="Dr. Jason Moran"/>
    <x v="37"/>
    <x v="0"/>
    <x v="1"/>
    <s v="Postgraduate"/>
    <x v="0"/>
    <n v="76326"/>
    <n v="360"/>
    <n v="10088"/>
    <x v="4"/>
    <n v="0.192"/>
    <x v="0"/>
    <s v="Owned"/>
    <n v="8"/>
    <n v="3"/>
    <s v="Yes"/>
    <s v="No"/>
    <x v="2"/>
    <n v="49545"/>
    <x v="1776"/>
    <x v="8"/>
    <x v="151"/>
    <x v="1"/>
    <x v="1"/>
    <x v="2"/>
  </r>
  <r>
    <x v="1791"/>
    <s v="Rebecca Williams"/>
    <x v="40"/>
    <x v="1"/>
    <x v="3"/>
    <s v="High School"/>
    <x v="2"/>
    <n v="61445"/>
    <n v="359"/>
    <n v="11302"/>
    <x v="1"/>
    <n v="0.18710000000000002"/>
    <x v="1"/>
    <s v="Rented"/>
    <n v="2"/>
    <n v="0"/>
    <s v="No"/>
    <s v="No"/>
    <x v="2"/>
    <n v="47368"/>
    <x v="1777"/>
    <x v="6"/>
    <x v="1085"/>
    <x v="0"/>
    <x v="0"/>
    <x v="2"/>
  </r>
  <r>
    <x v="1792"/>
    <s v="Sean Smith"/>
    <x v="36"/>
    <x v="1"/>
    <x v="2"/>
    <s v="PhD"/>
    <x v="0"/>
    <n v="87306"/>
    <n v="359"/>
    <n v="21323"/>
    <x v="3"/>
    <n v="0.127"/>
    <x v="3"/>
    <s v="Owned"/>
    <n v="22"/>
    <n v="0"/>
    <s v="No"/>
    <s v="Yes"/>
    <x v="3"/>
    <n v="199982"/>
    <x v="1778"/>
    <x v="45"/>
    <x v="1165"/>
    <x v="0"/>
    <x v="1"/>
    <x v="2"/>
  </r>
  <r>
    <x v="1793"/>
    <s v="Ryan Miranda"/>
    <x v="19"/>
    <x v="0"/>
    <x v="2"/>
    <s v="PhD"/>
    <x v="1"/>
    <n v="100021"/>
    <n v="359"/>
    <n v="16025"/>
    <x v="0"/>
    <n v="0.17929999999999999"/>
    <x v="4"/>
    <s v="Owned"/>
    <n v="7"/>
    <n v="4"/>
    <s v="No"/>
    <s v="No"/>
    <x v="2"/>
    <n v="185323"/>
    <x v="1779"/>
    <x v="31"/>
    <x v="937"/>
    <x v="1"/>
    <x v="0"/>
    <x v="2"/>
  </r>
  <r>
    <x v="1794"/>
    <s v="Curtis Turner"/>
    <x v="21"/>
    <x v="0"/>
    <x v="3"/>
    <s v="High School"/>
    <x v="2"/>
    <n v="93173"/>
    <n v="359"/>
    <n v="5263"/>
    <x v="1"/>
    <n v="7.6799999999999993E-2"/>
    <x v="1"/>
    <s v="Owned"/>
    <n v="17"/>
    <n v="0"/>
    <s v="Yes"/>
    <s v="No"/>
    <x v="0"/>
    <n v="145979"/>
    <x v="1780"/>
    <x v="46"/>
    <x v="312"/>
    <x v="1"/>
    <x v="1"/>
    <x v="2"/>
  </r>
  <r>
    <x v="1795"/>
    <s v="Michael Wilson"/>
    <x v="2"/>
    <x v="0"/>
    <x v="2"/>
    <s v="Graduate"/>
    <x v="1"/>
    <n v="116612"/>
    <n v="358"/>
    <n v="49651"/>
    <x v="3"/>
    <n v="8.6199999999999999E-2"/>
    <x v="5"/>
    <s v="Rented"/>
    <n v="10"/>
    <n v="1"/>
    <s v="Yes"/>
    <s v="Yes"/>
    <x v="4"/>
    <n v="92334"/>
    <x v="1781"/>
    <x v="66"/>
    <x v="1166"/>
    <x v="0"/>
    <x v="0"/>
    <x v="2"/>
  </r>
  <r>
    <x v="1796"/>
    <s v="Troy Greene"/>
    <x v="42"/>
    <x v="0"/>
    <x v="2"/>
    <s v="Postgraduate"/>
    <x v="2"/>
    <n v="145942"/>
    <n v="358"/>
    <n v="2161"/>
    <x v="3"/>
    <n v="0.1797"/>
    <x v="3"/>
    <s v="Mortgaged"/>
    <n v="28"/>
    <n v="1"/>
    <s v="No"/>
    <s v="Yes"/>
    <x v="3"/>
    <n v="30472"/>
    <x v="1782"/>
    <x v="6"/>
    <x v="1038"/>
    <x v="1"/>
    <x v="0"/>
    <x v="2"/>
  </r>
  <r>
    <x v="1797"/>
    <s v="Jamie Edwards"/>
    <x v="38"/>
    <x v="0"/>
    <x v="2"/>
    <s v="Graduate"/>
    <x v="2"/>
    <n v="27526"/>
    <n v="358"/>
    <n v="5231"/>
    <x v="4"/>
    <n v="9.0899999999999995E-2"/>
    <x v="0"/>
    <s v="Mortgaged"/>
    <n v="10"/>
    <n v="3"/>
    <s v="Yes"/>
    <s v="No"/>
    <x v="4"/>
    <n v="645"/>
    <x v="1783"/>
    <x v="78"/>
    <x v="842"/>
    <x v="0"/>
    <x v="0"/>
    <x v="2"/>
  </r>
  <r>
    <x v="1798"/>
    <s v="Jennifer Smith"/>
    <x v="3"/>
    <x v="1"/>
    <x v="1"/>
    <s v="Graduate"/>
    <x v="2"/>
    <n v="97926"/>
    <n v="358"/>
    <n v="42368"/>
    <x v="2"/>
    <n v="0.1211"/>
    <x v="0"/>
    <s v="Mortgaged"/>
    <n v="11"/>
    <n v="3"/>
    <s v="No"/>
    <s v="Yes"/>
    <x v="3"/>
    <n v="152665"/>
    <x v="1784"/>
    <x v="75"/>
    <x v="648"/>
    <x v="1"/>
    <x v="0"/>
    <x v="2"/>
  </r>
  <r>
    <x v="1799"/>
    <s v="Mark Cuevas"/>
    <x v="27"/>
    <x v="1"/>
    <x v="2"/>
    <s v="High School"/>
    <x v="0"/>
    <n v="123376"/>
    <n v="358"/>
    <n v="23745"/>
    <x v="4"/>
    <n v="7.1800000000000003E-2"/>
    <x v="3"/>
    <s v="Owned"/>
    <n v="15"/>
    <n v="4"/>
    <s v="Yes"/>
    <s v="Yes"/>
    <x v="0"/>
    <n v="11367"/>
    <x v="1785"/>
    <x v="89"/>
    <x v="111"/>
    <x v="1"/>
    <x v="1"/>
    <x v="2"/>
  </r>
  <r>
    <x v="1800"/>
    <s v="Joshua Arellano"/>
    <x v="34"/>
    <x v="1"/>
    <x v="0"/>
    <s v="PhD"/>
    <x v="0"/>
    <n v="66219"/>
    <n v="358"/>
    <n v="45397"/>
    <x v="1"/>
    <n v="0.12659999999999999"/>
    <x v="2"/>
    <s v="Mortgaged"/>
    <n v="4"/>
    <n v="4"/>
    <s v="No"/>
    <s v="No"/>
    <x v="2"/>
    <n v="45869"/>
    <x v="1786"/>
    <x v="79"/>
    <x v="172"/>
    <x v="0"/>
    <x v="0"/>
    <x v="2"/>
  </r>
  <r>
    <x v="1801"/>
    <s v="Joshua Baker"/>
    <x v="22"/>
    <x v="1"/>
    <x v="3"/>
    <s v="High School"/>
    <x v="0"/>
    <n v="73413"/>
    <n v="358"/>
    <n v="28796"/>
    <x v="4"/>
    <n v="0.16420000000000001"/>
    <x v="2"/>
    <s v="Mortgaged"/>
    <n v="4"/>
    <n v="2"/>
    <s v="Yes"/>
    <s v="Yes"/>
    <x v="2"/>
    <n v="125955"/>
    <x v="1787"/>
    <x v="29"/>
    <x v="765"/>
    <x v="0"/>
    <x v="0"/>
    <x v="2"/>
  </r>
  <r>
    <x v="1802"/>
    <s v="Jennifer Holland"/>
    <x v="27"/>
    <x v="1"/>
    <x v="0"/>
    <s v="PhD"/>
    <x v="3"/>
    <n v="105435"/>
    <n v="358"/>
    <n v="29000"/>
    <x v="3"/>
    <n v="8.7599999999999997E-2"/>
    <x v="1"/>
    <s v="Rented"/>
    <n v="16"/>
    <n v="2"/>
    <s v="No"/>
    <s v="Yes"/>
    <x v="2"/>
    <n v="171253"/>
    <x v="130"/>
    <x v="6"/>
    <x v="1167"/>
    <x v="0"/>
    <x v="0"/>
    <x v="2"/>
  </r>
  <r>
    <x v="1803"/>
    <s v="Alyssa Reid"/>
    <x v="18"/>
    <x v="1"/>
    <x v="0"/>
    <s v="Postgraduate"/>
    <x v="3"/>
    <n v="35078"/>
    <n v="357"/>
    <n v="43800"/>
    <x v="0"/>
    <n v="0.11869999999999999"/>
    <x v="3"/>
    <s v="Mortgaged"/>
    <n v="24"/>
    <n v="2"/>
    <s v="No"/>
    <s v="No"/>
    <x v="0"/>
    <n v="69543"/>
    <x v="1788"/>
    <x v="59"/>
    <x v="6"/>
    <x v="0"/>
    <x v="0"/>
    <x v="2"/>
  </r>
  <r>
    <x v="1804"/>
    <s v="Shannon Alvarado"/>
    <x v="31"/>
    <x v="0"/>
    <x v="1"/>
    <s v="Graduate"/>
    <x v="2"/>
    <n v="52930"/>
    <n v="356"/>
    <n v="26568"/>
    <x v="4"/>
    <n v="0.1235"/>
    <x v="5"/>
    <s v="Owned"/>
    <n v="13"/>
    <n v="2"/>
    <s v="No"/>
    <s v="No"/>
    <x v="1"/>
    <n v="13381"/>
    <x v="1789"/>
    <x v="19"/>
    <x v="925"/>
    <x v="1"/>
    <x v="0"/>
    <x v="2"/>
  </r>
  <r>
    <x v="1805"/>
    <s v="Danielle Hickman"/>
    <x v="3"/>
    <x v="0"/>
    <x v="0"/>
    <s v="High School"/>
    <x v="3"/>
    <n v="27170"/>
    <n v="356"/>
    <n v="29020"/>
    <x v="2"/>
    <n v="6.83E-2"/>
    <x v="4"/>
    <s v="Owned"/>
    <n v="26"/>
    <n v="2"/>
    <s v="No"/>
    <s v="Yes"/>
    <x v="4"/>
    <n v="23359"/>
    <x v="1790"/>
    <x v="41"/>
    <x v="1168"/>
    <x v="0"/>
    <x v="0"/>
    <x v="2"/>
  </r>
  <r>
    <x v="1806"/>
    <s v="Ricardo Fowler"/>
    <x v="14"/>
    <x v="1"/>
    <x v="1"/>
    <s v="Postgraduate"/>
    <x v="2"/>
    <n v="26073"/>
    <n v="356"/>
    <n v="14769"/>
    <x v="4"/>
    <n v="0.15289999999999998"/>
    <x v="2"/>
    <s v="Rented"/>
    <n v="11"/>
    <n v="2"/>
    <s v="No"/>
    <s v="Yes"/>
    <x v="3"/>
    <n v="83290"/>
    <x v="1791"/>
    <x v="3"/>
    <x v="291"/>
    <x v="1"/>
    <x v="0"/>
    <x v="2"/>
  </r>
  <r>
    <x v="1807"/>
    <s v="Danielle Flores"/>
    <x v="16"/>
    <x v="0"/>
    <x v="0"/>
    <s v="Postgraduate"/>
    <x v="2"/>
    <n v="90434"/>
    <n v="356"/>
    <n v="11412"/>
    <x v="1"/>
    <n v="6.2300000000000001E-2"/>
    <x v="3"/>
    <s v="Owned"/>
    <n v="10"/>
    <n v="1"/>
    <s v="Yes"/>
    <s v="Yes"/>
    <x v="0"/>
    <n v="75191"/>
    <x v="1792"/>
    <x v="29"/>
    <x v="185"/>
    <x v="1"/>
    <x v="0"/>
    <x v="2"/>
  </r>
  <r>
    <x v="1808"/>
    <s v="Patricia Smith"/>
    <x v="22"/>
    <x v="0"/>
    <x v="2"/>
    <s v="Postgraduate"/>
    <x v="0"/>
    <n v="40607"/>
    <n v="356"/>
    <n v="38170"/>
    <x v="2"/>
    <n v="0.10210000000000001"/>
    <x v="3"/>
    <s v="Rented"/>
    <n v="16"/>
    <n v="2"/>
    <s v="No"/>
    <s v="Yes"/>
    <x v="2"/>
    <n v="78167"/>
    <x v="1793"/>
    <x v="50"/>
    <x v="1169"/>
    <x v="0"/>
    <x v="0"/>
    <x v="2"/>
  </r>
  <r>
    <x v="1809"/>
    <s v="Rachel Mckee"/>
    <x v="31"/>
    <x v="1"/>
    <x v="2"/>
    <s v="PhD"/>
    <x v="2"/>
    <n v="149392"/>
    <n v="355"/>
    <n v="9640"/>
    <x v="0"/>
    <n v="9.1899999999999996E-2"/>
    <x v="2"/>
    <s v="Mortgaged"/>
    <n v="17"/>
    <n v="1"/>
    <s v="No"/>
    <s v="Yes"/>
    <x v="3"/>
    <n v="66355"/>
    <x v="1794"/>
    <x v="77"/>
    <x v="999"/>
    <x v="1"/>
    <x v="0"/>
    <x v="2"/>
  </r>
  <r>
    <x v="1810"/>
    <s v="Eugene Castro"/>
    <x v="16"/>
    <x v="0"/>
    <x v="2"/>
    <s v="Postgraduate"/>
    <x v="1"/>
    <n v="104146"/>
    <n v="355"/>
    <n v="4017"/>
    <x v="4"/>
    <n v="0.1193"/>
    <x v="0"/>
    <s v="Owned"/>
    <n v="13"/>
    <n v="0"/>
    <s v="Yes"/>
    <s v="Yes"/>
    <x v="2"/>
    <n v="13410"/>
    <x v="1795"/>
    <x v="5"/>
    <x v="227"/>
    <x v="1"/>
    <x v="1"/>
    <x v="2"/>
  </r>
  <r>
    <x v="1811"/>
    <s v="Taylor Green"/>
    <x v="17"/>
    <x v="1"/>
    <x v="0"/>
    <s v="High School"/>
    <x v="2"/>
    <n v="138972"/>
    <n v="355"/>
    <n v="32269"/>
    <x v="4"/>
    <n v="0.18840000000000001"/>
    <x v="3"/>
    <s v="Rented"/>
    <n v="21"/>
    <n v="4"/>
    <s v="Yes"/>
    <s v="No"/>
    <x v="0"/>
    <n v="135141"/>
    <x v="1796"/>
    <x v="24"/>
    <x v="107"/>
    <x v="1"/>
    <x v="0"/>
    <x v="2"/>
  </r>
  <r>
    <x v="1812"/>
    <s v="Robert Martin"/>
    <x v="5"/>
    <x v="0"/>
    <x v="3"/>
    <s v="High School"/>
    <x v="0"/>
    <n v="101899"/>
    <n v="355"/>
    <n v="7929"/>
    <x v="2"/>
    <n v="0.1265"/>
    <x v="1"/>
    <s v="Mortgaged"/>
    <n v="2"/>
    <n v="0"/>
    <s v="No"/>
    <s v="No"/>
    <x v="2"/>
    <n v="110269"/>
    <x v="1797"/>
    <x v="29"/>
    <x v="710"/>
    <x v="1"/>
    <x v="0"/>
    <x v="2"/>
  </r>
  <r>
    <x v="1813"/>
    <s v="Kristin Friedman"/>
    <x v="16"/>
    <x v="0"/>
    <x v="1"/>
    <s v="Graduate"/>
    <x v="0"/>
    <n v="131316"/>
    <n v="355"/>
    <n v="36690"/>
    <x v="0"/>
    <n v="8.4399999999999989E-2"/>
    <x v="2"/>
    <s v="Owned"/>
    <n v="25"/>
    <n v="2"/>
    <s v="Yes"/>
    <s v="Yes"/>
    <x v="4"/>
    <n v="168405"/>
    <x v="1798"/>
    <x v="14"/>
    <x v="162"/>
    <x v="0"/>
    <x v="0"/>
    <x v="2"/>
  </r>
  <r>
    <x v="1814"/>
    <s v="Douglas Butler"/>
    <x v="25"/>
    <x v="1"/>
    <x v="3"/>
    <s v="Graduate"/>
    <x v="1"/>
    <n v="95536"/>
    <n v="355"/>
    <n v="18866"/>
    <x v="2"/>
    <n v="7.4099999999999999E-2"/>
    <x v="5"/>
    <s v="Owned"/>
    <n v="29"/>
    <n v="0"/>
    <s v="No"/>
    <s v="Yes"/>
    <x v="4"/>
    <n v="75048"/>
    <x v="1799"/>
    <x v="66"/>
    <x v="877"/>
    <x v="0"/>
    <x v="0"/>
    <x v="2"/>
  </r>
  <r>
    <x v="1815"/>
    <s v="Robin Holmes"/>
    <x v="2"/>
    <x v="1"/>
    <x v="2"/>
    <s v="High School"/>
    <x v="3"/>
    <n v="97028"/>
    <n v="355"/>
    <n v="12226"/>
    <x v="3"/>
    <n v="6.6299999999999998E-2"/>
    <x v="0"/>
    <s v="Mortgaged"/>
    <n v="11"/>
    <n v="0"/>
    <s v="No"/>
    <s v="No"/>
    <x v="1"/>
    <n v="55746"/>
    <x v="1800"/>
    <x v="23"/>
    <x v="534"/>
    <x v="1"/>
    <x v="0"/>
    <x v="2"/>
  </r>
  <r>
    <x v="1816"/>
    <s v="Brian Newman"/>
    <x v="37"/>
    <x v="1"/>
    <x v="2"/>
    <s v="PhD"/>
    <x v="3"/>
    <n v="82224"/>
    <n v="354"/>
    <n v="23829"/>
    <x v="2"/>
    <n v="0.14949999999999999"/>
    <x v="1"/>
    <s v="Mortgaged"/>
    <n v="2"/>
    <n v="3"/>
    <s v="Yes"/>
    <s v="Yes"/>
    <x v="1"/>
    <n v="48703"/>
    <x v="1801"/>
    <x v="26"/>
    <x v="220"/>
    <x v="1"/>
    <x v="0"/>
    <x v="2"/>
  </r>
  <r>
    <x v="1817"/>
    <s v="Jonathan Smith"/>
    <x v="6"/>
    <x v="0"/>
    <x v="2"/>
    <s v="Graduate"/>
    <x v="1"/>
    <n v="72127"/>
    <n v="354"/>
    <n v="24608"/>
    <x v="2"/>
    <n v="6.8400000000000002E-2"/>
    <x v="2"/>
    <s v="Rented"/>
    <n v="10"/>
    <n v="0"/>
    <s v="No"/>
    <s v="No"/>
    <x v="2"/>
    <n v="87051"/>
    <x v="1802"/>
    <x v="67"/>
    <x v="1170"/>
    <x v="1"/>
    <x v="0"/>
    <x v="2"/>
  </r>
  <r>
    <x v="1818"/>
    <s v="Robert Rogers MD"/>
    <x v="12"/>
    <x v="1"/>
    <x v="3"/>
    <s v="Postgraduate"/>
    <x v="0"/>
    <n v="131259"/>
    <n v="354"/>
    <n v="18533"/>
    <x v="2"/>
    <n v="5.9299999999999999E-2"/>
    <x v="0"/>
    <s v="Mortgaged"/>
    <n v="11"/>
    <n v="2"/>
    <s v="Yes"/>
    <s v="Yes"/>
    <x v="0"/>
    <n v="20931"/>
    <x v="1803"/>
    <x v="54"/>
    <x v="1171"/>
    <x v="0"/>
    <x v="0"/>
    <x v="2"/>
  </r>
  <r>
    <x v="1819"/>
    <s v="Mitchell Cooke"/>
    <x v="39"/>
    <x v="0"/>
    <x v="0"/>
    <s v="PhD"/>
    <x v="0"/>
    <n v="58346"/>
    <n v="354"/>
    <n v="38594"/>
    <x v="2"/>
    <n v="0.14330000000000001"/>
    <x v="5"/>
    <s v="Rented"/>
    <n v="17"/>
    <n v="4"/>
    <s v="No"/>
    <s v="Yes"/>
    <x v="2"/>
    <n v="101810"/>
    <x v="1804"/>
    <x v="14"/>
    <x v="758"/>
    <x v="1"/>
    <x v="0"/>
    <x v="2"/>
  </r>
  <r>
    <x v="1820"/>
    <s v="Kathryn Smith"/>
    <x v="22"/>
    <x v="0"/>
    <x v="2"/>
    <s v="Graduate"/>
    <x v="3"/>
    <n v="86262"/>
    <n v="353"/>
    <n v="9437"/>
    <x v="0"/>
    <n v="5.9000000000000004E-2"/>
    <x v="1"/>
    <s v="Owned"/>
    <n v="17"/>
    <n v="1"/>
    <s v="No"/>
    <s v="No"/>
    <x v="1"/>
    <n v="57564"/>
    <x v="1805"/>
    <x v="6"/>
    <x v="445"/>
    <x v="1"/>
    <x v="1"/>
    <x v="2"/>
  </r>
  <r>
    <x v="1821"/>
    <s v="Deborah Byrd"/>
    <x v="4"/>
    <x v="1"/>
    <x v="3"/>
    <s v="Graduate"/>
    <x v="1"/>
    <n v="81869"/>
    <n v="353"/>
    <n v="38823"/>
    <x v="0"/>
    <n v="0.16789999999999999"/>
    <x v="5"/>
    <s v="Rented"/>
    <n v="10"/>
    <n v="0"/>
    <s v="Yes"/>
    <s v="Yes"/>
    <x v="2"/>
    <n v="152382"/>
    <x v="1806"/>
    <x v="35"/>
    <x v="712"/>
    <x v="1"/>
    <x v="1"/>
    <x v="2"/>
  </r>
  <r>
    <x v="1822"/>
    <s v="Brenda Lopez"/>
    <x v="19"/>
    <x v="1"/>
    <x v="2"/>
    <s v="Postgraduate"/>
    <x v="1"/>
    <n v="78008"/>
    <n v="353"/>
    <n v="28430"/>
    <x v="0"/>
    <n v="6.5299999999999997E-2"/>
    <x v="2"/>
    <s v="Mortgaged"/>
    <n v="12"/>
    <n v="0"/>
    <s v="Yes"/>
    <s v="No"/>
    <x v="2"/>
    <n v="24811"/>
    <x v="1807"/>
    <x v="46"/>
    <x v="607"/>
    <x v="1"/>
    <x v="1"/>
    <x v="2"/>
  </r>
  <r>
    <x v="1823"/>
    <s v="Dawn Jackson"/>
    <x v="26"/>
    <x v="1"/>
    <x v="0"/>
    <s v="High School"/>
    <x v="1"/>
    <n v="127648"/>
    <n v="352"/>
    <n v="26230"/>
    <x v="4"/>
    <n v="0.18940000000000001"/>
    <x v="2"/>
    <s v="Owned"/>
    <n v="19"/>
    <n v="0"/>
    <s v="Yes"/>
    <s v="No"/>
    <x v="3"/>
    <n v="13515"/>
    <x v="1808"/>
    <x v="64"/>
    <x v="1172"/>
    <x v="0"/>
    <x v="0"/>
    <x v="2"/>
  </r>
  <r>
    <x v="1824"/>
    <s v="Kathryn Mason"/>
    <x v="33"/>
    <x v="1"/>
    <x v="3"/>
    <s v="PhD"/>
    <x v="2"/>
    <n v="48930"/>
    <n v="352"/>
    <n v="19886"/>
    <x v="1"/>
    <n v="0.16800000000000001"/>
    <x v="0"/>
    <s v="Mortgaged"/>
    <n v="8"/>
    <n v="4"/>
    <s v="No"/>
    <s v="No"/>
    <x v="4"/>
    <n v="95360"/>
    <x v="1809"/>
    <x v="31"/>
    <x v="783"/>
    <x v="0"/>
    <x v="0"/>
    <x v="2"/>
  </r>
  <r>
    <x v="1825"/>
    <s v="Mrs. Tiffany Sharp"/>
    <x v="18"/>
    <x v="0"/>
    <x v="0"/>
    <s v="Postgraduate"/>
    <x v="2"/>
    <n v="147037"/>
    <n v="352"/>
    <n v="44372"/>
    <x v="1"/>
    <n v="5.7300000000000004E-2"/>
    <x v="2"/>
    <s v="Mortgaged"/>
    <n v="7"/>
    <n v="3"/>
    <s v="No"/>
    <s v="No"/>
    <x v="3"/>
    <n v="96383"/>
    <x v="1810"/>
    <x v="31"/>
    <x v="1173"/>
    <x v="1"/>
    <x v="0"/>
    <x v="2"/>
  </r>
  <r>
    <x v="1826"/>
    <s v="Mitchell Allen"/>
    <x v="32"/>
    <x v="0"/>
    <x v="0"/>
    <s v="Graduate"/>
    <x v="0"/>
    <n v="75698"/>
    <n v="352"/>
    <n v="20703"/>
    <x v="1"/>
    <n v="7.3899999999999993E-2"/>
    <x v="4"/>
    <s v="Rented"/>
    <n v="7"/>
    <n v="4"/>
    <s v="Yes"/>
    <s v="Yes"/>
    <x v="4"/>
    <n v="2387"/>
    <x v="1811"/>
    <x v="30"/>
    <x v="47"/>
    <x v="0"/>
    <x v="0"/>
    <x v="2"/>
  </r>
  <r>
    <x v="1827"/>
    <s v="Stephanie Thornton"/>
    <x v="24"/>
    <x v="0"/>
    <x v="3"/>
    <s v="Postgraduate"/>
    <x v="3"/>
    <n v="140364"/>
    <n v="351"/>
    <n v="4822"/>
    <x v="0"/>
    <n v="0.16370000000000001"/>
    <x v="3"/>
    <s v="Owned"/>
    <n v="4"/>
    <n v="2"/>
    <s v="No"/>
    <s v="No"/>
    <x v="2"/>
    <n v="64853"/>
    <x v="1812"/>
    <x v="82"/>
    <x v="404"/>
    <x v="0"/>
    <x v="0"/>
    <x v="2"/>
  </r>
  <r>
    <x v="1828"/>
    <s v="Anthony Knox"/>
    <x v="22"/>
    <x v="0"/>
    <x v="2"/>
    <s v="Graduate"/>
    <x v="1"/>
    <n v="50562"/>
    <n v="351"/>
    <n v="36886"/>
    <x v="0"/>
    <n v="0.18739999999999998"/>
    <x v="5"/>
    <s v="Rented"/>
    <n v="11"/>
    <n v="3"/>
    <s v="No"/>
    <s v="No"/>
    <x v="2"/>
    <n v="172345"/>
    <x v="1813"/>
    <x v="11"/>
    <x v="1174"/>
    <x v="1"/>
    <x v="0"/>
    <x v="2"/>
  </r>
  <r>
    <x v="1829"/>
    <s v="Timothy Watts"/>
    <x v="0"/>
    <x v="0"/>
    <x v="0"/>
    <s v="Postgraduate"/>
    <x v="0"/>
    <n v="54929"/>
    <n v="351"/>
    <n v="23725"/>
    <x v="0"/>
    <n v="9.4499999999999987E-2"/>
    <x v="0"/>
    <s v="Mortgaged"/>
    <n v="24"/>
    <n v="3"/>
    <s v="Yes"/>
    <s v="Yes"/>
    <x v="3"/>
    <n v="32676"/>
    <x v="1814"/>
    <x v="28"/>
    <x v="1175"/>
    <x v="0"/>
    <x v="0"/>
    <x v="2"/>
  </r>
  <r>
    <x v="1830"/>
    <s v="Amy Miller"/>
    <x v="33"/>
    <x v="1"/>
    <x v="1"/>
    <s v="PhD"/>
    <x v="2"/>
    <n v="82119"/>
    <n v="351"/>
    <n v="34637"/>
    <x v="3"/>
    <n v="0.1321"/>
    <x v="4"/>
    <s v="Owned"/>
    <n v="25"/>
    <n v="0"/>
    <s v="Yes"/>
    <s v="Yes"/>
    <x v="1"/>
    <n v="27151"/>
    <x v="1815"/>
    <x v="90"/>
    <x v="1128"/>
    <x v="1"/>
    <x v="0"/>
    <x v="2"/>
  </r>
  <r>
    <x v="1831"/>
    <s v="Don Haney"/>
    <x v="15"/>
    <x v="0"/>
    <x v="3"/>
    <s v="PhD"/>
    <x v="3"/>
    <n v="141324"/>
    <n v="350"/>
    <n v="18059"/>
    <x v="3"/>
    <n v="0.17059999999999997"/>
    <x v="0"/>
    <s v="Mortgaged"/>
    <n v="5"/>
    <n v="4"/>
    <s v="Yes"/>
    <s v="No"/>
    <x v="4"/>
    <n v="8209"/>
    <x v="1816"/>
    <x v="4"/>
    <x v="1176"/>
    <x v="0"/>
    <x v="0"/>
    <x v="2"/>
  </r>
  <r>
    <x v="1832"/>
    <s v="Kelly Doyle"/>
    <x v="13"/>
    <x v="1"/>
    <x v="3"/>
    <s v="PhD"/>
    <x v="3"/>
    <n v="128575"/>
    <n v="350"/>
    <n v="15859"/>
    <x v="4"/>
    <n v="0.10550000000000001"/>
    <x v="2"/>
    <s v="Mortgaged"/>
    <n v="27"/>
    <n v="4"/>
    <s v="Yes"/>
    <s v="No"/>
    <x v="0"/>
    <n v="46116"/>
    <x v="1817"/>
    <x v="78"/>
    <x v="64"/>
    <x v="1"/>
    <x v="1"/>
    <x v="2"/>
  </r>
  <r>
    <x v="1833"/>
    <s v="Lauren Fields DVM"/>
    <x v="10"/>
    <x v="0"/>
    <x v="3"/>
    <s v="Postgraduate"/>
    <x v="3"/>
    <n v="81108"/>
    <n v="350"/>
    <n v="11336"/>
    <x v="1"/>
    <n v="0.19519999999999998"/>
    <x v="1"/>
    <s v="Mortgaged"/>
    <n v="12"/>
    <n v="4"/>
    <s v="No"/>
    <s v="Yes"/>
    <x v="3"/>
    <n v="152250"/>
    <x v="1818"/>
    <x v="48"/>
    <x v="1177"/>
    <x v="1"/>
    <x v="0"/>
    <x v="2"/>
  </r>
  <r>
    <x v="1834"/>
    <s v="Jacqueline Wilson"/>
    <x v="40"/>
    <x v="0"/>
    <x v="2"/>
    <s v="PhD"/>
    <x v="3"/>
    <n v="38733"/>
    <n v="350"/>
    <n v="49487"/>
    <x v="4"/>
    <n v="8.7799999999999989E-2"/>
    <x v="4"/>
    <s v="Owned"/>
    <n v="28"/>
    <n v="1"/>
    <s v="No"/>
    <s v="Yes"/>
    <x v="3"/>
    <n v="120813"/>
    <x v="1819"/>
    <x v="38"/>
    <x v="1178"/>
    <x v="0"/>
    <x v="0"/>
    <x v="2"/>
  </r>
  <r>
    <x v="1835"/>
    <s v="Eric Esparza"/>
    <x v="17"/>
    <x v="1"/>
    <x v="2"/>
    <s v="High School"/>
    <x v="3"/>
    <n v="22105"/>
    <n v="350"/>
    <n v="21504"/>
    <x v="1"/>
    <n v="0.11380000000000001"/>
    <x v="4"/>
    <s v="Owned"/>
    <n v="29"/>
    <n v="3"/>
    <s v="No"/>
    <s v="No"/>
    <x v="2"/>
    <n v="165952"/>
    <x v="1820"/>
    <x v="17"/>
    <x v="1179"/>
    <x v="1"/>
    <x v="0"/>
    <x v="2"/>
  </r>
  <r>
    <x v="1836"/>
    <s v="Miss Crystal Zimmerman PhD"/>
    <x v="15"/>
    <x v="1"/>
    <x v="0"/>
    <s v="High School"/>
    <x v="2"/>
    <n v="71638"/>
    <n v="348"/>
    <n v="32589"/>
    <x v="2"/>
    <n v="9.6999999999999989E-2"/>
    <x v="1"/>
    <s v="Owned"/>
    <n v="24"/>
    <n v="2"/>
    <s v="No"/>
    <s v="Yes"/>
    <x v="2"/>
    <n v="190646"/>
    <x v="1821"/>
    <x v="59"/>
    <x v="853"/>
    <x v="0"/>
    <x v="0"/>
    <x v="2"/>
  </r>
  <r>
    <x v="1837"/>
    <s v="Robert Hull"/>
    <x v="43"/>
    <x v="1"/>
    <x v="3"/>
    <s v="PhD"/>
    <x v="3"/>
    <n v="43610"/>
    <n v="348"/>
    <n v="16295"/>
    <x v="1"/>
    <n v="6.7199999999999996E-2"/>
    <x v="4"/>
    <s v="Mortgaged"/>
    <n v="1"/>
    <n v="2"/>
    <s v="No"/>
    <s v="Yes"/>
    <x v="0"/>
    <n v="154514"/>
    <x v="1822"/>
    <x v="6"/>
    <x v="1180"/>
    <x v="1"/>
    <x v="0"/>
    <x v="2"/>
  </r>
  <r>
    <x v="1838"/>
    <s v="Mrs. Donna Sandoval"/>
    <x v="9"/>
    <x v="1"/>
    <x v="1"/>
    <s v="Graduate"/>
    <x v="1"/>
    <n v="111656"/>
    <n v="348"/>
    <n v="41861"/>
    <x v="2"/>
    <n v="0.1429"/>
    <x v="2"/>
    <s v="Rented"/>
    <n v="7"/>
    <n v="1"/>
    <s v="No"/>
    <s v="No"/>
    <x v="0"/>
    <n v="19062"/>
    <x v="1823"/>
    <x v="36"/>
    <x v="371"/>
    <x v="0"/>
    <x v="0"/>
    <x v="2"/>
  </r>
  <r>
    <x v="1839"/>
    <s v="Sandy Aguilar"/>
    <x v="0"/>
    <x v="0"/>
    <x v="0"/>
    <s v="Postgraduate"/>
    <x v="0"/>
    <n v="36448"/>
    <n v="348"/>
    <n v="12517"/>
    <x v="2"/>
    <n v="0.1885"/>
    <x v="1"/>
    <s v="Rented"/>
    <n v="7"/>
    <n v="3"/>
    <s v="Yes"/>
    <s v="Yes"/>
    <x v="2"/>
    <n v="31584"/>
    <x v="1824"/>
    <x v="32"/>
    <x v="671"/>
    <x v="1"/>
    <x v="0"/>
    <x v="2"/>
  </r>
  <r>
    <x v="1840"/>
    <s v="Nancy Wilson"/>
    <x v="19"/>
    <x v="1"/>
    <x v="0"/>
    <s v="PhD"/>
    <x v="2"/>
    <n v="34292"/>
    <n v="347"/>
    <n v="4598"/>
    <x v="3"/>
    <n v="0.15490000000000001"/>
    <x v="5"/>
    <s v="Rented"/>
    <n v="29"/>
    <n v="0"/>
    <s v="Yes"/>
    <s v="No"/>
    <x v="1"/>
    <n v="44659"/>
    <x v="1825"/>
    <x v="21"/>
    <x v="1181"/>
    <x v="0"/>
    <x v="0"/>
    <x v="2"/>
  </r>
  <r>
    <x v="1841"/>
    <s v="Julia Patel"/>
    <x v="2"/>
    <x v="0"/>
    <x v="1"/>
    <s v="PhD"/>
    <x v="0"/>
    <n v="115335"/>
    <n v="347"/>
    <n v="3160"/>
    <x v="1"/>
    <n v="0.12"/>
    <x v="0"/>
    <s v="Rented"/>
    <n v="28"/>
    <n v="3"/>
    <s v="Yes"/>
    <s v="No"/>
    <x v="4"/>
    <n v="103955"/>
    <x v="1826"/>
    <x v="61"/>
    <x v="713"/>
    <x v="1"/>
    <x v="1"/>
    <x v="2"/>
  </r>
  <r>
    <x v="1842"/>
    <s v="Joshua Buchanan"/>
    <x v="6"/>
    <x v="1"/>
    <x v="3"/>
    <s v="Postgraduate"/>
    <x v="3"/>
    <n v="77557"/>
    <n v="347"/>
    <n v="20171"/>
    <x v="2"/>
    <n v="0.1769"/>
    <x v="4"/>
    <s v="Mortgaged"/>
    <n v="29"/>
    <n v="3"/>
    <s v="No"/>
    <s v="Yes"/>
    <x v="4"/>
    <n v="69457"/>
    <x v="1827"/>
    <x v="14"/>
    <x v="406"/>
    <x v="0"/>
    <x v="0"/>
    <x v="2"/>
  </r>
  <r>
    <x v="1843"/>
    <s v="Jose Harvey"/>
    <x v="16"/>
    <x v="0"/>
    <x v="0"/>
    <s v="PhD"/>
    <x v="1"/>
    <n v="97928"/>
    <n v="346"/>
    <n v="25563"/>
    <x v="0"/>
    <n v="7.9299999999999995E-2"/>
    <x v="3"/>
    <s v="Rented"/>
    <n v="5"/>
    <n v="1"/>
    <s v="No"/>
    <s v="Yes"/>
    <x v="0"/>
    <n v="35394"/>
    <x v="1828"/>
    <x v="79"/>
    <x v="783"/>
    <x v="1"/>
    <x v="0"/>
    <x v="2"/>
  </r>
  <r>
    <x v="1844"/>
    <s v="Megan Farmer"/>
    <x v="41"/>
    <x v="0"/>
    <x v="2"/>
    <s v="Postgraduate"/>
    <x v="2"/>
    <n v="120400"/>
    <n v="346"/>
    <n v="34744"/>
    <x v="2"/>
    <n v="0.1759"/>
    <x v="0"/>
    <s v="Mortgaged"/>
    <n v="23"/>
    <n v="2"/>
    <s v="Yes"/>
    <s v="No"/>
    <x v="0"/>
    <n v="120240"/>
    <x v="1829"/>
    <x v="46"/>
    <x v="1012"/>
    <x v="1"/>
    <x v="0"/>
    <x v="2"/>
  </r>
  <r>
    <x v="1845"/>
    <s v="Vincent Sheppard"/>
    <x v="30"/>
    <x v="1"/>
    <x v="2"/>
    <s v="Graduate"/>
    <x v="1"/>
    <n v="132260"/>
    <n v="346"/>
    <n v="8919"/>
    <x v="2"/>
    <n v="0.192"/>
    <x v="4"/>
    <s v="Rented"/>
    <n v="18"/>
    <n v="1"/>
    <s v="Yes"/>
    <s v="Yes"/>
    <x v="2"/>
    <n v="92995"/>
    <x v="1830"/>
    <x v="68"/>
    <x v="690"/>
    <x v="0"/>
    <x v="0"/>
    <x v="2"/>
  </r>
  <r>
    <x v="1846"/>
    <s v="Erika Cross"/>
    <x v="16"/>
    <x v="0"/>
    <x v="2"/>
    <s v="PhD"/>
    <x v="2"/>
    <n v="115380"/>
    <n v="346"/>
    <n v="46320"/>
    <x v="4"/>
    <n v="0.17460000000000001"/>
    <x v="3"/>
    <s v="Mortgaged"/>
    <n v="3"/>
    <n v="2"/>
    <s v="No"/>
    <s v="Yes"/>
    <x v="3"/>
    <n v="37876"/>
    <x v="1831"/>
    <x v="59"/>
    <x v="573"/>
    <x v="1"/>
    <x v="0"/>
    <x v="2"/>
  </r>
  <r>
    <x v="1847"/>
    <s v="Lisa Cobb"/>
    <x v="2"/>
    <x v="0"/>
    <x v="3"/>
    <s v="High School"/>
    <x v="3"/>
    <n v="142652"/>
    <n v="346"/>
    <n v="48445"/>
    <x v="3"/>
    <n v="0.1464"/>
    <x v="1"/>
    <s v="Mortgaged"/>
    <n v="16"/>
    <n v="3"/>
    <s v="Yes"/>
    <s v="No"/>
    <x v="3"/>
    <n v="52763"/>
    <x v="1832"/>
    <x v="24"/>
    <x v="1182"/>
    <x v="1"/>
    <x v="0"/>
    <x v="2"/>
  </r>
  <r>
    <x v="1848"/>
    <s v="Mary Hansen DVM"/>
    <x v="14"/>
    <x v="0"/>
    <x v="3"/>
    <s v="Postgraduate"/>
    <x v="1"/>
    <n v="113860"/>
    <n v="345"/>
    <n v="40046"/>
    <x v="3"/>
    <n v="8.9399999999999993E-2"/>
    <x v="5"/>
    <s v="Mortgaged"/>
    <n v="20"/>
    <n v="3"/>
    <s v="No"/>
    <s v="Yes"/>
    <x v="1"/>
    <n v="199754"/>
    <x v="1833"/>
    <x v="45"/>
    <x v="474"/>
    <x v="0"/>
    <x v="1"/>
    <x v="2"/>
  </r>
  <r>
    <x v="1849"/>
    <s v="Dale Taylor"/>
    <x v="37"/>
    <x v="1"/>
    <x v="3"/>
    <s v="PhD"/>
    <x v="2"/>
    <n v="48804"/>
    <n v="345"/>
    <n v="34706"/>
    <x v="3"/>
    <n v="9.1499999999999998E-2"/>
    <x v="0"/>
    <s v="Rented"/>
    <n v="15"/>
    <n v="4"/>
    <s v="No"/>
    <s v="No"/>
    <x v="3"/>
    <n v="114644"/>
    <x v="1834"/>
    <x v="26"/>
    <x v="104"/>
    <x v="1"/>
    <x v="0"/>
    <x v="2"/>
  </r>
  <r>
    <x v="1850"/>
    <s v="Amy Hebert"/>
    <x v="14"/>
    <x v="1"/>
    <x v="2"/>
    <s v="Postgraduate"/>
    <x v="2"/>
    <n v="84510"/>
    <n v="345"/>
    <n v="41655"/>
    <x v="4"/>
    <n v="0.16639999999999999"/>
    <x v="4"/>
    <s v="Mortgaged"/>
    <n v="9"/>
    <n v="3"/>
    <s v="Yes"/>
    <s v="Yes"/>
    <x v="1"/>
    <n v="43127"/>
    <x v="1835"/>
    <x v="33"/>
    <x v="1183"/>
    <x v="0"/>
    <x v="1"/>
    <x v="2"/>
  </r>
  <r>
    <x v="1851"/>
    <s v="Eric Alexander"/>
    <x v="26"/>
    <x v="1"/>
    <x v="3"/>
    <s v="High School"/>
    <x v="0"/>
    <n v="105311"/>
    <n v="344"/>
    <n v="18743"/>
    <x v="0"/>
    <n v="0.16059999999999999"/>
    <x v="0"/>
    <s v="Owned"/>
    <n v="27"/>
    <n v="2"/>
    <s v="Yes"/>
    <s v="Yes"/>
    <x v="0"/>
    <n v="183258"/>
    <x v="1836"/>
    <x v="50"/>
    <x v="659"/>
    <x v="1"/>
    <x v="0"/>
    <x v="2"/>
  </r>
  <r>
    <x v="1852"/>
    <s v="Daniel Burton"/>
    <x v="32"/>
    <x v="0"/>
    <x v="0"/>
    <s v="Graduate"/>
    <x v="3"/>
    <n v="144232"/>
    <n v="343"/>
    <n v="12741"/>
    <x v="3"/>
    <n v="0.17350000000000002"/>
    <x v="3"/>
    <s v="Rented"/>
    <n v="4"/>
    <n v="0"/>
    <s v="No"/>
    <s v="Yes"/>
    <x v="4"/>
    <n v="142287"/>
    <x v="1837"/>
    <x v="1"/>
    <x v="1184"/>
    <x v="1"/>
    <x v="0"/>
    <x v="2"/>
  </r>
  <r>
    <x v="1853"/>
    <s v="Jesse Wells"/>
    <x v="43"/>
    <x v="0"/>
    <x v="0"/>
    <s v="High School"/>
    <x v="0"/>
    <n v="37043"/>
    <n v="343"/>
    <n v="4465"/>
    <x v="2"/>
    <n v="7.85E-2"/>
    <x v="4"/>
    <s v="Rented"/>
    <n v="25"/>
    <n v="2"/>
    <s v="Yes"/>
    <s v="Yes"/>
    <x v="3"/>
    <n v="114235"/>
    <x v="1838"/>
    <x v="43"/>
    <x v="1185"/>
    <x v="1"/>
    <x v="1"/>
    <x v="2"/>
  </r>
  <r>
    <x v="1854"/>
    <s v="Jerry Clay"/>
    <x v="13"/>
    <x v="0"/>
    <x v="1"/>
    <s v="Graduate"/>
    <x v="0"/>
    <n v="123903"/>
    <n v="343"/>
    <n v="30283"/>
    <x v="2"/>
    <n v="0.17309999999999998"/>
    <x v="4"/>
    <s v="Mortgaged"/>
    <n v="26"/>
    <n v="2"/>
    <s v="Yes"/>
    <s v="No"/>
    <x v="4"/>
    <n v="186254"/>
    <x v="1839"/>
    <x v="73"/>
    <x v="898"/>
    <x v="1"/>
    <x v="0"/>
    <x v="2"/>
  </r>
  <r>
    <x v="1855"/>
    <s v="James Wilson"/>
    <x v="42"/>
    <x v="0"/>
    <x v="3"/>
    <s v="Graduate"/>
    <x v="3"/>
    <n v="85034"/>
    <n v="342"/>
    <n v="10552"/>
    <x v="4"/>
    <n v="0.11960000000000001"/>
    <x v="1"/>
    <s v="Owned"/>
    <n v="8"/>
    <n v="2"/>
    <s v="Yes"/>
    <s v="Yes"/>
    <x v="4"/>
    <n v="101879"/>
    <x v="1840"/>
    <x v="42"/>
    <x v="833"/>
    <x v="1"/>
    <x v="0"/>
    <x v="2"/>
  </r>
  <r>
    <x v="1856"/>
    <s v="Timothy Ryan"/>
    <x v="43"/>
    <x v="1"/>
    <x v="2"/>
    <s v="Graduate"/>
    <x v="2"/>
    <n v="32963"/>
    <n v="342"/>
    <n v="39015"/>
    <x v="1"/>
    <n v="8.9700000000000002E-2"/>
    <x v="0"/>
    <s v="Rented"/>
    <n v="21"/>
    <n v="3"/>
    <s v="Yes"/>
    <s v="Yes"/>
    <x v="0"/>
    <n v="67950"/>
    <x v="1841"/>
    <x v="19"/>
    <x v="1186"/>
    <x v="1"/>
    <x v="0"/>
    <x v="2"/>
  </r>
  <r>
    <x v="1857"/>
    <s v="Lori Mcpherson"/>
    <x v="8"/>
    <x v="1"/>
    <x v="1"/>
    <s v="PhD"/>
    <x v="2"/>
    <n v="132255"/>
    <n v="342"/>
    <n v="15167"/>
    <x v="1"/>
    <n v="0.159"/>
    <x v="4"/>
    <s v="Owned"/>
    <n v="17"/>
    <n v="2"/>
    <s v="No"/>
    <s v="No"/>
    <x v="4"/>
    <n v="164290"/>
    <x v="1842"/>
    <x v="20"/>
    <x v="1023"/>
    <x v="1"/>
    <x v="0"/>
    <x v="2"/>
  </r>
  <r>
    <x v="1858"/>
    <s v="Christina Soto"/>
    <x v="32"/>
    <x v="0"/>
    <x v="1"/>
    <s v="Postgraduate"/>
    <x v="1"/>
    <n v="40689"/>
    <n v="341"/>
    <n v="21796"/>
    <x v="3"/>
    <n v="0.17949999999999999"/>
    <x v="4"/>
    <s v="Owned"/>
    <n v="10"/>
    <n v="1"/>
    <s v="No"/>
    <s v="No"/>
    <x v="4"/>
    <n v="36397"/>
    <x v="1843"/>
    <x v="2"/>
    <x v="930"/>
    <x v="1"/>
    <x v="0"/>
    <x v="2"/>
  </r>
  <r>
    <x v="1859"/>
    <s v="Karen Miller"/>
    <x v="31"/>
    <x v="0"/>
    <x v="0"/>
    <s v="PhD"/>
    <x v="1"/>
    <n v="48477"/>
    <n v="341"/>
    <n v="24284"/>
    <x v="1"/>
    <n v="0.1072"/>
    <x v="3"/>
    <s v="Mortgaged"/>
    <n v="22"/>
    <n v="0"/>
    <s v="No"/>
    <s v="Yes"/>
    <x v="3"/>
    <n v="44857"/>
    <x v="1844"/>
    <x v="19"/>
    <x v="1142"/>
    <x v="0"/>
    <x v="0"/>
    <x v="2"/>
  </r>
  <r>
    <x v="1860"/>
    <s v="Julie Hardy"/>
    <x v="4"/>
    <x v="1"/>
    <x v="1"/>
    <s v="PhD"/>
    <x v="1"/>
    <n v="108780"/>
    <n v="341"/>
    <n v="44075"/>
    <x v="1"/>
    <n v="6.2899999999999998E-2"/>
    <x v="3"/>
    <s v="Mortgaged"/>
    <n v="23"/>
    <n v="1"/>
    <s v="Yes"/>
    <s v="Yes"/>
    <x v="1"/>
    <n v="184537"/>
    <x v="1845"/>
    <x v="45"/>
    <x v="28"/>
    <x v="0"/>
    <x v="0"/>
    <x v="2"/>
  </r>
  <r>
    <x v="1861"/>
    <s v="Kelly Brown"/>
    <x v="2"/>
    <x v="1"/>
    <x v="1"/>
    <s v="PhD"/>
    <x v="2"/>
    <n v="20368"/>
    <n v="341"/>
    <n v="10982"/>
    <x v="3"/>
    <n v="0.1366"/>
    <x v="3"/>
    <s v="Owned"/>
    <n v="23"/>
    <n v="1"/>
    <s v="No"/>
    <s v="Yes"/>
    <x v="0"/>
    <n v="49411"/>
    <x v="1846"/>
    <x v="78"/>
    <x v="209"/>
    <x v="0"/>
    <x v="0"/>
    <x v="2"/>
  </r>
  <r>
    <x v="1862"/>
    <s v="Leah Flowers"/>
    <x v="33"/>
    <x v="0"/>
    <x v="1"/>
    <s v="PhD"/>
    <x v="2"/>
    <n v="121610"/>
    <n v="341"/>
    <n v="1590"/>
    <x v="1"/>
    <n v="0.1963"/>
    <x v="1"/>
    <s v="Rented"/>
    <n v="16"/>
    <n v="3"/>
    <s v="No"/>
    <s v="No"/>
    <x v="4"/>
    <n v="21576"/>
    <x v="1847"/>
    <x v="87"/>
    <x v="1138"/>
    <x v="1"/>
    <x v="0"/>
    <x v="2"/>
  </r>
  <r>
    <x v="1863"/>
    <s v="Michael Mueller"/>
    <x v="13"/>
    <x v="0"/>
    <x v="1"/>
    <s v="Postgraduate"/>
    <x v="1"/>
    <n v="109743"/>
    <n v="340"/>
    <n v="14470"/>
    <x v="2"/>
    <n v="0.17230000000000001"/>
    <x v="4"/>
    <s v="Rented"/>
    <n v="5"/>
    <n v="1"/>
    <s v="Yes"/>
    <s v="No"/>
    <x v="4"/>
    <n v="153879"/>
    <x v="1848"/>
    <x v="7"/>
    <x v="1187"/>
    <x v="1"/>
    <x v="1"/>
    <x v="2"/>
  </r>
  <r>
    <x v="1864"/>
    <s v="Emily Roach"/>
    <x v="8"/>
    <x v="1"/>
    <x v="2"/>
    <s v="PhD"/>
    <x v="1"/>
    <n v="88322"/>
    <n v="340"/>
    <n v="12652"/>
    <x v="0"/>
    <n v="6.8000000000000005E-2"/>
    <x v="5"/>
    <s v="Rented"/>
    <n v="3"/>
    <n v="3"/>
    <s v="Yes"/>
    <s v="Yes"/>
    <x v="3"/>
    <n v="64236"/>
    <x v="1849"/>
    <x v="24"/>
    <x v="967"/>
    <x v="1"/>
    <x v="1"/>
    <x v="2"/>
  </r>
  <r>
    <x v="1865"/>
    <s v="Tiffany Williams"/>
    <x v="21"/>
    <x v="1"/>
    <x v="2"/>
    <s v="Graduate"/>
    <x v="2"/>
    <n v="121164"/>
    <n v="340"/>
    <n v="8830"/>
    <x v="1"/>
    <n v="0.10779999999999999"/>
    <x v="1"/>
    <s v="Owned"/>
    <n v="9"/>
    <n v="0"/>
    <s v="No"/>
    <s v="No"/>
    <x v="3"/>
    <n v="25314"/>
    <x v="1850"/>
    <x v="60"/>
    <x v="240"/>
    <x v="0"/>
    <x v="0"/>
    <x v="2"/>
  </r>
  <r>
    <x v="1866"/>
    <s v="Nicholas Villarreal"/>
    <x v="29"/>
    <x v="0"/>
    <x v="2"/>
    <s v="Postgraduate"/>
    <x v="3"/>
    <n v="27642"/>
    <n v="340"/>
    <n v="33576"/>
    <x v="0"/>
    <n v="0.13350000000000001"/>
    <x v="2"/>
    <s v="Owned"/>
    <n v="19"/>
    <n v="3"/>
    <s v="No"/>
    <s v="No"/>
    <x v="4"/>
    <n v="147919"/>
    <x v="1851"/>
    <x v="66"/>
    <x v="1188"/>
    <x v="0"/>
    <x v="0"/>
    <x v="2"/>
  </r>
  <r>
    <x v="1867"/>
    <s v="Adam Kemp"/>
    <x v="30"/>
    <x v="1"/>
    <x v="2"/>
    <s v="High School"/>
    <x v="1"/>
    <n v="139154"/>
    <n v="339"/>
    <n v="27926"/>
    <x v="3"/>
    <n v="0.1275"/>
    <x v="5"/>
    <s v="Owned"/>
    <n v="12"/>
    <n v="0"/>
    <s v="Yes"/>
    <s v="No"/>
    <x v="4"/>
    <n v="10370"/>
    <x v="1852"/>
    <x v="75"/>
    <x v="506"/>
    <x v="1"/>
    <x v="0"/>
    <x v="2"/>
  </r>
  <r>
    <x v="1868"/>
    <s v="Richard Baldwin"/>
    <x v="8"/>
    <x v="1"/>
    <x v="0"/>
    <s v="Postgraduate"/>
    <x v="3"/>
    <n v="64149"/>
    <n v="339"/>
    <n v="39485"/>
    <x v="0"/>
    <n v="8.4199999999999997E-2"/>
    <x v="5"/>
    <s v="Mortgaged"/>
    <n v="22"/>
    <n v="2"/>
    <s v="Yes"/>
    <s v="Yes"/>
    <x v="4"/>
    <n v="29483"/>
    <x v="1853"/>
    <x v="20"/>
    <x v="909"/>
    <x v="0"/>
    <x v="0"/>
    <x v="2"/>
  </r>
  <r>
    <x v="1869"/>
    <s v="Maria Fletcher"/>
    <x v="0"/>
    <x v="0"/>
    <x v="0"/>
    <s v="PhD"/>
    <x v="3"/>
    <n v="54206"/>
    <n v="338"/>
    <n v="4691"/>
    <x v="0"/>
    <n v="0.12670000000000001"/>
    <x v="1"/>
    <s v="Mortgaged"/>
    <n v="11"/>
    <n v="2"/>
    <s v="Yes"/>
    <s v="Yes"/>
    <x v="1"/>
    <n v="157868"/>
    <x v="1854"/>
    <x v="53"/>
    <x v="452"/>
    <x v="1"/>
    <x v="0"/>
    <x v="2"/>
  </r>
  <r>
    <x v="1870"/>
    <s v="Brittany Rubio"/>
    <x v="29"/>
    <x v="0"/>
    <x v="0"/>
    <s v="Graduate"/>
    <x v="1"/>
    <n v="126410"/>
    <n v="338"/>
    <n v="24016"/>
    <x v="4"/>
    <n v="6.480000000000001E-2"/>
    <x v="0"/>
    <s v="Rented"/>
    <n v="5"/>
    <n v="4"/>
    <s v="No"/>
    <s v="No"/>
    <x v="3"/>
    <n v="159894"/>
    <x v="1855"/>
    <x v="25"/>
    <x v="329"/>
    <x v="1"/>
    <x v="0"/>
    <x v="2"/>
  </r>
  <r>
    <x v="1871"/>
    <s v="Andrew Johnson"/>
    <x v="43"/>
    <x v="0"/>
    <x v="0"/>
    <s v="High School"/>
    <x v="2"/>
    <n v="107132"/>
    <n v="338"/>
    <n v="26255"/>
    <x v="1"/>
    <n v="0.10619999999999999"/>
    <x v="5"/>
    <s v="Mortgaged"/>
    <n v="2"/>
    <n v="0"/>
    <s v="No"/>
    <s v="No"/>
    <x v="4"/>
    <n v="18328"/>
    <x v="1856"/>
    <x v="62"/>
    <x v="1189"/>
    <x v="1"/>
    <x v="1"/>
    <x v="2"/>
  </r>
  <r>
    <x v="1872"/>
    <s v="Antonio Taylor"/>
    <x v="24"/>
    <x v="1"/>
    <x v="2"/>
    <s v="High School"/>
    <x v="0"/>
    <n v="40390"/>
    <n v="337"/>
    <n v="8694"/>
    <x v="0"/>
    <n v="0.1517"/>
    <x v="5"/>
    <s v="Mortgaged"/>
    <n v="7"/>
    <n v="0"/>
    <s v="No"/>
    <s v="Yes"/>
    <x v="3"/>
    <n v="166881"/>
    <x v="1857"/>
    <x v="75"/>
    <x v="1190"/>
    <x v="0"/>
    <x v="0"/>
    <x v="2"/>
  </r>
  <r>
    <x v="1873"/>
    <s v="Shannon Blankenship"/>
    <x v="8"/>
    <x v="1"/>
    <x v="3"/>
    <s v="PhD"/>
    <x v="1"/>
    <n v="86394"/>
    <n v="337"/>
    <n v="7579"/>
    <x v="1"/>
    <n v="0.1452"/>
    <x v="0"/>
    <s v="Rented"/>
    <n v="28"/>
    <n v="0"/>
    <s v="Yes"/>
    <s v="No"/>
    <x v="2"/>
    <n v="49454"/>
    <x v="1858"/>
    <x v="15"/>
    <x v="809"/>
    <x v="0"/>
    <x v="0"/>
    <x v="2"/>
  </r>
  <r>
    <x v="1874"/>
    <s v="Ryan Ferrell"/>
    <x v="10"/>
    <x v="1"/>
    <x v="3"/>
    <s v="Postgraduate"/>
    <x v="1"/>
    <n v="62578"/>
    <n v="337"/>
    <n v="43460"/>
    <x v="2"/>
    <n v="9.4399999999999998E-2"/>
    <x v="3"/>
    <s v="Rented"/>
    <n v="13"/>
    <n v="0"/>
    <s v="No"/>
    <s v="No"/>
    <x v="3"/>
    <n v="137130"/>
    <x v="1859"/>
    <x v="35"/>
    <x v="57"/>
    <x v="0"/>
    <x v="0"/>
    <x v="2"/>
  </r>
  <r>
    <x v="1875"/>
    <s v="Joyce Lin"/>
    <x v="29"/>
    <x v="1"/>
    <x v="3"/>
    <s v="High School"/>
    <x v="1"/>
    <n v="80726"/>
    <n v="336"/>
    <n v="35293"/>
    <x v="4"/>
    <n v="0.12570000000000001"/>
    <x v="4"/>
    <s v="Mortgaged"/>
    <n v="23"/>
    <n v="3"/>
    <s v="No"/>
    <s v="Yes"/>
    <x v="0"/>
    <n v="131275"/>
    <x v="1860"/>
    <x v="55"/>
    <x v="1191"/>
    <x v="1"/>
    <x v="1"/>
    <x v="2"/>
  </r>
  <r>
    <x v="1876"/>
    <s v="Sean Hicks"/>
    <x v="43"/>
    <x v="1"/>
    <x v="1"/>
    <s v="High School"/>
    <x v="2"/>
    <n v="117037"/>
    <n v="336"/>
    <n v="28920"/>
    <x v="3"/>
    <n v="8.3699999999999997E-2"/>
    <x v="5"/>
    <s v="Mortgaged"/>
    <n v="22"/>
    <n v="3"/>
    <s v="No"/>
    <s v="Yes"/>
    <x v="3"/>
    <n v="70845"/>
    <x v="1861"/>
    <x v="3"/>
    <x v="1192"/>
    <x v="1"/>
    <x v="0"/>
    <x v="2"/>
  </r>
  <r>
    <x v="1877"/>
    <s v="Samantha Mccann"/>
    <x v="36"/>
    <x v="0"/>
    <x v="1"/>
    <s v="PhD"/>
    <x v="3"/>
    <n v="120572"/>
    <n v="336"/>
    <n v="2408"/>
    <x v="0"/>
    <n v="0.10289999999999999"/>
    <x v="4"/>
    <s v="Mortgaged"/>
    <n v="29"/>
    <n v="2"/>
    <s v="No"/>
    <s v="Yes"/>
    <x v="3"/>
    <n v="63605"/>
    <x v="1862"/>
    <x v="17"/>
    <x v="843"/>
    <x v="0"/>
    <x v="1"/>
    <x v="2"/>
  </r>
  <r>
    <x v="1878"/>
    <s v="Catherine Carter"/>
    <x v="15"/>
    <x v="0"/>
    <x v="3"/>
    <s v="PhD"/>
    <x v="2"/>
    <n v="148303"/>
    <n v="335"/>
    <n v="9507"/>
    <x v="0"/>
    <n v="0.18079999999999999"/>
    <x v="3"/>
    <s v="Mortgaged"/>
    <n v="24"/>
    <n v="2"/>
    <s v="Yes"/>
    <s v="No"/>
    <x v="1"/>
    <n v="1701"/>
    <x v="1863"/>
    <x v="27"/>
    <x v="456"/>
    <x v="1"/>
    <x v="0"/>
    <x v="2"/>
  </r>
  <r>
    <x v="1879"/>
    <s v="Robert Weaver"/>
    <x v="10"/>
    <x v="1"/>
    <x v="0"/>
    <s v="Postgraduate"/>
    <x v="3"/>
    <n v="83288"/>
    <n v="334"/>
    <n v="41581"/>
    <x v="0"/>
    <n v="0.1173"/>
    <x v="2"/>
    <s v="Rented"/>
    <n v="1"/>
    <n v="2"/>
    <s v="Yes"/>
    <s v="Yes"/>
    <x v="0"/>
    <n v="112569"/>
    <x v="1864"/>
    <x v="72"/>
    <x v="354"/>
    <x v="0"/>
    <x v="0"/>
    <x v="2"/>
  </r>
  <r>
    <x v="1880"/>
    <s v="Sharon Morales"/>
    <x v="23"/>
    <x v="0"/>
    <x v="2"/>
    <s v="Graduate"/>
    <x v="1"/>
    <n v="122062"/>
    <n v="334"/>
    <n v="6423"/>
    <x v="3"/>
    <n v="0.152"/>
    <x v="0"/>
    <s v="Owned"/>
    <n v="26"/>
    <n v="1"/>
    <s v="Yes"/>
    <s v="Yes"/>
    <x v="4"/>
    <n v="44420"/>
    <x v="1865"/>
    <x v="79"/>
    <x v="183"/>
    <x v="1"/>
    <x v="0"/>
    <x v="2"/>
  </r>
  <r>
    <x v="1881"/>
    <s v="Nicholas Sullivan"/>
    <x v="26"/>
    <x v="0"/>
    <x v="2"/>
    <s v="Graduate"/>
    <x v="1"/>
    <n v="103488"/>
    <n v="333"/>
    <n v="30541"/>
    <x v="4"/>
    <n v="0.19320000000000001"/>
    <x v="5"/>
    <s v="Rented"/>
    <n v="15"/>
    <n v="2"/>
    <s v="No"/>
    <s v="No"/>
    <x v="0"/>
    <n v="1363"/>
    <x v="1866"/>
    <x v="29"/>
    <x v="560"/>
    <x v="0"/>
    <x v="1"/>
    <x v="2"/>
  </r>
  <r>
    <x v="1882"/>
    <s v="Justin Sloan"/>
    <x v="28"/>
    <x v="0"/>
    <x v="2"/>
    <s v="High School"/>
    <x v="1"/>
    <n v="81082"/>
    <n v="333"/>
    <n v="31482"/>
    <x v="3"/>
    <n v="7.2999999999999995E-2"/>
    <x v="0"/>
    <s v="Mortgaged"/>
    <n v="29"/>
    <n v="0"/>
    <s v="Yes"/>
    <s v="Yes"/>
    <x v="2"/>
    <n v="184505"/>
    <x v="1867"/>
    <x v="15"/>
    <x v="52"/>
    <x v="1"/>
    <x v="0"/>
    <x v="2"/>
  </r>
  <r>
    <x v="1883"/>
    <s v="Tyler Schneider"/>
    <x v="13"/>
    <x v="1"/>
    <x v="0"/>
    <s v="Graduate"/>
    <x v="0"/>
    <n v="86844"/>
    <n v="332"/>
    <n v="48992"/>
    <x v="1"/>
    <n v="0.12210000000000001"/>
    <x v="5"/>
    <s v="Owned"/>
    <n v="17"/>
    <n v="3"/>
    <s v="No"/>
    <s v="Yes"/>
    <x v="1"/>
    <n v="109054"/>
    <x v="1868"/>
    <x v="69"/>
    <x v="1193"/>
    <x v="0"/>
    <x v="0"/>
    <x v="2"/>
  </r>
  <r>
    <x v="1884"/>
    <s v="Barbara Patrick"/>
    <x v="32"/>
    <x v="0"/>
    <x v="3"/>
    <s v="Graduate"/>
    <x v="1"/>
    <n v="94656"/>
    <n v="332"/>
    <n v="46704"/>
    <x v="0"/>
    <n v="7.9000000000000001E-2"/>
    <x v="0"/>
    <s v="Owned"/>
    <n v="12"/>
    <n v="4"/>
    <s v="Yes"/>
    <s v="Yes"/>
    <x v="2"/>
    <n v="38398"/>
    <x v="1869"/>
    <x v="73"/>
    <x v="708"/>
    <x v="0"/>
    <x v="1"/>
    <x v="2"/>
  </r>
  <r>
    <x v="1885"/>
    <s v="Erik Reyes"/>
    <x v="13"/>
    <x v="1"/>
    <x v="3"/>
    <s v="Postgraduate"/>
    <x v="1"/>
    <n v="95791"/>
    <n v="332"/>
    <n v="45653"/>
    <x v="1"/>
    <n v="6.9599999999999995E-2"/>
    <x v="4"/>
    <s v="Owned"/>
    <n v="29"/>
    <n v="3"/>
    <s v="Yes"/>
    <s v="No"/>
    <x v="4"/>
    <n v="160470"/>
    <x v="1870"/>
    <x v="16"/>
    <x v="2"/>
    <x v="1"/>
    <x v="0"/>
    <x v="2"/>
  </r>
  <r>
    <x v="1886"/>
    <s v="Laurie Nelson"/>
    <x v="19"/>
    <x v="1"/>
    <x v="3"/>
    <s v="PhD"/>
    <x v="3"/>
    <n v="79946"/>
    <n v="332"/>
    <n v="9031"/>
    <x v="1"/>
    <n v="0.15060000000000001"/>
    <x v="0"/>
    <s v="Owned"/>
    <n v="26"/>
    <n v="4"/>
    <s v="No"/>
    <s v="No"/>
    <x v="1"/>
    <n v="24608"/>
    <x v="1871"/>
    <x v="7"/>
    <x v="1194"/>
    <x v="0"/>
    <x v="0"/>
    <x v="2"/>
  </r>
  <r>
    <x v="1887"/>
    <s v="Tina Cooper"/>
    <x v="31"/>
    <x v="1"/>
    <x v="3"/>
    <s v="Postgraduate"/>
    <x v="2"/>
    <n v="89211"/>
    <n v="331"/>
    <n v="31175"/>
    <x v="2"/>
    <n v="5.6100000000000004E-2"/>
    <x v="4"/>
    <s v="Mortgaged"/>
    <n v="16"/>
    <n v="4"/>
    <s v="Yes"/>
    <s v="Yes"/>
    <x v="4"/>
    <n v="135451"/>
    <x v="1872"/>
    <x v="12"/>
    <x v="395"/>
    <x v="1"/>
    <x v="1"/>
    <x v="2"/>
  </r>
  <r>
    <x v="1888"/>
    <s v="Anne Nguyen"/>
    <x v="36"/>
    <x v="0"/>
    <x v="2"/>
    <s v="PhD"/>
    <x v="2"/>
    <n v="149999"/>
    <n v="331"/>
    <n v="5876"/>
    <x v="2"/>
    <n v="9.849999999999999E-2"/>
    <x v="1"/>
    <s v="Owned"/>
    <n v="14"/>
    <n v="3"/>
    <s v="Yes"/>
    <s v="Yes"/>
    <x v="1"/>
    <n v="70593"/>
    <x v="1873"/>
    <x v="71"/>
    <x v="155"/>
    <x v="1"/>
    <x v="1"/>
    <x v="2"/>
  </r>
  <r>
    <x v="1889"/>
    <s v="Jason Johnson"/>
    <x v="10"/>
    <x v="0"/>
    <x v="1"/>
    <s v="High School"/>
    <x v="2"/>
    <n v="44398"/>
    <n v="330"/>
    <n v="22809"/>
    <x v="3"/>
    <n v="9.5000000000000001E-2"/>
    <x v="4"/>
    <s v="Mortgaged"/>
    <n v="28"/>
    <n v="2"/>
    <s v="No"/>
    <s v="Yes"/>
    <x v="3"/>
    <n v="78937"/>
    <x v="1874"/>
    <x v="2"/>
    <x v="114"/>
    <x v="0"/>
    <x v="1"/>
    <x v="2"/>
  </r>
  <r>
    <x v="1890"/>
    <s v="Amber Joyce"/>
    <x v="29"/>
    <x v="0"/>
    <x v="1"/>
    <s v="Postgraduate"/>
    <x v="3"/>
    <n v="64722"/>
    <n v="330"/>
    <n v="41551"/>
    <x v="4"/>
    <n v="7.9500000000000001E-2"/>
    <x v="3"/>
    <s v="Rented"/>
    <n v="25"/>
    <n v="4"/>
    <s v="Yes"/>
    <s v="No"/>
    <x v="1"/>
    <n v="132326"/>
    <x v="1875"/>
    <x v="32"/>
    <x v="492"/>
    <x v="0"/>
    <x v="0"/>
    <x v="2"/>
  </r>
  <r>
    <x v="1891"/>
    <s v="Brooke Booker"/>
    <x v="15"/>
    <x v="0"/>
    <x v="3"/>
    <s v="High School"/>
    <x v="0"/>
    <n v="30976"/>
    <n v="330"/>
    <n v="17965"/>
    <x v="0"/>
    <n v="5.0199999999999995E-2"/>
    <x v="3"/>
    <s v="Rented"/>
    <n v="12"/>
    <n v="4"/>
    <s v="No"/>
    <s v="No"/>
    <x v="2"/>
    <n v="70880"/>
    <x v="1876"/>
    <x v="78"/>
    <x v="89"/>
    <x v="0"/>
    <x v="0"/>
    <x v="2"/>
  </r>
  <r>
    <x v="1892"/>
    <s v="Robert Christensen"/>
    <x v="27"/>
    <x v="0"/>
    <x v="3"/>
    <s v="Postgraduate"/>
    <x v="1"/>
    <n v="115310"/>
    <n v="330"/>
    <n v="23203"/>
    <x v="2"/>
    <n v="0.1202"/>
    <x v="1"/>
    <s v="Owned"/>
    <n v="25"/>
    <n v="0"/>
    <s v="No"/>
    <s v="No"/>
    <x v="3"/>
    <n v="165011"/>
    <x v="1877"/>
    <x v="27"/>
    <x v="979"/>
    <x v="1"/>
    <x v="1"/>
    <x v="2"/>
  </r>
  <r>
    <x v="1893"/>
    <s v="Nancy Johnson"/>
    <x v="7"/>
    <x v="0"/>
    <x v="3"/>
    <s v="Postgraduate"/>
    <x v="2"/>
    <n v="45757"/>
    <n v="330"/>
    <n v="27058"/>
    <x v="1"/>
    <n v="8.1000000000000003E-2"/>
    <x v="3"/>
    <s v="Rented"/>
    <n v="28"/>
    <n v="2"/>
    <s v="Yes"/>
    <s v="Yes"/>
    <x v="0"/>
    <n v="792"/>
    <x v="1878"/>
    <x v="88"/>
    <x v="337"/>
    <x v="0"/>
    <x v="1"/>
    <x v="2"/>
  </r>
  <r>
    <x v="1894"/>
    <s v="Jonathan Kim"/>
    <x v="37"/>
    <x v="1"/>
    <x v="2"/>
    <s v="Postgraduate"/>
    <x v="1"/>
    <n v="132482"/>
    <n v="330"/>
    <n v="37365"/>
    <x v="2"/>
    <n v="0.11890000000000001"/>
    <x v="2"/>
    <s v="Rented"/>
    <n v="6"/>
    <n v="4"/>
    <s v="Yes"/>
    <s v="No"/>
    <x v="0"/>
    <n v="84487"/>
    <x v="1879"/>
    <x v="38"/>
    <x v="46"/>
    <x v="1"/>
    <x v="0"/>
    <x v="2"/>
  </r>
  <r>
    <x v="1895"/>
    <s v="Elizabeth Hines"/>
    <x v="12"/>
    <x v="0"/>
    <x v="1"/>
    <s v="High School"/>
    <x v="2"/>
    <n v="62968"/>
    <n v="329"/>
    <n v="34910"/>
    <x v="1"/>
    <n v="6.0199999999999997E-2"/>
    <x v="0"/>
    <s v="Owned"/>
    <n v="28"/>
    <n v="4"/>
    <s v="No"/>
    <s v="Yes"/>
    <x v="1"/>
    <n v="140725"/>
    <x v="1880"/>
    <x v="65"/>
    <x v="1195"/>
    <x v="1"/>
    <x v="0"/>
    <x v="2"/>
  </r>
  <r>
    <x v="1896"/>
    <s v="Patricia Fernandez"/>
    <x v="29"/>
    <x v="0"/>
    <x v="2"/>
    <s v="Postgraduate"/>
    <x v="3"/>
    <n v="120468"/>
    <n v="328"/>
    <n v="47733"/>
    <x v="0"/>
    <n v="0.09"/>
    <x v="0"/>
    <s v="Mortgaged"/>
    <n v="25"/>
    <n v="4"/>
    <s v="No"/>
    <s v="Yes"/>
    <x v="0"/>
    <n v="10622"/>
    <x v="1881"/>
    <x v="0"/>
    <x v="1196"/>
    <x v="0"/>
    <x v="0"/>
    <x v="2"/>
  </r>
  <r>
    <x v="1897"/>
    <s v="Brian Doyle"/>
    <x v="9"/>
    <x v="0"/>
    <x v="1"/>
    <s v="PhD"/>
    <x v="0"/>
    <n v="31953"/>
    <n v="328"/>
    <n v="34717"/>
    <x v="3"/>
    <n v="0.10539999999999999"/>
    <x v="3"/>
    <s v="Rented"/>
    <n v="17"/>
    <n v="3"/>
    <s v="Yes"/>
    <s v="No"/>
    <x v="1"/>
    <n v="25391"/>
    <x v="1882"/>
    <x v="83"/>
    <x v="866"/>
    <x v="1"/>
    <x v="0"/>
    <x v="2"/>
  </r>
  <r>
    <x v="1898"/>
    <s v="Wendy Carlson"/>
    <x v="12"/>
    <x v="0"/>
    <x v="3"/>
    <s v="Postgraduate"/>
    <x v="3"/>
    <n v="84280"/>
    <n v="328"/>
    <n v="32440"/>
    <x v="2"/>
    <n v="0.13730000000000001"/>
    <x v="3"/>
    <s v="Mortgaged"/>
    <n v="18"/>
    <n v="1"/>
    <s v="Yes"/>
    <s v="No"/>
    <x v="2"/>
    <n v="107623"/>
    <x v="1883"/>
    <x v="49"/>
    <x v="191"/>
    <x v="0"/>
    <x v="1"/>
    <x v="2"/>
  </r>
  <r>
    <x v="1899"/>
    <s v="Anthony Beasley"/>
    <x v="8"/>
    <x v="1"/>
    <x v="2"/>
    <s v="High School"/>
    <x v="0"/>
    <n v="44502"/>
    <n v="328"/>
    <n v="15901"/>
    <x v="0"/>
    <n v="0.16850000000000001"/>
    <x v="0"/>
    <s v="Rented"/>
    <n v="28"/>
    <n v="4"/>
    <s v="Yes"/>
    <s v="Yes"/>
    <x v="3"/>
    <n v="191614"/>
    <x v="1884"/>
    <x v="38"/>
    <x v="1197"/>
    <x v="1"/>
    <x v="0"/>
    <x v="2"/>
  </r>
  <r>
    <x v="1900"/>
    <s v="Catherine White DVM"/>
    <x v="10"/>
    <x v="0"/>
    <x v="3"/>
    <s v="Graduate"/>
    <x v="2"/>
    <n v="78453"/>
    <n v="328"/>
    <n v="44421"/>
    <x v="4"/>
    <n v="9.3200000000000005E-2"/>
    <x v="3"/>
    <s v="Mortgaged"/>
    <n v="20"/>
    <n v="2"/>
    <s v="Yes"/>
    <s v="Yes"/>
    <x v="2"/>
    <n v="149017"/>
    <x v="1885"/>
    <x v="42"/>
    <x v="1198"/>
    <x v="1"/>
    <x v="0"/>
    <x v="2"/>
  </r>
  <r>
    <x v="1901"/>
    <s v="Anthony Osborn"/>
    <x v="1"/>
    <x v="1"/>
    <x v="0"/>
    <s v="Postgraduate"/>
    <x v="1"/>
    <n v="64333"/>
    <n v="327"/>
    <n v="33599"/>
    <x v="0"/>
    <n v="0.1124"/>
    <x v="0"/>
    <s v="Owned"/>
    <n v="26"/>
    <n v="2"/>
    <s v="Yes"/>
    <s v="No"/>
    <x v="0"/>
    <n v="57631"/>
    <x v="1886"/>
    <x v="75"/>
    <x v="1023"/>
    <x v="0"/>
    <x v="0"/>
    <x v="2"/>
  </r>
  <r>
    <x v="1902"/>
    <s v="Eric Guerra"/>
    <x v="41"/>
    <x v="1"/>
    <x v="0"/>
    <s v="PhD"/>
    <x v="3"/>
    <n v="104171"/>
    <n v="327"/>
    <n v="10524"/>
    <x v="0"/>
    <n v="0.1265"/>
    <x v="4"/>
    <s v="Mortgaged"/>
    <n v="13"/>
    <n v="4"/>
    <s v="No"/>
    <s v="Yes"/>
    <x v="0"/>
    <n v="113982"/>
    <x v="1887"/>
    <x v="44"/>
    <x v="767"/>
    <x v="1"/>
    <x v="0"/>
    <x v="2"/>
  </r>
  <r>
    <x v="1903"/>
    <s v="Philip Bryant"/>
    <x v="9"/>
    <x v="0"/>
    <x v="1"/>
    <s v="Graduate"/>
    <x v="1"/>
    <n v="80663"/>
    <n v="327"/>
    <n v="7159"/>
    <x v="2"/>
    <n v="0.1148"/>
    <x v="5"/>
    <s v="Mortgaged"/>
    <n v="13"/>
    <n v="2"/>
    <s v="Yes"/>
    <s v="Yes"/>
    <x v="1"/>
    <n v="77263"/>
    <x v="1888"/>
    <x v="13"/>
    <x v="297"/>
    <x v="1"/>
    <x v="0"/>
    <x v="2"/>
  </r>
  <r>
    <x v="1904"/>
    <s v="Steven Williams"/>
    <x v="28"/>
    <x v="1"/>
    <x v="2"/>
    <s v="High School"/>
    <x v="2"/>
    <n v="145604"/>
    <n v="326"/>
    <n v="48653"/>
    <x v="2"/>
    <n v="0.17949999999999999"/>
    <x v="5"/>
    <s v="Rented"/>
    <n v="14"/>
    <n v="0"/>
    <s v="No"/>
    <s v="No"/>
    <x v="2"/>
    <n v="15451"/>
    <x v="1889"/>
    <x v="68"/>
    <x v="713"/>
    <x v="1"/>
    <x v="0"/>
    <x v="2"/>
  </r>
  <r>
    <x v="1905"/>
    <s v="Rose Tran"/>
    <x v="35"/>
    <x v="1"/>
    <x v="3"/>
    <s v="Postgraduate"/>
    <x v="0"/>
    <n v="146881"/>
    <n v="325"/>
    <n v="16447"/>
    <x v="4"/>
    <n v="7.2700000000000001E-2"/>
    <x v="3"/>
    <s v="Mortgaged"/>
    <n v="2"/>
    <n v="0"/>
    <s v="No"/>
    <s v="Yes"/>
    <x v="0"/>
    <n v="66512"/>
    <x v="1890"/>
    <x v="79"/>
    <x v="641"/>
    <x v="1"/>
    <x v="0"/>
    <x v="2"/>
  </r>
  <r>
    <x v="1906"/>
    <s v="Jennifer Livingston"/>
    <x v="4"/>
    <x v="0"/>
    <x v="1"/>
    <s v="Postgraduate"/>
    <x v="3"/>
    <n v="111417"/>
    <n v="325"/>
    <n v="27365"/>
    <x v="4"/>
    <n v="0.19350000000000001"/>
    <x v="0"/>
    <s v="Rented"/>
    <n v="7"/>
    <n v="1"/>
    <s v="Yes"/>
    <s v="Yes"/>
    <x v="4"/>
    <n v="24120"/>
    <x v="1891"/>
    <x v="42"/>
    <x v="783"/>
    <x v="1"/>
    <x v="1"/>
    <x v="2"/>
  </r>
  <r>
    <x v="1907"/>
    <s v="Jennifer Calderon"/>
    <x v="37"/>
    <x v="0"/>
    <x v="1"/>
    <s v="PhD"/>
    <x v="3"/>
    <n v="48511"/>
    <n v="325"/>
    <n v="35512"/>
    <x v="3"/>
    <n v="0.1447"/>
    <x v="2"/>
    <s v="Owned"/>
    <n v="14"/>
    <n v="0"/>
    <s v="No"/>
    <s v="Yes"/>
    <x v="4"/>
    <n v="149553"/>
    <x v="1892"/>
    <x v="40"/>
    <x v="945"/>
    <x v="0"/>
    <x v="0"/>
    <x v="2"/>
  </r>
  <r>
    <x v="1908"/>
    <s v="Natasha Bennett"/>
    <x v="35"/>
    <x v="1"/>
    <x v="1"/>
    <s v="Postgraduate"/>
    <x v="1"/>
    <n v="95403"/>
    <n v="324"/>
    <n v="5830"/>
    <x v="4"/>
    <n v="0.13250000000000001"/>
    <x v="2"/>
    <s v="Owned"/>
    <n v="12"/>
    <n v="0"/>
    <s v="Yes"/>
    <s v="Yes"/>
    <x v="3"/>
    <n v="6844"/>
    <x v="1893"/>
    <x v="26"/>
    <x v="1199"/>
    <x v="1"/>
    <x v="0"/>
    <x v="2"/>
  </r>
  <r>
    <x v="1909"/>
    <s v="Tyler Dillon"/>
    <x v="41"/>
    <x v="1"/>
    <x v="1"/>
    <s v="Postgraduate"/>
    <x v="0"/>
    <n v="112705"/>
    <n v="324"/>
    <n v="14027"/>
    <x v="1"/>
    <n v="9.6000000000000002E-2"/>
    <x v="1"/>
    <s v="Owned"/>
    <n v="1"/>
    <n v="3"/>
    <s v="No"/>
    <s v="No"/>
    <x v="3"/>
    <n v="3801"/>
    <x v="1894"/>
    <x v="36"/>
    <x v="917"/>
    <x v="1"/>
    <x v="0"/>
    <x v="2"/>
  </r>
  <r>
    <x v="1910"/>
    <s v="Matthew Hobbs"/>
    <x v="22"/>
    <x v="1"/>
    <x v="2"/>
    <s v="PhD"/>
    <x v="1"/>
    <n v="46469"/>
    <n v="324"/>
    <n v="28399"/>
    <x v="3"/>
    <n v="0.1401"/>
    <x v="5"/>
    <s v="Mortgaged"/>
    <n v="26"/>
    <n v="0"/>
    <s v="Yes"/>
    <s v="Yes"/>
    <x v="3"/>
    <n v="89412"/>
    <x v="1895"/>
    <x v="10"/>
    <x v="1200"/>
    <x v="0"/>
    <x v="0"/>
    <x v="2"/>
  </r>
  <r>
    <x v="1911"/>
    <s v="Jimmy Pugh"/>
    <x v="16"/>
    <x v="0"/>
    <x v="2"/>
    <s v="High School"/>
    <x v="1"/>
    <n v="144277"/>
    <n v="324"/>
    <n v="43485"/>
    <x v="4"/>
    <n v="9.4899999999999998E-2"/>
    <x v="2"/>
    <s v="Mortgaged"/>
    <n v="16"/>
    <n v="2"/>
    <s v="No"/>
    <s v="Yes"/>
    <x v="2"/>
    <n v="62055"/>
    <x v="1896"/>
    <x v="27"/>
    <x v="52"/>
    <x v="1"/>
    <x v="1"/>
    <x v="2"/>
  </r>
  <r>
    <x v="1912"/>
    <s v="Kathryn Smith"/>
    <x v="34"/>
    <x v="1"/>
    <x v="1"/>
    <s v="High School"/>
    <x v="0"/>
    <n v="120962"/>
    <n v="323"/>
    <n v="10705"/>
    <x v="0"/>
    <n v="5.5500000000000001E-2"/>
    <x v="5"/>
    <s v="Mortgaged"/>
    <n v="12"/>
    <n v="2"/>
    <s v="Yes"/>
    <s v="Yes"/>
    <x v="4"/>
    <n v="156038"/>
    <x v="1897"/>
    <x v="21"/>
    <x v="541"/>
    <x v="1"/>
    <x v="1"/>
    <x v="2"/>
  </r>
  <r>
    <x v="1913"/>
    <s v="Michael Ramsey"/>
    <x v="26"/>
    <x v="0"/>
    <x v="2"/>
    <s v="PhD"/>
    <x v="0"/>
    <n v="95164"/>
    <n v="323"/>
    <n v="8715"/>
    <x v="3"/>
    <n v="9.2600000000000002E-2"/>
    <x v="2"/>
    <s v="Rented"/>
    <n v="18"/>
    <n v="1"/>
    <s v="No"/>
    <s v="No"/>
    <x v="4"/>
    <n v="44624"/>
    <x v="1898"/>
    <x v="73"/>
    <x v="385"/>
    <x v="1"/>
    <x v="0"/>
    <x v="2"/>
  </r>
  <r>
    <x v="1914"/>
    <s v="Patrick Gomez"/>
    <x v="22"/>
    <x v="0"/>
    <x v="1"/>
    <s v="Postgraduate"/>
    <x v="0"/>
    <n v="120161"/>
    <n v="323"/>
    <n v="43120"/>
    <x v="2"/>
    <n v="8.8800000000000004E-2"/>
    <x v="4"/>
    <s v="Mortgaged"/>
    <n v="5"/>
    <n v="1"/>
    <s v="No"/>
    <s v="Yes"/>
    <x v="3"/>
    <n v="158993"/>
    <x v="1899"/>
    <x v="30"/>
    <x v="1110"/>
    <x v="0"/>
    <x v="0"/>
    <x v="2"/>
  </r>
  <r>
    <x v="1915"/>
    <s v="Kevin Alvarez"/>
    <x v="7"/>
    <x v="1"/>
    <x v="1"/>
    <s v="PhD"/>
    <x v="3"/>
    <n v="91327"/>
    <n v="323"/>
    <n v="10290"/>
    <x v="0"/>
    <n v="0.19760000000000003"/>
    <x v="2"/>
    <s v="Mortgaged"/>
    <n v="27"/>
    <n v="0"/>
    <s v="Yes"/>
    <s v="Yes"/>
    <x v="0"/>
    <n v="52434"/>
    <x v="1900"/>
    <x v="5"/>
    <x v="318"/>
    <x v="1"/>
    <x v="0"/>
    <x v="2"/>
  </r>
  <r>
    <x v="1916"/>
    <s v="Cynthia Johnson"/>
    <x v="13"/>
    <x v="1"/>
    <x v="0"/>
    <s v="High School"/>
    <x v="1"/>
    <n v="107876"/>
    <n v="322"/>
    <n v="46785"/>
    <x v="4"/>
    <n v="6.6400000000000001E-2"/>
    <x v="5"/>
    <s v="Rented"/>
    <n v="26"/>
    <n v="3"/>
    <s v="No"/>
    <s v="No"/>
    <x v="3"/>
    <n v="64333"/>
    <x v="1901"/>
    <x v="59"/>
    <x v="1009"/>
    <x v="1"/>
    <x v="0"/>
    <x v="2"/>
  </r>
  <r>
    <x v="1917"/>
    <s v="Angela Clark"/>
    <x v="16"/>
    <x v="1"/>
    <x v="1"/>
    <s v="PhD"/>
    <x v="1"/>
    <n v="105469"/>
    <n v="322"/>
    <n v="19706"/>
    <x v="4"/>
    <n v="0.18030000000000002"/>
    <x v="0"/>
    <s v="Mortgaged"/>
    <n v="15"/>
    <n v="0"/>
    <s v="No"/>
    <s v="No"/>
    <x v="3"/>
    <n v="53062"/>
    <x v="1902"/>
    <x v="3"/>
    <x v="1201"/>
    <x v="1"/>
    <x v="0"/>
    <x v="2"/>
  </r>
  <r>
    <x v="1918"/>
    <s v="Troy Jordan"/>
    <x v="40"/>
    <x v="1"/>
    <x v="0"/>
    <s v="High School"/>
    <x v="3"/>
    <n v="106155"/>
    <n v="322"/>
    <n v="42881"/>
    <x v="4"/>
    <n v="0.11599999999999999"/>
    <x v="5"/>
    <s v="Owned"/>
    <n v="24"/>
    <n v="1"/>
    <s v="No"/>
    <s v="Yes"/>
    <x v="4"/>
    <n v="187388"/>
    <x v="1903"/>
    <x v="79"/>
    <x v="287"/>
    <x v="1"/>
    <x v="0"/>
    <x v="2"/>
  </r>
  <r>
    <x v="1919"/>
    <s v="Daniel Johnson"/>
    <x v="32"/>
    <x v="0"/>
    <x v="0"/>
    <s v="Graduate"/>
    <x v="2"/>
    <n v="126080"/>
    <n v="322"/>
    <n v="11985"/>
    <x v="2"/>
    <n v="6.0899999999999996E-2"/>
    <x v="2"/>
    <s v="Mortgaged"/>
    <n v="21"/>
    <n v="2"/>
    <s v="Yes"/>
    <s v="No"/>
    <x v="2"/>
    <n v="151917"/>
    <x v="1904"/>
    <x v="15"/>
    <x v="20"/>
    <x v="0"/>
    <x v="0"/>
    <x v="2"/>
  </r>
  <r>
    <x v="1920"/>
    <s v="Dr. Kenneth Lawrence DDS"/>
    <x v="13"/>
    <x v="0"/>
    <x v="1"/>
    <s v="Graduate"/>
    <x v="0"/>
    <n v="106394"/>
    <n v="322"/>
    <n v="2049"/>
    <x v="4"/>
    <n v="0.1769"/>
    <x v="5"/>
    <s v="Owned"/>
    <n v="7"/>
    <n v="2"/>
    <s v="No"/>
    <s v="No"/>
    <x v="2"/>
    <n v="139438"/>
    <x v="1905"/>
    <x v="56"/>
    <x v="416"/>
    <x v="0"/>
    <x v="0"/>
    <x v="2"/>
  </r>
  <r>
    <x v="1921"/>
    <s v="Alison Donovan"/>
    <x v="24"/>
    <x v="1"/>
    <x v="1"/>
    <s v="PhD"/>
    <x v="0"/>
    <n v="39613"/>
    <n v="322"/>
    <n v="46761"/>
    <x v="2"/>
    <n v="0.1246"/>
    <x v="1"/>
    <s v="Rented"/>
    <n v="11"/>
    <n v="3"/>
    <s v="Yes"/>
    <s v="Yes"/>
    <x v="1"/>
    <n v="97925"/>
    <x v="1906"/>
    <x v="15"/>
    <x v="902"/>
    <x v="0"/>
    <x v="0"/>
    <x v="2"/>
  </r>
  <r>
    <x v="1922"/>
    <s v="Steven Hamilton"/>
    <x v="19"/>
    <x v="0"/>
    <x v="2"/>
    <s v="High School"/>
    <x v="3"/>
    <n v="24055"/>
    <n v="322"/>
    <n v="30986"/>
    <x v="2"/>
    <n v="0.18600000000000003"/>
    <x v="0"/>
    <s v="Mortgaged"/>
    <n v="15"/>
    <n v="0"/>
    <s v="No"/>
    <s v="No"/>
    <x v="4"/>
    <n v="114559"/>
    <x v="1907"/>
    <x v="3"/>
    <x v="1125"/>
    <x v="1"/>
    <x v="1"/>
    <x v="2"/>
  </r>
  <r>
    <x v="1923"/>
    <s v="Scott Rice"/>
    <x v="34"/>
    <x v="0"/>
    <x v="0"/>
    <s v="Postgraduate"/>
    <x v="0"/>
    <n v="116090"/>
    <n v="321"/>
    <n v="49648"/>
    <x v="3"/>
    <n v="0.10949999999999999"/>
    <x v="4"/>
    <s v="Rented"/>
    <n v="19"/>
    <n v="1"/>
    <s v="Yes"/>
    <s v="Yes"/>
    <x v="1"/>
    <n v="76596"/>
    <x v="1908"/>
    <x v="62"/>
    <x v="916"/>
    <x v="1"/>
    <x v="0"/>
    <x v="2"/>
  </r>
  <r>
    <x v="1924"/>
    <s v="Michael Larson"/>
    <x v="31"/>
    <x v="0"/>
    <x v="2"/>
    <s v="Postgraduate"/>
    <x v="3"/>
    <n v="48942"/>
    <n v="321"/>
    <n v="48671"/>
    <x v="2"/>
    <n v="0.1832"/>
    <x v="4"/>
    <s v="Mortgaged"/>
    <n v="4"/>
    <n v="2"/>
    <s v="Yes"/>
    <s v="Yes"/>
    <x v="0"/>
    <n v="160761"/>
    <x v="1909"/>
    <x v="14"/>
    <x v="1202"/>
    <x v="0"/>
    <x v="0"/>
    <x v="2"/>
  </r>
  <r>
    <x v="1925"/>
    <s v="Mark Trevino"/>
    <x v="40"/>
    <x v="1"/>
    <x v="0"/>
    <s v="Graduate"/>
    <x v="3"/>
    <n v="82257"/>
    <n v="321"/>
    <n v="18412"/>
    <x v="3"/>
    <n v="0.13550000000000001"/>
    <x v="0"/>
    <s v="Mortgaged"/>
    <n v="14"/>
    <n v="1"/>
    <s v="Yes"/>
    <s v="Yes"/>
    <x v="2"/>
    <n v="58327"/>
    <x v="1910"/>
    <x v="85"/>
    <x v="80"/>
    <x v="0"/>
    <x v="0"/>
    <x v="2"/>
  </r>
  <r>
    <x v="1926"/>
    <s v="Joseph Conner"/>
    <x v="3"/>
    <x v="0"/>
    <x v="2"/>
    <s v="Graduate"/>
    <x v="2"/>
    <n v="106799"/>
    <n v="321"/>
    <n v="29853"/>
    <x v="2"/>
    <n v="0.13059999999999999"/>
    <x v="4"/>
    <s v="Mortgaged"/>
    <n v="23"/>
    <n v="2"/>
    <s v="No"/>
    <s v="Yes"/>
    <x v="3"/>
    <n v="74539"/>
    <x v="1911"/>
    <x v="62"/>
    <x v="1203"/>
    <x v="0"/>
    <x v="0"/>
    <x v="2"/>
  </r>
  <r>
    <x v="1927"/>
    <s v="Jason Perkins"/>
    <x v="42"/>
    <x v="0"/>
    <x v="1"/>
    <s v="PhD"/>
    <x v="3"/>
    <n v="121547"/>
    <n v="320"/>
    <n v="39191"/>
    <x v="3"/>
    <n v="0.16350000000000001"/>
    <x v="5"/>
    <s v="Rented"/>
    <n v="16"/>
    <n v="4"/>
    <s v="No"/>
    <s v="Yes"/>
    <x v="4"/>
    <n v="159925"/>
    <x v="1912"/>
    <x v="83"/>
    <x v="190"/>
    <x v="0"/>
    <x v="0"/>
    <x v="2"/>
  </r>
  <r>
    <x v="1928"/>
    <s v="Whitney Carlson"/>
    <x v="18"/>
    <x v="1"/>
    <x v="3"/>
    <s v="High School"/>
    <x v="0"/>
    <n v="127800"/>
    <n v="320"/>
    <n v="14429"/>
    <x v="4"/>
    <n v="0.19850000000000001"/>
    <x v="3"/>
    <s v="Rented"/>
    <n v="10"/>
    <n v="4"/>
    <s v="No"/>
    <s v="Yes"/>
    <x v="4"/>
    <n v="58537"/>
    <x v="1913"/>
    <x v="29"/>
    <x v="1050"/>
    <x v="0"/>
    <x v="0"/>
    <x v="2"/>
  </r>
  <r>
    <x v="1929"/>
    <s v="Edwin Reyes"/>
    <x v="13"/>
    <x v="1"/>
    <x v="3"/>
    <s v="Postgraduate"/>
    <x v="2"/>
    <n v="106130"/>
    <n v="320"/>
    <n v="14880"/>
    <x v="0"/>
    <n v="7.2499999999999995E-2"/>
    <x v="1"/>
    <s v="Mortgaged"/>
    <n v="3"/>
    <n v="4"/>
    <s v="No"/>
    <s v="Yes"/>
    <x v="4"/>
    <n v="79217"/>
    <x v="1914"/>
    <x v="34"/>
    <x v="976"/>
    <x v="1"/>
    <x v="1"/>
    <x v="2"/>
  </r>
  <r>
    <x v="1930"/>
    <s v="Samantha Miller"/>
    <x v="20"/>
    <x v="1"/>
    <x v="0"/>
    <s v="Graduate"/>
    <x v="0"/>
    <n v="136528"/>
    <n v="319"/>
    <n v="23075"/>
    <x v="0"/>
    <n v="0.1278"/>
    <x v="1"/>
    <s v="Rented"/>
    <n v="19"/>
    <n v="0"/>
    <s v="Yes"/>
    <s v="No"/>
    <x v="3"/>
    <n v="120094"/>
    <x v="1915"/>
    <x v="37"/>
    <x v="841"/>
    <x v="1"/>
    <x v="0"/>
    <x v="2"/>
  </r>
  <r>
    <x v="1931"/>
    <s v="Tracey Lawson"/>
    <x v="30"/>
    <x v="1"/>
    <x v="1"/>
    <s v="PhD"/>
    <x v="1"/>
    <n v="86830"/>
    <n v="319"/>
    <n v="6002"/>
    <x v="0"/>
    <n v="0.12909999999999999"/>
    <x v="4"/>
    <s v="Mortgaged"/>
    <n v="26"/>
    <n v="4"/>
    <s v="No"/>
    <s v="No"/>
    <x v="1"/>
    <n v="33370"/>
    <x v="1916"/>
    <x v="1"/>
    <x v="1204"/>
    <x v="1"/>
    <x v="0"/>
    <x v="2"/>
  </r>
  <r>
    <x v="1932"/>
    <s v="Alison Kennedy"/>
    <x v="13"/>
    <x v="0"/>
    <x v="1"/>
    <s v="Graduate"/>
    <x v="0"/>
    <n v="99910"/>
    <n v="319"/>
    <n v="41731"/>
    <x v="4"/>
    <n v="0.1191"/>
    <x v="2"/>
    <s v="Owned"/>
    <n v="12"/>
    <n v="3"/>
    <s v="Yes"/>
    <s v="No"/>
    <x v="1"/>
    <n v="75475"/>
    <x v="1917"/>
    <x v="83"/>
    <x v="969"/>
    <x v="1"/>
    <x v="0"/>
    <x v="2"/>
  </r>
  <r>
    <x v="1933"/>
    <s v="George Martin"/>
    <x v="13"/>
    <x v="1"/>
    <x v="2"/>
    <s v="High School"/>
    <x v="2"/>
    <n v="125796"/>
    <n v="319"/>
    <n v="26409"/>
    <x v="1"/>
    <n v="0.11869999999999999"/>
    <x v="2"/>
    <s v="Rented"/>
    <n v="4"/>
    <n v="1"/>
    <s v="Yes"/>
    <s v="Yes"/>
    <x v="2"/>
    <n v="134443"/>
    <x v="1918"/>
    <x v="30"/>
    <x v="1205"/>
    <x v="1"/>
    <x v="0"/>
    <x v="2"/>
  </r>
  <r>
    <x v="1934"/>
    <s v="James Wilkerson"/>
    <x v="36"/>
    <x v="0"/>
    <x v="1"/>
    <s v="Graduate"/>
    <x v="0"/>
    <n v="104361"/>
    <n v="318"/>
    <n v="45331"/>
    <x v="0"/>
    <n v="0.1356"/>
    <x v="5"/>
    <s v="Rented"/>
    <n v="19"/>
    <n v="2"/>
    <s v="No"/>
    <s v="No"/>
    <x v="2"/>
    <n v="183406"/>
    <x v="1919"/>
    <x v="74"/>
    <x v="1206"/>
    <x v="0"/>
    <x v="0"/>
    <x v="2"/>
  </r>
  <r>
    <x v="1935"/>
    <s v="Gabriella Morgan"/>
    <x v="36"/>
    <x v="0"/>
    <x v="3"/>
    <s v="Graduate"/>
    <x v="3"/>
    <n v="118256"/>
    <n v="318"/>
    <n v="20479"/>
    <x v="3"/>
    <n v="0.16739999999999999"/>
    <x v="3"/>
    <s v="Owned"/>
    <n v="4"/>
    <n v="4"/>
    <s v="No"/>
    <s v="Yes"/>
    <x v="1"/>
    <n v="39404"/>
    <x v="1920"/>
    <x v="38"/>
    <x v="1207"/>
    <x v="0"/>
    <x v="0"/>
    <x v="2"/>
  </r>
  <r>
    <x v="1936"/>
    <s v="Edward Mann"/>
    <x v="7"/>
    <x v="0"/>
    <x v="3"/>
    <s v="Graduate"/>
    <x v="2"/>
    <n v="23435"/>
    <n v="318"/>
    <n v="11652"/>
    <x v="2"/>
    <n v="8.3400000000000002E-2"/>
    <x v="2"/>
    <s v="Mortgaged"/>
    <n v="17"/>
    <n v="1"/>
    <s v="Yes"/>
    <s v="Yes"/>
    <x v="3"/>
    <n v="71726"/>
    <x v="1921"/>
    <x v="31"/>
    <x v="425"/>
    <x v="1"/>
    <x v="0"/>
    <x v="2"/>
  </r>
  <r>
    <x v="1937"/>
    <s v="Margaret Johnson"/>
    <x v="35"/>
    <x v="0"/>
    <x v="3"/>
    <s v="PhD"/>
    <x v="0"/>
    <n v="118099"/>
    <n v="318"/>
    <n v="3708"/>
    <x v="1"/>
    <n v="6.9199999999999998E-2"/>
    <x v="1"/>
    <s v="Owned"/>
    <n v="4"/>
    <n v="0"/>
    <s v="No"/>
    <s v="No"/>
    <x v="0"/>
    <n v="59016"/>
    <x v="1922"/>
    <x v="20"/>
    <x v="1208"/>
    <x v="1"/>
    <x v="0"/>
    <x v="2"/>
  </r>
  <r>
    <x v="1938"/>
    <s v="Elizabeth Nunez"/>
    <x v="37"/>
    <x v="0"/>
    <x v="0"/>
    <s v="Postgraduate"/>
    <x v="2"/>
    <n v="103656"/>
    <n v="318"/>
    <n v="28453"/>
    <x v="1"/>
    <n v="0.10580000000000001"/>
    <x v="3"/>
    <s v="Owned"/>
    <n v="13"/>
    <n v="2"/>
    <s v="No"/>
    <s v="Yes"/>
    <x v="3"/>
    <n v="20303"/>
    <x v="1923"/>
    <x v="79"/>
    <x v="726"/>
    <x v="0"/>
    <x v="0"/>
    <x v="2"/>
  </r>
  <r>
    <x v="1939"/>
    <s v="Steve Williams"/>
    <x v="33"/>
    <x v="1"/>
    <x v="0"/>
    <s v="Graduate"/>
    <x v="3"/>
    <n v="29716"/>
    <n v="318"/>
    <n v="17720"/>
    <x v="3"/>
    <n v="0.14630000000000001"/>
    <x v="2"/>
    <s v="Mortgaged"/>
    <n v="9"/>
    <n v="2"/>
    <s v="No"/>
    <s v="Yes"/>
    <x v="1"/>
    <n v="140510"/>
    <x v="1924"/>
    <x v="21"/>
    <x v="467"/>
    <x v="0"/>
    <x v="0"/>
    <x v="2"/>
  </r>
  <r>
    <x v="1940"/>
    <s v="Brenda Holder"/>
    <x v="12"/>
    <x v="1"/>
    <x v="0"/>
    <s v="High School"/>
    <x v="3"/>
    <n v="52624"/>
    <n v="318"/>
    <n v="26475"/>
    <x v="1"/>
    <n v="0.1295"/>
    <x v="5"/>
    <s v="Rented"/>
    <n v="29"/>
    <n v="3"/>
    <s v="No"/>
    <s v="Yes"/>
    <x v="4"/>
    <n v="87657"/>
    <x v="1925"/>
    <x v="10"/>
    <x v="486"/>
    <x v="0"/>
    <x v="0"/>
    <x v="2"/>
  </r>
  <r>
    <x v="1941"/>
    <s v="Bradley Lopez"/>
    <x v="16"/>
    <x v="1"/>
    <x v="1"/>
    <s v="PhD"/>
    <x v="1"/>
    <n v="148411"/>
    <n v="317"/>
    <n v="5905"/>
    <x v="3"/>
    <n v="0.17559999999999998"/>
    <x v="1"/>
    <s v="Mortgaged"/>
    <n v="20"/>
    <n v="4"/>
    <s v="Yes"/>
    <s v="Yes"/>
    <x v="1"/>
    <n v="105781"/>
    <x v="1926"/>
    <x v="21"/>
    <x v="1209"/>
    <x v="0"/>
    <x v="0"/>
    <x v="2"/>
  </r>
  <r>
    <x v="1942"/>
    <s v="Wanda Price"/>
    <x v="31"/>
    <x v="1"/>
    <x v="0"/>
    <s v="High School"/>
    <x v="2"/>
    <n v="38256"/>
    <n v="317"/>
    <n v="14786"/>
    <x v="0"/>
    <n v="0.14199999999999999"/>
    <x v="1"/>
    <s v="Mortgaged"/>
    <n v="3"/>
    <n v="4"/>
    <s v="Yes"/>
    <s v="Yes"/>
    <x v="3"/>
    <n v="163249"/>
    <x v="1927"/>
    <x v="32"/>
    <x v="733"/>
    <x v="0"/>
    <x v="0"/>
    <x v="2"/>
  </r>
  <r>
    <x v="1943"/>
    <s v="Justin Thomas"/>
    <x v="10"/>
    <x v="0"/>
    <x v="0"/>
    <s v="High School"/>
    <x v="2"/>
    <n v="37459"/>
    <n v="317"/>
    <n v="46580"/>
    <x v="1"/>
    <n v="0.10920000000000001"/>
    <x v="1"/>
    <s v="Owned"/>
    <n v="20"/>
    <n v="2"/>
    <s v="No"/>
    <s v="Yes"/>
    <x v="1"/>
    <n v="13277"/>
    <x v="1928"/>
    <x v="76"/>
    <x v="1210"/>
    <x v="1"/>
    <x v="0"/>
    <x v="2"/>
  </r>
  <r>
    <x v="1944"/>
    <s v="Steven Thompson"/>
    <x v="37"/>
    <x v="1"/>
    <x v="2"/>
    <s v="Postgraduate"/>
    <x v="3"/>
    <n v="111164"/>
    <n v="316"/>
    <n v="48999"/>
    <x v="2"/>
    <n v="0.1502"/>
    <x v="0"/>
    <s v="Rented"/>
    <n v="27"/>
    <n v="1"/>
    <s v="Yes"/>
    <s v="Yes"/>
    <x v="0"/>
    <n v="196868"/>
    <x v="1929"/>
    <x v="24"/>
    <x v="867"/>
    <x v="1"/>
    <x v="0"/>
    <x v="2"/>
  </r>
  <r>
    <x v="1945"/>
    <s v="Malik Macias"/>
    <x v="35"/>
    <x v="1"/>
    <x v="3"/>
    <s v="Postgraduate"/>
    <x v="1"/>
    <n v="51663"/>
    <n v="316"/>
    <n v="39501"/>
    <x v="1"/>
    <n v="8.2100000000000006E-2"/>
    <x v="2"/>
    <s v="Rented"/>
    <n v="14"/>
    <n v="4"/>
    <s v="No"/>
    <s v="Yes"/>
    <x v="2"/>
    <n v="196035"/>
    <x v="1531"/>
    <x v="78"/>
    <x v="220"/>
    <x v="1"/>
    <x v="0"/>
    <x v="2"/>
  </r>
  <r>
    <x v="1946"/>
    <s v="Jonathan Martinez"/>
    <x v="1"/>
    <x v="1"/>
    <x v="2"/>
    <s v="PhD"/>
    <x v="2"/>
    <n v="43535"/>
    <n v="316"/>
    <n v="27911"/>
    <x v="0"/>
    <n v="6.4399999999999999E-2"/>
    <x v="1"/>
    <s v="Rented"/>
    <n v="13"/>
    <n v="1"/>
    <s v="Yes"/>
    <s v="Yes"/>
    <x v="2"/>
    <n v="37872"/>
    <x v="1930"/>
    <x v="30"/>
    <x v="1211"/>
    <x v="1"/>
    <x v="0"/>
    <x v="2"/>
  </r>
  <r>
    <x v="1947"/>
    <s v="Madison Webb"/>
    <x v="41"/>
    <x v="0"/>
    <x v="2"/>
    <s v="Postgraduate"/>
    <x v="2"/>
    <n v="114945"/>
    <n v="316"/>
    <n v="9888"/>
    <x v="1"/>
    <n v="0.13059999999999999"/>
    <x v="2"/>
    <s v="Owned"/>
    <n v="29"/>
    <n v="4"/>
    <s v="No"/>
    <s v="No"/>
    <x v="4"/>
    <n v="125456"/>
    <x v="1931"/>
    <x v="21"/>
    <x v="1037"/>
    <x v="0"/>
    <x v="0"/>
    <x v="2"/>
  </r>
  <r>
    <x v="1948"/>
    <s v="Dustin Cooley"/>
    <x v="19"/>
    <x v="1"/>
    <x v="1"/>
    <s v="PhD"/>
    <x v="0"/>
    <n v="149207"/>
    <n v="315"/>
    <n v="49891"/>
    <x v="3"/>
    <n v="0.16440000000000002"/>
    <x v="1"/>
    <s v="Mortgaged"/>
    <n v="13"/>
    <n v="0"/>
    <s v="Yes"/>
    <s v="No"/>
    <x v="0"/>
    <n v="118192"/>
    <x v="1932"/>
    <x v="66"/>
    <x v="1212"/>
    <x v="1"/>
    <x v="0"/>
    <x v="2"/>
  </r>
  <r>
    <x v="1949"/>
    <s v="Barbara Wise"/>
    <x v="32"/>
    <x v="1"/>
    <x v="0"/>
    <s v="PhD"/>
    <x v="2"/>
    <n v="135306"/>
    <n v="315"/>
    <n v="27909"/>
    <x v="4"/>
    <n v="0.1211"/>
    <x v="0"/>
    <s v="Rented"/>
    <n v="20"/>
    <n v="1"/>
    <s v="Yes"/>
    <s v="Yes"/>
    <x v="3"/>
    <n v="100196"/>
    <x v="1933"/>
    <x v="30"/>
    <x v="1213"/>
    <x v="1"/>
    <x v="0"/>
    <x v="2"/>
  </r>
  <r>
    <x v="1950"/>
    <s v="Barry Weaver"/>
    <x v="30"/>
    <x v="1"/>
    <x v="3"/>
    <s v="Postgraduate"/>
    <x v="0"/>
    <n v="85149"/>
    <n v="314"/>
    <n v="34615"/>
    <x v="3"/>
    <n v="0.15579999999999999"/>
    <x v="5"/>
    <s v="Owned"/>
    <n v="13"/>
    <n v="3"/>
    <s v="No"/>
    <s v="No"/>
    <x v="2"/>
    <n v="86873"/>
    <x v="1934"/>
    <x v="17"/>
    <x v="837"/>
    <x v="0"/>
    <x v="0"/>
    <x v="2"/>
  </r>
  <r>
    <x v="1951"/>
    <s v="Julian Perez"/>
    <x v="3"/>
    <x v="0"/>
    <x v="2"/>
    <s v="High School"/>
    <x v="1"/>
    <n v="51007"/>
    <n v="314"/>
    <n v="33668"/>
    <x v="0"/>
    <n v="0.1764"/>
    <x v="1"/>
    <s v="Mortgaged"/>
    <n v="28"/>
    <n v="2"/>
    <s v="No"/>
    <s v="Yes"/>
    <x v="2"/>
    <n v="162103"/>
    <x v="1935"/>
    <x v="80"/>
    <x v="402"/>
    <x v="1"/>
    <x v="0"/>
    <x v="2"/>
  </r>
  <r>
    <x v="1952"/>
    <s v="Jodi Sellers"/>
    <x v="14"/>
    <x v="0"/>
    <x v="1"/>
    <s v="Graduate"/>
    <x v="2"/>
    <n v="127967"/>
    <n v="313"/>
    <n v="6806"/>
    <x v="1"/>
    <n v="5.4299999999999994E-2"/>
    <x v="0"/>
    <s v="Mortgaged"/>
    <n v="20"/>
    <n v="3"/>
    <s v="Yes"/>
    <s v="Yes"/>
    <x v="3"/>
    <n v="168153"/>
    <x v="1936"/>
    <x v="65"/>
    <x v="64"/>
    <x v="1"/>
    <x v="0"/>
    <x v="2"/>
  </r>
  <r>
    <x v="1953"/>
    <s v="Patricia Diaz"/>
    <x v="42"/>
    <x v="1"/>
    <x v="3"/>
    <s v="PhD"/>
    <x v="3"/>
    <n v="100206"/>
    <n v="313"/>
    <n v="17569"/>
    <x v="2"/>
    <n v="8.6899999999999991E-2"/>
    <x v="2"/>
    <s v="Rented"/>
    <n v="8"/>
    <n v="2"/>
    <s v="Yes"/>
    <s v="No"/>
    <x v="3"/>
    <n v="92874"/>
    <x v="1937"/>
    <x v="13"/>
    <x v="1214"/>
    <x v="0"/>
    <x v="0"/>
    <x v="2"/>
  </r>
  <r>
    <x v="1954"/>
    <s v="Sharon Lee"/>
    <x v="27"/>
    <x v="0"/>
    <x v="0"/>
    <s v="Postgraduate"/>
    <x v="0"/>
    <n v="116881"/>
    <n v="313"/>
    <n v="20154"/>
    <x v="4"/>
    <n v="0.11019999999999999"/>
    <x v="1"/>
    <s v="Owned"/>
    <n v="26"/>
    <n v="2"/>
    <s v="No"/>
    <s v="No"/>
    <x v="4"/>
    <n v="159765"/>
    <x v="1938"/>
    <x v="68"/>
    <x v="1215"/>
    <x v="1"/>
    <x v="1"/>
    <x v="2"/>
  </r>
  <r>
    <x v="1955"/>
    <s v="Heather Sullivan"/>
    <x v="34"/>
    <x v="0"/>
    <x v="1"/>
    <s v="Postgraduate"/>
    <x v="1"/>
    <n v="123435"/>
    <n v="312"/>
    <n v="9080"/>
    <x v="4"/>
    <n v="0.18359999999999999"/>
    <x v="4"/>
    <s v="Rented"/>
    <n v="12"/>
    <n v="0"/>
    <s v="No"/>
    <s v="No"/>
    <x v="0"/>
    <n v="163820"/>
    <x v="1939"/>
    <x v="33"/>
    <x v="1216"/>
    <x v="0"/>
    <x v="0"/>
    <x v="2"/>
  </r>
  <r>
    <x v="1956"/>
    <s v="Martin Carlson"/>
    <x v="34"/>
    <x v="1"/>
    <x v="0"/>
    <s v="High School"/>
    <x v="3"/>
    <n v="58445"/>
    <n v="312"/>
    <n v="35928"/>
    <x v="2"/>
    <n v="9.3399999999999997E-2"/>
    <x v="2"/>
    <s v="Mortgaged"/>
    <n v="26"/>
    <n v="2"/>
    <s v="No"/>
    <s v="Yes"/>
    <x v="4"/>
    <n v="168496"/>
    <x v="1940"/>
    <x v="35"/>
    <x v="1217"/>
    <x v="0"/>
    <x v="0"/>
    <x v="2"/>
  </r>
  <r>
    <x v="1957"/>
    <s v="Natasha Fuentes"/>
    <x v="4"/>
    <x v="1"/>
    <x v="1"/>
    <s v="High School"/>
    <x v="1"/>
    <n v="128649"/>
    <n v="312"/>
    <n v="44102"/>
    <x v="4"/>
    <n v="8.6999999999999994E-2"/>
    <x v="1"/>
    <s v="Rented"/>
    <n v="7"/>
    <n v="1"/>
    <s v="Yes"/>
    <s v="No"/>
    <x v="2"/>
    <n v="86857"/>
    <x v="1941"/>
    <x v="83"/>
    <x v="1218"/>
    <x v="0"/>
    <x v="0"/>
    <x v="2"/>
  </r>
  <r>
    <x v="1958"/>
    <s v="Diane Schwartz"/>
    <x v="31"/>
    <x v="1"/>
    <x v="0"/>
    <s v="PhD"/>
    <x v="0"/>
    <n v="30024"/>
    <n v="311"/>
    <n v="42628"/>
    <x v="3"/>
    <n v="9.0399999999999994E-2"/>
    <x v="3"/>
    <s v="Owned"/>
    <n v="5"/>
    <n v="0"/>
    <s v="Yes"/>
    <s v="No"/>
    <x v="1"/>
    <n v="89381"/>
    <x v="1942"/>
    <x v="3"/>
    <x v="1019"/>
    <x v="0"/>
    <x v="1"/>
    <x v="2"/>
  </r>
  <r>
    <x v="1959"/>
    <s v="James Burns"/>
    <x v="26"/>
    <x v="0"/>
    <x v="3"/>
    <s v="PhD"/>
    <x v="1"/>
    <n v="142961"/>
    <n v="311"/>
    <n v="41318"/>
    <x v="3"/>
    <n v="0.15340000000000001"/>
    <x v="3"/>
    <s v="Rented"/>
    <n v="7"/>
    <n v="2"/>
    <s v="Yes"/>
    <s v="Yes"/>
    <x v="4"/>
    <n v="41684"/>
    <x v="1943"/>
    <x v="54"/>
    <x v="1219"/>
    <x v="0"/>
    <x v="0"/>
    <x v="2"/>
  </r>
  <r>
    <x v="1960"/>
    <s v="Ray Rodriguez"/>
    <x v="29"/>
    <x v="0"/>
    <x v="3"/>
    <s v="Postgraduate"/>
    <x v="3"/>
    <n v="40608"/>
    <n v="311"/>
    <n v="49295"/>
    <x v="0"/>
    <n v="0.1757"/>
    <x v="0"/>
    <s v="Rented"/>
    <n v="2"/>
    <n v="0"/>
    <s v="No"/>
    <s v="No"/>
    <x v="3"/>
    <n v="174388"/>
    <x v="1944"/>
    <x v="88"/>
    <x v="1220"/>
    <x v="0"/>
    <x v="0"/>
    <x v="2"/>
  </r>
  <r>
    <x v="1961"/>
    <s v="Michelle Mathews"/>
    <x v="22"/>
    <x v="1"/>
    <x v="1"/>
    <s v="Graduate"/>
    <x v="2"/>
    <n v="77196"/>
    <n v="311"/>
    <n v="29804"/>
    <x v="0"/>
    <n v="0.1595"/>
    <x v="3"/>
    <s v="Rented"/>
    <n v="15"/>
    <n v="0"/>
    <s v="Yes"/>
    <s v="Yes"/>
    <x v="1"/>
    <n v="73723"/>
    <x v="1945"/>
    <x v="87"/>
    <x v="1221"/>
    <x v="0"/>
    <x v="0"/>
    <x v="2"/>
  </r>
  <r>
    <x v="1962"/>
    <s v="Richard Mckay"/>
    <x v="34"/>
    <x v="0"/>
    <x v="1"/>
    <s v="Postgraduate"/>
    <x v="0"/>
    <n v="49092"/>
    <n v="311"/>
    <n v="32820"/>
    <x v="1"/>
    <n v="8.6999999999999994E-2"/>
    <x v="1"/>
    <s v="Mortgaged"/>
    <n v="13"/>
    <n v="3"/>
    <s v="Yes"/>
    <s v="Yes"/>
    <x v="0"/>
    <n v="22011"/>
    <x v="1946"/>
    <x v="47"/>
    <x v="915"/>
    <x v="0"/>
    <x v="0"/>
    <x v="2"/>
  </r>
  <r>
    <x v="1963"/>
    <s v="Rebecca Lambert"/>
    <x v="8"/>
    <x v="1"/>
    <x v="2"/>
    <s v="Graduate"/>
    <x v="3"/>
    <n v="96508"/>
    <n v="311"/>
    <n v="22038"/>
    <x v="1"/>
    <n v="8.9099999999999999E-2"/>
    <x v="4"/>
    <s v="Mortgaged"/>
    <n v="21"/>
    <n v="0"/>
    <s v="No"/>
    <s v="No"/>
    <x v="4"/>
    <n v="175245"/>
    <x v="1947"/>
    <x v="85"/>
    <x v="465"/>
    <x v="1"/>
    <x v="0"/>
    <x v="2"/>
  </r>
  <r>
    <x v="1964"/>
    <s v="Eric Cruz"/>
    <x v="9"/>
    <x v="0"/>
    <x v="3"/>
    <s v="Postgraduate"/>
    <x v="0"/>
    <n v="91017"/>
    <n v="311"/>
    <n v="29204"/>
    <x v="2"/>
    <n v="9.6000000000000002E-2"/>
    <x v="3"/>
    <s v="Rented"/>
    <n v="29"/>
    <n v="1"/>
    <s v="No"/>
    <s v="No"/>
    <x v="2"/>
    <n v="193537"/>
    <x v="1948"/>
    <x v="36"/>
    <x v="1222"/>
    <x v="1"/>
    <x v="0"/>
    <x v="2"/>
  </r>
  <r>
    <x v="1965"/>
    <s v="Mary Alexander"/>
    <x v="18"/>
    <x v="0"/>
    <x v="0"/>
    <s v="PhD"/>
    <x v="3"/>
    <n v="31814"/>
    <n v="310"/>
    <n v="19812"/>
    <x v="3"/>
    <n v="6.9000000000000006E-2"/>
    <x v="5"/>
    <s v="Mortgaged"/>
    <n v="27"/>
    <n v="2"/>
    <s v="Yes"/>
    <s v="No"/>
    <x v="0"/>
    <n v="176800"/>
    <x v="1949"/>
    <x v="46"/>
    <x v="652"/>
    <x v="1"/>
    <x v="0"/>
    <x v="2"/>
  </r>
  <r>
    <x v="1966"/>
    <s v="Christopher Dean"/>
    <x v="23"/>
    <x v="1"/>
    <x v="1"/>
    <s v="High School"/>
    <x v="2"/>
    <n v="125585"/>
    <n v="310"/>
    <n v="18198"/>
    <x v="1"/>
    <n v="7.0599999999999996E-2"/>
    <x v="4"/>
    <s v="Rented"/>
    <n v="26"/>
    <n v="4"/>
    <s v="Yes"/>
    <s v="Yes"/>
    <x v="4"/>
    <n v="149579"/>
    <x v="1950"/>
    <x v="46"/>
    <x v="1223"/>
    <x v="0"/>
    <x v="0"/>
    <x v="2"/>
  </r>
  <r>
    <x v="1967"/>
    <s v="Karen Warren"/>
    <x v="42"/>
    <x v="1"/>
    <x v="3"/>
    <s v="PhD"/>
    <x v="3"/>
    <n v="29247"/>
    <n v="310"/>
    <n v="16141"/>
    <x v="0"/>
    <n v="0.18729999999999999"/>
    <x v="2"/>
    <s v="Rented"/>
    <n v="18"/>
    <n v="3"/>
    <s v="Yes"/>
    <s v="No"/>
    <x v="0"/>
    <n v="72592"/>
    <x v="1951"/>
    <x v="50"/>
    <x v="1224"/>
    <x v="1"/>
    <x v="0"/>
    <x v="2"/>
  </r>
  <r>
    <x v="1968"/>
    <s v="Andrew Alvarez"/>
    <x v="19"/>
    <x v="1"/>
    <x v="1"/>
    <s v="High School"/>
    <x v="0"/>
    <n v="103096"/>
    <n v="310"/>
    <n v="32098"/>
    <x v="0"/>
    <n v="0.1105"/>
    <x v="2"/>
    <s v="Owned"/>
    <n v="22"/>
    <n v="1"/>
    <s v="No"/>
    <s v="No"/>
    <x v="0"/>
    <n v="12135"/>
    <x v="1952"/>
    <x v="82"/>
    <x v="1126"/>
    <x v="1"/>
    <x v="0"/>
    <x v="2"/>
  </r>
  <r>
    <x v="1969"/>
    <s v="Kevin Powers"/>
    <x v="7"/>
    <x v="0"/>
    <x v="1"/>
    <s v="Postgraduate"/>
    <x v="3"/>
    <n v="107985"/>
    <n v="309"/>
    <n v="44039"/>
    <x v="4"/>
    <n v="6.7599999999999993E-2"/>
    <x v="0"/>
    <s v="Owned"/>
    <n v="19"/>
    <n v="2"/>
    <s v="No"/>
    <s v="No"/>
    <x v="3"/>
    <n v="172469"/>
    <x v="1953"/>
    <x v="49"/>
    <x v="1148"/>
    <x v="0"/>
    <x v="0"/>
    <x v="2"/>
  </r>
  <r>
    <x v="1970"/>
    <s v="Lisa Hall"/>
    <x v="40"/>
    <x v="0"/>
    <x v="1"/>
    <s v="Postgraduate"/>
    <x v="1"/>
    <n v="51629"/>
    <n v="309"/>
    <n v="46028"/>
    <x v="0"/>
    <n v="6.9500000000000006E-2"/>
    <x v="5"/>
    <s v="Rented"/>
    <n v="26"/>
    <n v="3"/>
    <s v="No"/>
    <s v="Yes"/>
    <x v="2"/>
    <n v="46887"/>
    <x v="1954"/>
    <x v="84"/>
    <x v="1225"/>
    <x v="1"/>
    <x v="0"/>
    <x v="2"/>
  </r>
  <r>
    <x v="1971"/>
    <s v="Kimberly Walls"/>
    <x v="38"/>
    <x v="1"/>
    <x v="0"/>
    <s v="Graduate"/>
    <x v="1"/>
    <n v="96448"/>
    <n v="309"/>
    <n v="40896"/>
    <x v="0"/>
    <n v="0.17559999999999998"/>
    <x v="0"/>
    <s v="Rented"/>
    <n v="15"/>
    <n v="4"/>
    <s v="Yes"/>
    <s v="No"/>
    <x v="3"/>
    <n v="199079"/>
    <x v="1955"/>
    <x v="77"/>
    <x v="507"/>
    <x v="1"/>
    <x v="0"/>
    <x v="2"/>
  </r>
  <r>
    <x v="1972"/>
    <s v="Crystal Farmer"/>
    <x v="42"/>
    <x v="1"/>
    <x v="1"/>
    <s v="PhD"/>
    <x v="1"/>
    <n v="24700"/>
    <n v="309"/>
    <n v="19660"/>
    <x v="4"/>
    <n v="0.14499999999999999"/>
    <x v="3"/>
    <s v="Mortgaged"/>
    <n v="5"/>
    <n v="3"/>
    <s v="Yes"/>
    <s v="Yes"/>
    <x v="2"/>
    <n v="5722"/>
    <x v="1956"/>
    <x v="17"/>
    <x v="75"/>
    <x v="0"/>
    <x v="1"/>
    <x v="2"/>
  </r>
  <r>
    <x v="1973"/>
    <s v="Ms. Lauren Martin DDS"/>
    <x v="8"/>
    <x v="1"/>
    <x v="0"/>
    <s v="Postgraduate"/>
    <x v="3"/>
    <n v="123903"/>
    <n v="309"/>
    <n v="39244"/>
    <x v="4"/>
    <n v="0.14400000000000002"/>
    <x v="3"/>
    <s v="Owned"/>
    <n v="12"/>
    <n v="4"/>
    <s v="No"/>
    <s v="Yes"/>
    <x v="3"/>
    <n v="3941"/>
    <x v="1957"/>
    <x v="77"/>
    <x v="1164"/>
    <x v="0"/>
    <x v="0"/>
    <x v="2"/>
  </r>
  <r>
    <x v="1974"/>
    <s v="Brittany Nolan"/>
    <x v="13"/>
    <x v="1"/>
    <x v="2"/>
    <s v="Postgraduate"/>
    <x v="3"/>
    <n v="100703"/>
    <n v="308"/>
    <n v="5656"/>
    <x v="2"/>
    <n v="0.18379999999999999"/>
    <x v="0"/>
    <s v="Rented"/>
    <n v="28"/>
    <n v="1"/>
    <s v="Yes"/>
    <s v="Yes"/>
    <x v="3"/>
    <n v="35314"/>
    <x v="1958"/>
    <x v="63"/>
    <x v="219"/>
    <x v="0"/>
    <x v="0"/>
    <x v="2"/>
  </r>
  <r>
    <x v="1975"/>
    <s v="Travis Shaw"/>
    <x v="30"/>
    <x v="1"/>
    <x v="0"/>
    <s v="Graduate"/>
    <x v="3"/>
    <n v="109846"/>
    <n v="308"/>
    <n v="30348"/>
    <x v="4"/>
    <n v="0.15570000000000001"/>
    <x v="4"/>
    <s v="Owned"/>
    <n v="4"/>
    <n v="2"/>
    <s v="Yes"/>
    <s v="No"/>
    <x v="3"/>
    <n v="163301"/>
    <x v="1959"/>
    <x v="62"/>
    <x v="199"/>
    <x v="1"/>
    <x v="0"/>
    <x v="2"/>
  </r>
  <r>
    <x v="1976"/>
    <s v="Monica Davis"/>
    <x v="30"/>
    <x v="1"/>
    <x v="0"/>
    <s v="High School"/>
    <x v="0"/>
    <n v="79117"/>
    <n v="308"/>
    <n v="10630"/>
    <x v="1"/>
    <n v="9.9600000000000008E-2"/>
    <x v="0"/>
    <s v="Owned"/>
    <n v="8"/>
    <n v="3"/>
    <s v="Yes"/>
    <s v="Yes"/>
    <x v="1"/>
    <n v="60576"/>
    <x v="1960"/>
    <x v="76"/>
    <x v="969"/>
    <x v="1"/>
    <x v="0"/>
    <x v="2"/>
  </r>
  <r>
    <x v="1977"/>
    <s v="John Mcbride"/>
    <x v="36"/>
    <x v="1"/>
    <x v="2"/>
    <s v="Graduate"/>
    <x v="0"/>
    <n v="98422"/>
    <n v="308"/>
    <n v="16919"/>
    <x v="3"/>
    <n v="0.17929999999999999"/>
    <x v="3"/>
    <s v="Owned"/>
    <n v="17"/>
    <n v="2"/>
    <s v="No"/>
    <s v="No"/>
    <x v="3"/>
    <n v="103276"/>
    <x v="1961"/>
    <x v="0"/>
    <x v="1226"/>
    <x v="0"/>
    <x v="1"/>
    <x v="2"/>
  </r>
  <r>
    <x v="1978"/>
    <s v="David Hamilton"/>
    <x v="24"/>
    <x v="0"/>
    <x v="0"/>
    <s v="High School"/>
    <x v="1"/>
    <n v="101383"/>
    <n v="307"/>
    <n v="42168"/>
    <x v="4"/>
    <n v="0.1348"/>
    <x v="1"/>
    <s v="Mortgaged"/>
    <n v="15"/>
    <n v="0"/>
    <s v="No"/>
    <s v="No"/>
    <x v="2"/>
    <n v="42231"/>
    <x v="1962"/>
    <x v="24"/>
    <x v="1227"/>
    <x v="1"/>
    <x v="0"/>
    <x v="2"/>
  </r>
  <r>
    <x v="1979"/>
    <s v="Christopher Watson"/>
    <x v="23"/>
    <x v="0"/>
    <x v="1"/>
    <s v="PhD"/>
    <x v="3"/>
    <n v="36619"/>
    <n v="307"/>
    <n v="37373"/>
    <x v="0"/>
    <n v="0.13550000000000001"/>
    <x v="5"/>
    <s v="Owned"/>
    <n v="2"/>
    <n v="3"/>
    <s v="Yes"/>
    <s v="No"/>
    <x v="3"/>
    <n v="10747"/>
    <x v="1963"/>
    <x v="32"/>
    <x v="1228"/>
    <x v="1"/>
    <x v="1"/>
    <x v="2"/>
  </r>
  <r>
    <x v="1980"/>
    <s v="Jessica Holmes"/>
    <x v="10"/>
    <x v="1"/>
    <x v="1"/>
    <s v="Postgraduate"/>
    <x v="3"/>
    <n v="91545"/>
    <n v="307"/>
    <n v="27499"/>
    <x v="4"/>
    <n v="8.0799999999999997E-2"/>
    <x v="3"/>
    <s v="Mortgaged"/>
    <n v="25"/>
    <n v="4"/>
    <s v="No"/>
    <s v="Yes"/>
    <x v="3"/>
    <n v="178042"/>
    <x v="1964"/>
    <x v="2"/>
    <x v="80"/>
    <x v="1"/>
    <x v="0"/>
    <x v="2"/>
  </r>
  <r>
    <x v="1981"/>
    <s v="Kim Frye"/>
    <x v="6"/>
    <x v="0"/>
    <x v="2"/>
    <s v="PhD"/>
    <x v="1"/>
    <n v="64377"/>
    <n v="306"/>
    <n v="7718"/>
    <x v="4"/>
    <n v="0.1729"/>
    <x v="4"/>
    <s v="Owned"/>
    <n v="19"/>
    <n v="1"/>
    <s v="No"/>
    <s v="No"/>
    <x v="0"/>
    <n v="15573"/>
    <x v="1965"/>
    <x v="19"/>
    <x v="645"/>
    <x v="0"/>
    <x v="0"/>
    <x v="2"/>
  </r>
  <r>
    <x v="1982"/>
    <s v="Diane Dennis"/>
    <x v="42"/>
    <x v="1"/>
    <x v="1"/>
    <s v="Graduate"/>
    <x v="0"/>
    <n v="78701"/>
    <n v="306"/>
    <n v="4535"/>
    <x v="1"/>
    <n v="5.1200000000000002E-2"/>
    <x v="5"/>
    <s v="Rented"/>
    <n v="3"/>
    <n v="1"/>
    <s v="No"/>
    <s v="No"/>
    <x v="2"/>
    <n v="88215"/>
    <x v="1966"/>
    <x v="12"/>
    <x v="1229"/>
    <x v="1"/>
    <x v="0"/>
    <x v="2"/>
  </r>
  <r>
    <x v="1983"/>
    <s v="Jennifer Hughes"/>
    <x v="29"/>
    <x v="1"/>
    <x v="1"/>
    <s v="Postgraduate"/>
    <x v="3"/>
    <n v="113102"/>
    <n v="306"/>
    <n v="38570"/>
    <x v="1"/>
    <n v="0.10779999999999999"/>
    <x v="2"/>
    <s v="Owned"/>
    <n v="21"/>
    <n v="0"/>
    <s v="No"/>
    <s v="No"/>
    <x v="3"/>
    <n v="161523"/>
    <x v="1967"/>
    <x v="81"/>
    <x v="139"/>
    <x v="1"/>
    <x v="0"/>
    <x v="2"/>
  </r>
  <r>
    <x v="1984"/>
    <s v="Andrew Davenport"/>
    <x v="4"/>
    <x v="0"/>
    <x v="2"/>
    <s v="High School"/>
    <x v="0"/>
    <n v="39073"/>
    <n v="305"/>
    <n v="31953"/>
    <x v="3"/>
    <n v="8.4600000000000009E-2"/>
    <x v="4"/>
    <s v="Rented"/>
    <n v="21"/>
    <n v="1"/>
    <s v="No"/>
    <s v="Yes"/>
    <x v="3"/>
    <n v="172220"/>
    <x v="1968"/>
    <x v="4"/>
    <x v="1230"/>
    <x v="1"/>
    <x v="0"/>
    <x v="2"/>
  </r>
  <r>
    <x v="1985"/>
    <s v="Sean Rivas"/>
    <x v="39"/>
    <x v="0"/>
    <x v="2"/>
    <s v="PhD"/>
    <x v="0"/>
    <n v="24886"/>
    <n v="305"/>
    <n v="5861"/>
    <x v="3"/>
    <n v="9.8599999999999993E-2"/>
    <x v="2"/>
    <s v="Rented"/>
    <n v="20"/>
    <n v="4"/>
    <s v="No"/>
    <s v="No"/>
    <x v="0"/>
    <n v="87564"/>
    <x v="1969"/>
    <x v="83"/>
    <x v="515"/>
    <x v="1"/>
    <x v="0"/>
    <x v="2"/>
  </r>
  <r>
    <x v="1986"/>
    <s v="Cindy Haney"/>
    <x v="16"/>
    <x v="0"/>
    <x v="0"/>
    <s v="Graduate"/>
    <x v="3"/>
    <n v="111655"/>
    <n v="304"/>
    <n v="37145"/>
    <x v="4"/>
    <n v="5.33E-2"/>
    <x v="1"/>
    <s v="Mortgaged"/>
    <n v="24"/>
    <n v="2"/>
    <s v="Yes"/>
    <s v="Yes"/>
    <x v="3"/>
    <n v="71092"/>
    <x v="1970"/>
    <x v="17"/>
    <x v="128"/>
    <x v="1"/>
    <x v="0"/>
    <x v="2"/>
  </r>
  <r>
    <x v="1987"/>
    <s v="Michael Little"/>
    <x v="20"/>
    <x v="0"/>
    <x v="3"/>
    <s v="Graduate"/>
    <x v="1"/>
    <n v="149030"/>
    <n v="303"/>
    <n v="30410"/>
    <x v="1"/>
    <n v="0.19989999999999999"/>
    <x v="4"/>
    <s v="Owned"/>
    <n v="29"/>
    <n v="0"/>
    <s v="No"/>
    <s v="Yes"/>
    <x v="1"/>
    <n v="21826"/>
    <x v="1971"/>
    <x v="22"/>
    <x v="1231"/>
    <x v="1"/>
    <x v="0"/>
    <x v="2"/>
  </r>
  <r>
    <x v="1988"/>
    <s v="Chase Campbell"/>
    <x v="6"/>
    <x v="1"/>
    <x v="3"/>
    <s v="Postgraduate"/>
    <x v="3"/>
    <n v="107580"/>
    <n v="303"/>
    <n v="21754"/>
    <x v="3"/>
    <n v="0.15010000000000001"/>
    <x v="5"/>
    <s v="Owned"/>
    <n v="8"/>
    <n v="0"/>
    <s v="No"/>
    <s v="Yes"/>
    <x v="1"/>
    <n v="76303"/>
    <x v="1972"/>
    <x v="72"/>
    <x v="692"/>
    <x v="1"/>
    <x v="0"/>
    <x v="2"/>
  </r>
  <r>
    <x v="1989"/>
    <s v="Allison Stanley"/>
    <x v="40"/>
    <x v="0"/>
    <x v="2"/>
    <s v="PhD"/>
    <x v="2"/>
    <n v="39558"/>
    <n v="303"/>
    <n v="47022"/>
    <x v="0"/>
    <n v="0.19570000000000001"/>
    <x v="4"/>
    <s v="Rented"/>
    <n v="15"/>
    <n v="2"/>
    <s v="No"/>
    <s v="No"/>
    <x v="1"/>
    <n v="11198"/>
    <x v="1973"/>
    <x v="23"/>
    <x v="1232"/>
    <x v="1"/>
    <x v="0"/>
    <x v="2"/>
  </r>
  <r>
    <x v="1990"/>
    <s v="Theresa Taylor"/>
    <x v="5"/>
    <x v="0"/>
    <x v="0"/>
    <s v="Postgraduate"/>
    <x v="1"/>
    <n v="78849"/>
    <n v="302"/>
    <n v="34120"/>
    <x v="2"/>
    <n v="0.13800000000000001"/>
    <x v="3"/>
    <s v="Mortgaged"/>
    <n v="19"/>
    <n v="4"/>
    <s v="Yes"/>
    <s v="Yes"/>
    <x v="3"/>
    <n v="30593"/>
    <x v="1974"/>
    <x v="32"/>
    <x v="1233"/>
    <x v="1"/>
    <x v="0"/>
    <x v="2"/>
  </r>
  <r>
    <x v="1991"/>
    <s v="Andrew Alexander"/>
    <x v="0"/>
    <x v="0"/>
    <x v="1"/>
    <s v="Postgraduate"/>
    <x v="0"/>
    <n v="64565"/>
    <n v="302"/>
    <n v="18182"/>
    <x v="0"/>
    <n v="0.1575"/>
    <x v="1"/>
    <s v="Mortgaged"/>
    <n v="18"/>
    <n v="1"/>
    <s v="No"/>
    <s v="No"/>
    <x v="0"/>
    <n v="12778"/>
    <x v="1975"/>
    <x v="53"/>
    <x v="910"/>
    <x v="1"/>
    <x v="1"/>
    <x v="2"/>
  </r>
  <r>
    <x v="1992"/>
    <s v="Julia Avila"/>
    <x v="11"/>
    <x v="0"/>
    <x v="0"/>
    <s v="Postgraduate"/>
    <x v="1"/>
    <n v="75556"/>
    <n v="302"/>
    <n v="28609"/>
    <x v="2"/>
    <n v="0.1532"/>
    <x v="4"/>
    <s v="Owned"/>
    <n v="28"/>
    <n v="0"/>
    <s v="No"/>
    <s v="No"/>
    <x v="3"/>
    <n v="153097"/>
    <x v="1976"/>
    <x v="46"/>
    <x v="1169"/>
    <x v="1"/>
    <x v="0"/>
    <x v="2"/>
  </r>
  <r>
    <x v="1993"/>
    <s v="Matthew Jackson"/>
    <x v="28"/>
    <x v="1"/>
    <x v="1"/>
    <s v="Graduate"/>
    <x v="0"/>
    <n v="32404"/>
    <n v="301"/>
    <n v="40205"/>
    <x v="0"/>
    <n v="0.17699999999999999"/>
    <x v="2"/>
    <s v="Mortgaged"/>
    <n v="13"/>
    <n v="3"/>
    <s v="Yes"/>
    <s v="No"/>
    <x v="2"/>
    <n v="102116"/>
    <x v="1977"/>
    <x v="42"/>
    <x v="837"/>
    <x v="0"/>
    <x v="0"/>
    <x v="2"/>
  </r>
  <r>
    <x v="1994"/>
    <s v="Daniel Gardner"/>
    <x v="24"/>
    <x v="0"/>
    <x v="2"/>
    <s v="Graduate"/>
    <x v="1"/>
    <n v="59832"/>
    <n v="301"/>
    <n v="6608"/>
    <x v="1"/>
    <n v="0.19039999999999999"/>
    <x v="4"/>
    <s v="Owned"/>
    <n v="10"/>
    <n v="2"/>
    <s v="Yes"/>
    <s v="No"/>
    <x v="1"/>
    <n v="197449"/>
    <x v="1978"/>
    <x v="37"/>
    <x v="14"/>
    <x v="1"/>
    <x v="0"/>
    <x v="2"/>
  </r>
  <r>
    <x v="1995"/>
    <s v="Matthew Carr"/>
    <x v="41"/>
    <x v="1"/>
    <x v="2"/>
    <s v="Graduate"/>
    <x v="0"/>
    <n v="70390"/>
    <n v="301"/>
    <n v="1947"/>
    <x v="3"/>
    <n v="0.17859999999999998"/>
    <x v="4"/>
    <s v="Mortgaged"/>
    <n v="29"/>
    <n v="2"/>
    <s v="No"/>
    <s v="No"/>
    <x v="4"/>
    <n v="193378"/>
    <x v="1979"/>
    <x v="49"/>
    <x v="984"/>
    <x v="1"/>
    <x v="0"/>
    <x v="2"/>
  </r>
  <r>
    <x v="1996"/>
    <s v="Dr. Jennifer Moreno"/>
    <x v="27"/>
    <x v="0"/>
    <x v="1"/>
    <s v="Graduate"/>
    <x v="3"/>
    <n v="96312"/>
    <n v="300"/>
    <n v="44714"/>
    <x v="2"/>
    <n v="0.17079999999999998"/>
    <x v="4"/>
    <s v="Owned"/>
    <n v="6"/>
    <n v="4"/>
    <s v="No"/>
    <s v="Yes"/>
    <x v="2"/>
    <n v="103426"/>
    <x v="1980"/>
    <x v="15"/>
    <x v="89"/>
    <x v="0"/>
    <x v="1"/>
    <x v="2"/>
  </r>
  <r>
    <x v="1997"/>
    <s v="Peter Baker"/>
    <x v="12"/>
    <x v="1"/>
    <x v="2"/>
    <s v="Postgraduate"/>
    <x v="1"/>
    <n v="143637"/>
    <n v="300"/>
    <n v="13312"/>
    <x v="0"/>
    <n v="8.6599999999999996E-2"/>
    <x v="2"/>
    <s v="Mortgaged"/>
    <n v="14"/>
    <n v="0"/>
    <s v="Yes"/>
    <s v="Yes"/>
    <x v="4"/>
    <n v="135700"/>
    <x v="1981"/>
    <x v="36"/>
    <x v="1234"/>
    <x v="1"/>
    <x v="0"/>
    <x v="2"/>
  </r>
  <r>
    <x v="1998"/>
    <s v="David Morales"/>
    <x v="10"/>
    <x v="1"/>
    <x v="0"/>
    <s v="High School"/>
    <x v="2"/>
    <n v="94599"/>
    <n v="300"/>
    <n v="1015"/>
    <x v="2"/>
    <n v="0.19440000000000002"/>
    <x v="0"/>
    <s v="Mortgaged"/>
    <n v="11"/>
    <n v="4"/>
    <s v="Yes"/>
    <s v="No"/>
    <x v="3"/>
    <n v="99978"/>
    <x v="1982"/>
    <x v="53"/>
    <x v="1235"/>
    <x v="1"/>
    <x v="0"/>
    <x v="2"/>
  </r>
  <r>
    <x v="1999"/>
    <s v="Melissa Alvarez"/>
    <x v="30"/>
    <x v="0"/>
    <x v="3"/>
    <s v="Graduate"/>
    <x v="0"/>
    <n v="120128"/>
    <n v="300"/>
    <n v="36775"/>
    <x v="0"/>
    <n v="0.10490000000000001"/>
    <x v="5"/>
    <s v="Rented"/>
    <n v="18"/>
    <n v="2"/>
    <s v="No"/>
    <s v="Yes"/>
    <x v="3"/>
    <n v="65180"/>
    <x v="1983"/>
    <x v="1"/>
    <x v="192"/>
    <x v="1"/>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541EED-72BF-4B4A-B049-E9AA27B4FCBB}" name="PivotTable7" cacheId="0" applyNumberFormats="0" applyBorderFormats="0" applyFontFormats="0" applyPatternFormats="0" applyAlignmentFormats="0" applyWidthHeightFormats="1" dataCaption="Values" updatedVersion="7" minRefreshableVersion="3" asteriskTotals="1" useAutoFormatting="1" rowGrandTotals="0" colGrandTotals="0" itemPrintTitles="1" createdVersion="7" indent="0" outline="1" outlineData="1" multipleFieldFilters="0" chartFormat="1">
  <location ref="H26:I28" firstHeaderRow="1" firstDataRow="1" firstDataCol="1"/>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items count="5">
        <item x="2"/>
        <item x="3"/>
        <item x="1"/>
        <item x="0"/>
        <item t="default"/>
      </items>
    </pivotField>
    <pivotField showAll="0"/>
    <pivotField showAll="0"/>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showAll="0"/>
    <pivotField numFmtId="165" showAll="0"/>
    <pivotField showAll="0"/>
    <pivotField numFmtId="164" showAll="0">
      <items count="15">
        <item x="0"/>
        <item x="1"/>
        <item x="2"/>
        <item x="3"/>
        <item x="4"/>
        <item x="5"/>
        <item x="6"/>
        <item x="7"/>
        <item x="8"/>
        <item x="9"/>
        <item x="10"/>
        <item x="11"/>
        <item x="12"/>
        <item x="13"/>
        <item t="default"/>
      </items>
    </pivotField>
    <pivotField showAll="0"/>
    <pivotField axis="axisRow" dataField="1"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24"/>
  </rowFields>
  <rowItems count="2">
    <i>
      <x/>
    </i>
    <i>
      <x v="1"/>
    </i>
  </rowItems>
  <colItems count="1">
    <i/>
  </colItems>
  <dataFields count="1">
    <dataField name="Default" fld="24" subtotal="count" baseField="24" baseItem="0"/>
  </dataFields>
  <formats count="5">
    <format dxfId="35">
      <pivotArea type="all" dataOnly="0" outline="0" fieldPosition="0"/>
    </format>
    <format dxfId="34">
      <pivotArea outline="0" collapsedLevelsAreSubtotals="1" fieldPosition="0"/>
    </format>
    <format dxfId="33">
      <pivotArea field="24" type="button" dataOnly="0" labelOnly="1" outline="0" axis="axisRow" fieldPosition="0"/>
    </format>
    <format dxfId="32">
      <pivotArea dataOnly="0" labelOnly="1" fieldPosition="0">
        <references count="1">
          <reference field="24" count="0"/>
        </references>
      </pivotArea>
    </format>
    <format dxfId="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191886-1B14-4B15-9824-CCC4940DBDB1}" name="PivotTable5" cacheId="0" applyNumberFormats="0" applyBorderFormats="0" applyFontFormats="0" applyPatternFormats="0" applyAlignmentFormats="0" applyWidthHeightFormats="1" dataCaption="Values" updatedVersion="7" minRefreshableVersion="3" asteriskTotals="1" useAutoFormatting="1" itemPrintTitles="1" createdVersion="7" indent="0" outline="1" outlineData="1" multipleFieldFilters="0">
  <location ref="J11:J12" firstHeaderRow="1" firstDataRow="1" firstDataCol="0"/>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dataField="1"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showAll="0"/>
    <pivotField numFmtId="165" showAll="0"/>
    <pivotField showAll="0"/>
    <pivotField numFmtId="164" showAll="0">
      <items count="15">
        <item x="0"/>
        <item x="1"/>
        <item x="2"/>
        <item x="3"/>
        <item x="4"/>
        <item x="5"/>
        <item x="6"/>
        <item x="7"/>
        <item x="8"/>
        <item x="9"/>
        <item x="10"/>
        <item x="11"/>
        <item x="12"/>
        <item x="13"/>
        <item t="default"/>
      </items>
    </pivotField>
    <pivotField showAll="0"/>
    <pivotField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Items count="1">
    <i/>
  </rowItems>
  <colItems count="1">
    <i/>
  </colItems>
  <dataFields count="1">
    <dataField name="Average Credit_Score" fld="8" subtotal="average" baseField="0" baseItem="59965440" numFmtId="1"/>
  </dataFields>
  <formats count="4">
    <format dxfId="39">
      <pivotArea outline="0" collapsedLevelsAreSubtotals="1"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48B298-FA9F-4477-B7BB-9B3D8435B1EA}" name="PivotTable24" cacheId="0" applyNumberFormats="0" applyBorderFormats="0" applyFontFormats="0" applyPatternFormats="0" applyAlignmentFormats="0" applyWidthHeightFormats="1" dataCaption="Values" updatedVersion="7" minRefreshableVersion="3" asteriskTotals="1" useAutoFormatting="1" itemPrintTitles="1" createdVersion="7" indent="0" outline="1" outlineData="1" multipleFieldFilters="0">
  <location ref="L11:L12" firstHeaderRow="1" firstDataRow="1" firstDataCol="0"/>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showAll="0"/>
    <pivotField numFmtId="165" showAll="0"/>
    <pivotField dataField="1" showAll="0"/>
    <pivotField numFmtId="164" showAll="0">
      <items count="15">
        <item x="0"/>
        <item x="1"/>
        <item x="2"/>
        <item x="3"/>
        <item x="4"/>
        <item x="5"/>
        <item x="6"/>
        <item x="7"/>
        <item x="8"/>
        <item x="9"/>
        <item x="10"/>
        <item x="11"/>
        <item x="12"/>
        <item x="13"/>
        <item t="default"/>
      </items>
    </pivotField>
    <pivotField showAll="0"/>
    <pivotField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Items count="1">
    <i/>
  </rowItems>
  <colItems count="1">
    <i/>
  </colItems>
  <dataFields count="1">
    <dataField name="Average Debt_to_Income_Ratio" fld="21" subtotal="average" baseField="0" baseItem="59965440" numFmtId="2"/>
  </dataFields>
  <formats count="6">
    <format dxfId="45">
      <pivotArea outline="0" collapsedLevelsAreSubtotals="1" fieldPosition="0"/>
    </format>
    <format dxfId="44">
      <pivotArea type="all" dataOnly="0" outline="0" fieldPosition="0"/>
    </format>
    <format dxfId="43">
      <pivotArea outline="0" collapsedLevelsAreSubtotals="1" fieldPosition="0"/>
    </format>
    <format dxfId="42">
      <pivotArea dataOnly="0" labelOnly="1" outline="0" axis="axisValues" fieldPosition="0"/>
    </format>
    <format dxfId="41">
      <pivotArea outline="0" collapsedLevelsAreSubtotals="1" fieldPosition="0"/>
    </format>
    <format dxfId="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67C658-FFAD-4D5A-8C51-1A10F997E60B}" name="PivotTable19" cacheId="0" applyNumberFormats="0" applyBorderFormats="0" applyFontFormats="0" applyPatternFormats="0" applyAlignmentFormats="0" applyWidthHeightFormats="1" dataCaption="Values" updatedVersion="7" minRefreshableVersion="3" asteriskTotals="1" useAutoFormatting="1" rowGrandTotals="0" colGrandTotals="0" itemPrintTitles="1" createdVersion="7" indent="0" outline="1" outlineData="1" multipleFieldFilters="0" chartFormat="1">
  <location ref="H98:I101" firstHeaderRow="1" firstDataRow="1" firstDataCol="1" rowPageCount="1" colPageCount="1"/>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showAll="0"/>
    <pivotField numFmtId="165" showAll="0">
      <items count="1985">
        <item x="1221"/>
        <item x="1572"/>
        <item x="252"/>
        <item x="1880"/>
        <item x="958"/>
        <item x="45"/>
        <item x="520"/>
        <item x="1800"/>
        <item x="726"/>
        <item x="634"/>
        <item x="1122"/>
        <item x="1214"/>
        <item x="1232"/>
        <item x="1541"/>
        <item x="22"/>
        <item x="1983"/>
        <item x="1504"/>
        <item x="283"/>
        <item x="293"/>
        <item x="1201"/>
        <item x="1152"/>
        <item x="697"/>
        <item x="680"/>
        <item x="142"/>
        <item x="388"/>
        <item x="1100"/>
        <item x="1798"/>
        <item x="987"/>
        <item x="249"/>
        <item x="1965"/>
        <item x="703"/>
        <item x="1592"/>
        <item x="1396"/>
        <item x="1167"/>
        <item x="1540"/>
        <item x="1606"/>
        <item x="522"/>
        <item x="1128"/>
        <item x="1095"/>
        <item x="510"/>
        <item x="723"/>
        <item x="562"/>
        <item x="1140"/>
        <item x="168"/>
        <item x="691"/>
        <item x="1927"/>
        <item x="1184"/>
        <item x="1951"/>
        <item x="1218"/>
        <item x="1180"/>
        <item x="1676"/>
        <item x="2"/>
        <item x="873"/>
        <item x="1317"/>
        <item x="1891"/>
        <item x="1621"/>
        <item x="1425"/>
        <item x="1839"/>
        <item x="1364"/>
        <item x="609"/>
        <item x="1746"/>
        <item x="1320"/>
        <item x="1199"/>
        <item x="732"/>
        <item x="1133"/>
        <item x="299"/>
        <item x="1551"/>
        <item x="1958"/>
        <item x="690"/>
        <item x="1192"/>
        <item x="70"/>
        <item x="1605"/>
        <item x="416"/>
        <item x="1145"/>
        <item x="198"/>
        <item x="250"/>
        <item x="288"/>
        <item x="1064"/>
        <item x="834"/>
        <item x="944"/>
        <item x="418"/>
        <item x="1226"/>
        <item x="347"/>
        <item x="729"/>
        <item x="640"/>
        <item x="496"/>
        <item x="1048"/>
        <item x="503"/>
        <item x="1189"/>
        <item x="1499"/>
        <item x="1424"/>
        <item x="861"/>
        <item x="1150"/>
        <item x="1246"/>
        <item x="677"/>
        <item x="1623"/>
        <item x="1982"/>
        <item x="933"/>
        <item x="95"/>
        <item x="1187"/>
        <item x="698"/>
        <item x="1963"/>
        <item x="1252"/>
        <item x="1684"/>
        <item x="930"/>
        <item x="1085"/>
        <item x="398"/>
        <item x="1658"/>
        <item x="756"/>
        <item x="1385"/>
        <item x="1532"/>
        <item x="279"/>
        <item x="1611"/>
        <item x="1768"/>
        <item x="500"/>
        <item x="1941"/>
        <item x="1335"/>
        <item x="1628"/>
        <item x="196"/>
        <item x="1008"/>
        <item x="1503"/>
        <item x="117"/>
        <item x="131"/>
        <item x="1981"/>
        <item x="1378"/>
        <item x="1495"/>
        <item x="1452"/>
        <item x="1953"/>
        <item x="1349"/>
        <item x="1415"/>
        <item x="597"/>
        <item x="333"/>
        <item x="246"/>
        <item x="170"/>
        <item x="787"/>
        <item x="197"/>
        <item x="707"/>
        <item x="464"/>
        <item x="1212"/>
        <item x="181"/>
        <item x="1016"/>
        <item x="1241"/>
        <item x="1110"/>
        <item x="540"/>
        <item x="1660"/>
        <item x="1380"/>
        <item x="1950"/>
        <item x="1890"/>
        <item x="576"/>
        <item x="400"/>
        <item x="1759"/>
        <item x="1933"/>
        <item x="1883"/>
        <item x="96"/>
        <item x="530"/>
        <item x="549"/>
        <item x="1522"/>
        <item x="31"/>
        <item x="1404"/>
        <item x="1978"/>
        <item x="1753"/>
        <item x="329"/>
        <item x="1550"/>
        <item x="470"/>
        <item x="1871"/>
        <item x="518"/>
        <item x="819"/>
        <item x="42"/>
        <item x="1790"/>
        <item x="1266"/>
        <item x="719"/>
        <item x="218"/>
        <item x="1534"/>
        <item x="423"/>
        <item x="1580"/>
        <item x="1055"/>
        <item x="805"/>
        <item x="1603"/>
        <item x="1223"/>
        <item x="413"/>
        <item x="1068"/>
        <item x="439"/>
        <item x="1174"/>
        <item x="35"/>
        <item x="243"/>
        <item x="1903"/>
        <item x="1850"/>
        <item x="425"/>
        <item x="259"/>
        <item x="1061"/>
        <item x="1908"/>
        <item x="1276"/>
        <item x="692"/>
        <item x="1749"/>
        <item x="1423"/>
        <item x="176"/>
        <item x="568"/>
        <item x="1090"/>
        <item x="1288"/>
        <item x="1894"/>
        <item x="525"/>
        <item x="1483"/>
        <item x="1341"/>
        <item x="1471"/>
        <item x="1518"/>
        <item x="738"/>
        <item x="286"/>
        <item x="159"/>
        <item x="814"/>
        <item x="1029"/>
        <item x="1330"/>
        <item x="851"/>
        <item x="1740"/>
        <item x="309"/>
        <item x="10"/>
        <item x="1960"/>
        <item x="920"/>
        <item x="537"/>
        <item x="749"/>
        <item x="1056"/>
        <item x="678"/>
        <item x="432"/>
        <item x="561"/>
        <item x="807"/>
        <item x="150"/>
        <item x="1617"/>
        <item x="1558"/>
        <item x="282"/>
        <item x="1418"/>
        <item x="174"/>
        <item x="393"/>
        <item x="1928"/>
        <item x="776"/>
        <item x="632"/>
        <item x="750"/>
        <item x="1878"/>
        <item x="1587"/>
        <item x="1143"/>
        <item x="1782"/>
        <item x="1507"/>
        <item x="559"/>
        <item x="1386"/>
        <item x="1781"/>
        <item x="355"/>
        <item x="1833"/>
        <item x="527"/>
        <item x="63"/>
        <item x="842"/>
        <item x="404"/>
        <item x="132"/>
        <item x="1512"/>
        <item x="1149"/>
        <item x="799"/>
        <item x="1669"/>
        <item x="99"/>
        <item x="1478"/>
        <item x="867"/>
        <item x="623"/>
        <item x="199"/>
        <item x="1118"/>
        <item x="1723"/>
        <item x="548"/>
        <item x="1002"/>
        <item x="1828"/>
        <item x="1612"/>
        <item x="1686"/>
        <item x="1841"/>
        <item x="1692"/>
        <item x="1395"/>
        <item x="1904"/>
        <item x="1253"/>
        <item x="1897"/>
        <item x="41"/>
        <item x="794"/>
        <item x="1742"/>
        <item x="1277"/>
        <item x="859"/>
        <item x="488"/>
        <item x="907"/>
        <item x="1387"/>
        <item x="1487"/>
        <item x="840"/>
        <item x="308"/>
        <item x="1711"/>
        <item x="826"/>
        <item x="1634"/>
        <item x="396"/>
        <item x="490"/>
        <item x="584"/>
        <item x="1169"/>
        <item x="910"/>
        <item x="1069"/>
        <item x="515"/>
        <item x="1168"/>
        <item x="1840"/>
        <item x="1018"/>
        <item x="311"/>
        <item x="452"/>
        <item x="363"/>
        <item x="1691"/>
        <item x="984"/>
        <item x="313"/>
        <item x="1372"/>
        <item x="77"/>
        <item x="1801"/>
        <item x="1586"/>
        <item x="8"/>
        <item x="353"/>
        <item x="721"/>
        <item x="1815"/>
        <item x="1040"/>
        <item x="1719"/>
        <item x="896"/>
        <item x="1086"/>
        <item x="1"/>
        <item x="858"/>
        <item x="1139"/>
        <item x="331"/>
        <item x="965"/>
        <item x="818"/>
        <item x="237"/>
        <item x="475"/>
        <item x="825"/>
        <item x="989"/>
        <item x="1315"/>
        <item x="1531"/>
        <item x="1450"/>
        <item x="1113"/>
        <item x="550"/>
        <item x="1667"/>
        <item x="1417"/>
        <item x="1146"/>
        <item x="126"/>
        <item x="1182"/>
        <item x="129"/>
        <item x="1358"/>
        <item x="1312"/>
        <item x="1700"/>
        <item x="847"/>
        <item x="468"/>
        <item x="968"/>
        <item x="1730"/>
        <item x="774"/>
        <item x="433"/>
        <item x="541"/>
        <item x="1046"/>
        <item x="884"/>
        <item x="162"/>
        <item x="813"/>
        <item x="899"/>
        <item x="1588"/>
        <item x="121"/>
        <item x="521"/>
        <item x="516"/>
        <item x="1465"/>
        <item x="351"/>
        <item x="1010"/>
        <item x="1862"/>
        <item x="52"/>
        <item x="1796"/>
        <item x="963"/>
        <item x="1130"/>
        <item x="1411"/>
        <item x="524"/>
        <item x="1543"/>
        <item x="1176"/>
        <item x="213"/>
        <item x="606"/>
        <item x="786"/>
        <item x="1954"/>
        <item x="903"/>
        <item x="1198"/>
        <item x="1344"/>
        <item x="451"/>
        <item x="636"/>
        <item x="275"/>
        <item x="1080"/>
        <item x="977"/>
        <item x="1300"/>
        <item x="1955"/>
        <item x="631"/>
        <item x="954"/>
        <item x="1787"/>
        <item x="453"/>
        <item x="171"/>
        <item x="1492"/>
        <item x="828"/>
        <item x="1794"/>
        <item x="316"/>
        <item x="56"/>
        <item x="1655"/>
        <item x="272"/>
        <item x="1852"/>
        <item x="1123"/>
        <item x="372"/>
        <item x="658"/>
        <item x="256"/>
        <item x="1076"/>
        <item x="810"/>
        <item x="1567"/>
        <item x="713"/>
        <item x="1329"/>
        <item x="1338"/>
        <item x="1075"/>
        <item x="579"/>
        <item x="1972"/>
        <item x="1196"/>
        <item x="49"/>
        <item x="1433"/>
        <item x="1407"/>
        <item x="1438"/>
        <item x="465"/>
        <item x="152"/>
        <item x="1460"/>
        <item x="1947"/>
        <item x="158"/>
        <item x="1162"/>
        <item x="1163"/>
        <item x="54"/>
        <item x="1063"/>
        <item x="785"/>
        <item x="371"/>
        <item x="1779"/>
        <item x="109"/>
        <item x="1751"/>
        <item x="24"/>
        <item x="1043"/>
        <item x="312"/>
        <item x="15"/>
        <item x="1119"/>
        <item x="1475"/>
        <item x="711"/>
        <item x="1571"/>
        <item x="1157"/>
        <item x="1260"/>
        <item x="685"/>
        <item x="111"/>
        <item x="1708"/>
        <item x="1234"/>
        <item x="1702"/>
        <item x="1799"/>
        <item x="140"/>
        <item x="1548"/>
        <item x="1160"/>
        <item x="1892"/>
        <item x="1675"/>
        <item x="149"/>
        <item x="187"/>
        <item x="4"/>
        <item x="854"/>
        <item x="985"/>
        <item x="517"/>
        <item x="668"/>
        <item x="137"/>
        <item x="1510"/>
        <item x="1235"/>
        <item x="644"/>
        <item x="1568"/>
        <item x="1138"/>
        <item x="717"/>
        <item x="1771"/>
        <item x="1836"/>
        <item x="298"/>
        <item x="390"/>
        <item x="916"/>
        <item x="1539"/>
        <item x="1881"/>
        <item x="1577"/>
        <item x="32"/>
        <item x="1748"/>
        <item x="897"/>
        <item x="480"/>
        <item x="1644"/>
        <item x="1519"/>
        <item x="731"/>
        <item x="1964"/>
        <item x="804"/>
        <item x="216"/>
        <item x="113"/>
        <item x="1289"/>
        <item x="1205"/>
        <item x="1824"/>
        <item x="156"/>
        <item x="1846"/>
        <item x="891"/>
        <item x="1607"/>
        <item x="757"/>
        <item x="1774"/>
        <item x="1343"/>
        <item x="957"/>
        <item x="1791"/>
        <item x="285"/>
        <item x="1775"/>
        <item x="868"/>
        <item x="1525"/>
        <item x="1597"/>
        <item x="1318"/>
        <item x="1269"/>
        <item x="81"/>
        <item x="273"/>
        <item x="1865"/>
        <item x="508"/>
        <item x="23"/>
        <item x="959"/>
        <item x="1294"/>
        <item x="879"/>
        <item x="401"/>
        <item x="1247"/>
        <item x="446"/>
        <item x="724"/>
        <item x="1590"/>
        <item x="844"/>
        <item x="1074"/>
        <item x="1359"/>
        <item x="722"/>
        <item x="1081"/>
        <item x="1255"/>
        <item x="1907"/>
        <item x="1552"/>
        <item x="1437"/>
        <item x="86"/>
        <item x="1135"/>
        <item x="1717"/>
        <item x="1720"/>
        <item x="1874"/>
        <item x="186"/>
        <item x="1272"/>
        <item x="147"/>
        <item x="792"/>
        <item x="1382"/>
        <item x="261"/>
        <item x="5"/>
        <item x="1028"/>
        <item x="1616"/>
        <item x="55"/>
        <item x="403"/>
        <item x="317"/>
        <item x="538"/>
        <item x="1589"/>
        <item x="352"/>
        <item x="1766"/>
        <item x="1394"/>
        <item x="569"/>
        <item x="635"/>
        <item x="885"/>
        <item x="727"/>
        <item x="605"/>
        <item x="1832"/>
        <item x="473"/>
        <item x="47"/>
        <item x="1389"/>
        <item x="1098"/>
        <item x="1103"/>
        <item x="1496"/>
        <item x="1811"/>
        <item x="481"/>
        <item x="354"/>
        <item x="925"/>
        <item x="1153"/>
        <item x="1959"/>
        <item x="800"/>
        <item x="459"/>
        <item x="120"/>
        <item x="83"/>
        <item x="1780"/>
        <item x="1946"/>
        <item x="1022"/>
        <item x="1328"/>
        <item x="1685"/>
        <item x="1860"/>
        <item x="1001"/>
        <item x="33"/>
        <item x="554"/>
        <item x="1230"/>
        <item x="1159"/>
        <item x="37"/>
        <item x="341"/>
        <item x="874"/>
        <item x="133"/>
        <item x="1311"/>
        <item x="1944"/>
        <item x="914"/>
        <item x="716"/>
        <item x="507"/>
        <item x="91"/>
        <item x="580"/>
        <item x="802"/>
        <item x="1131"/>
        <item x="1388"/>
        <item x="1688"/>
        <item x="1111"/>
        <item x="1309"/>
        <item x="1151"/>
        <item x="544"/>
        <item x="1810"/>
        <item x="1847"/>
        <item x="1445"/>
        <item x="1466"/>
        <item x="1680"/>
        <item x="737"/>
        <item x="267"/>
        <item x="1724"/>
        <item x="1961"/>
        <item x="725"/>
        <item x="440"/>
        <item x="1674"/>
        <item x="815"/>
        <item x="330"/>
        <item x="766"/>
        <item x="1861"/>
        <item x="594"/>
        <item x="1582"/>
        <item x="655"/>
        <item x="878"/>
        <item x="604"/>
        <item x="1390"/>
        <item x="271"/>
        <item x="370"/>
        <item x="1807"/>
        <item x="50"/>
        <item x="268"/>
        <item x="1573"/>
        <item x="1240"/>
        <item x="1619"/>
        <item x="1937"/>
        <item x="428"/>
        <item x="917"/>
        <item x="1604"/>
        <item x="1172"/>
        <item x="1745"/>
        <item x="14"/>
        <item x="734"/>
        <item x="882"/>
        <item x="997"/>
        <item x="212"/>
        <item x="1706"/>
        <item x="1949"/>
        <item x="25"/>
        <item x="1194"/>
        <item x="1467"/>
        <item x="1718"/>
        <item x="918"/>
        <item x="1844"/>
        <item x="258"/>
        <item x="1435"/>
        <item x="382"/>
        <item x="78"/>
        <item x="809"/>
        <item x="1410"/>
        <item x="1102"/>
        <item x="990"/>
        <item x="1291"/>
        <item x="1756"/>
        <item x="1337"/>
        <item x="1285"/>
        <item x="1505"/>
        <item x="1777"/>
        <item x="210"/>
        <item x="1489"/>
        <item x="1430"/>
        <item x="1005"/>
        <item x="1653"/>
        <item x="1271"/>
        <item x="1050"/>
        <item x="1257"/>
        <item x="193"/>
        <item x="941"/>
        <item x="1186"/>
        <item x="251"/>
        <item x="1638"/>
        <item x="1193"/>
        <item x="735"/>
        <item x="1346"/>
        <item x="1533"/>
        <item x="69"/>
        <item x="1792"/>
        <item x="302"/>
        <item x="1307"/>
        <item x="1268"/>
        <item x="1866"/>
        <item x="233"/>
        <item x="1930"/>
        <item x="1360"/>
        <item x="929"/>
        <item x="598"/>
        <item x="593"/>
        <item x="714"/>
        <item x="1922"/>
        <item x="1060"/>
        <item x="971"/>
        <item x="998"/>
        <item x="43"/>
        <item x="979"/>
        <item x="1834"/>
        <item x="1441"/>
        <item x="39"/>
        <item x="427"/>
        <item x="1636"/>
        <item x="1440"/>
        <item x="1459"/>
        <item x="16"/>
        <item x="1882"/>
        <item x="1820"/>
        <item x="487"/>
        <item x="1738"/>
        <item x="224"/>
        <item x="1884"/>
        <item x="1238"/>
        <item x="1112"/>
        <item x="108"/>
        <item x="114"/>
        <item x="1696"/>
        <item x="613"/>
        <item x="59"/>
        <item x="701"/>
        <item x="362"/>
        <item x="190"/>
        <item x="1707"/>
        <item x="1228"/>
        <item x="779"/>
        <item x="1784"/>
        <item x="1373"/>
        <item x="926"/>
        <item x="1641"/>
        <item x="175"/>
        <item x="1011"/>
        <item x="357"/>
        <item x="1281"/>
        <item x="1970"/>
        <item x="904"/>
        <item x="474"/>
        <item x="795"/>
        <item x="1154"/>
        <item x="103"/>
        <item x="1042"/>
        <item x="585"/>
        <item x="1345"/>
        <item x="742"/>
        <item x="1585"/>
        <item x="202"/>
        <item x="883"/>
        <item x="902"/>
        <item x="1661"/>
        <item x="29"/>
        <item x="368"/>
        <item x="1443"/>
        <item x="1654"/>
        <item x="994"/>
        <item x="296"/>
        <item x="223"/>
        <item x="334"/>
        <item x="1943"/>
        <item x="18"/>
        <item x="622"/>
        <item x="817"/>
        <item x="1649"/>
        <item x="231"/>
        <item x="1593"/>
        <item x="1726"/>
        <item x="1893"/>
        <item x="835"/>
        <item x="1003"/>
        <item x="669"/>
        <item x="900"/>
        <item x="1542"/>
        <item x="291"/>
        <item x="966"/>
        <item x="523"/>
        <item x="228"/>
        <item x="762"/>
        <item x="1124"/>
        <item x="1231"/>
        <item x="811"/>
        <item x="1926"/>
        <item x="1508"/>
        <item x="494"/>
        <item x="1697"/>
        <item x="1911"/>
        <item x="545"/>
        <item x="1825"/>
        <item x="574"/>
        <item x="1681"/>
        <item x="1093"/>
        <item x="1967"/>
        <item x="901"/>
        <item x="391"/>
        <item x="502"/>
        <item x="760"/>
        <item x="1286"/>
        <item x="1392"/>
        <item x="611"/>
        <item x="823"/>
        <item x="1678"/>
        <item x="365"/>
        <item x="1902"/>
        <item x="1361"/>
        <item x="242"/>
        <item x="1275"/>
        <item x="657"/>
        <item x="1089"/>
        <item x="607"/>
        <item x="686"/>
        <item x="1004"/>
        <item x="1295"/>
        <item x="1096"/>
        <item x="969"/>
        <item x="1393"/>
        <item x="637"/>
        <item x="1213"/>
        <item x="1635"/>
        <item x="1952"/>
        <item x="326"/>
        <item x="1979"/>
        <item x="64"/>
        <item x="647"/>
        <item x="1741"/>
        <item x="71"/>
        <item x="886"/>
        <item x="366"/>
        <item x="1439"/>
        <item x="1013"/>
        <item x="319"/>
        <item x="683"/>
        <item x="1340"/>
        <item x="1480"/>
        <item x="402"/>
        <item x="1576"/>
        <item x="1564"/>
        <item x="1326"/>
        <item x="784"/>
        <item x="1293"/>
        <item x="93"/>
        <item x="254"/>
        <item x="232"/>
        <item x="1156"/>
        <item x="467"/>
        <item x="1609"/>
        <item x="962"/>
        <item x="1547"/>
        <item x="953"/>
        <item x="621"/>
        <item x="1421"/>
        <item x="1736"/>
        <item x="1116"/>
        <item x="848"/>
        <item x="1509"/>
        <item x="1662"/>
        <item x="1409"/>
        <item x="1829"/>
        <item x="1494"/>
        <item x="596"/>
        <item x="839"/>
        <item x="857"/>
        <item x="1854"/>
        <item x="1760"/>
        <item x="1365"/>
        <item x="1747"/>
        <item x="335"/>
        <item x="1316"/>
        <item x="1481"/>
        <item x="359"/>
        <item x="1398"/>
        <item x="718"/>
        <item x="1767"/>
        <item x="1414"/>
        <item x="860"/>
        <item x="1620"/>
        <item x="300"/>
        <item x="72"/>
        <item x="1521"/>
        <item x="769"/>
        <item x="546"/>
        <item x="208"/>
        <item x="890"/>
        <item x="547"/>
        <item x="105"/>
        <item x="565"/>
        <item x="1566"/>
        <item x="222"/>
        <item x="148"/>
        <item x="1677"/>
        <item x="889"/>
        <item x="830"/>
        <item x="1805"/>
        <item x="820"/>
        <item x="564"/>
        <item x="207"/>
        <item x="373"/>
        <item x="1062"/>
        <item x="1472"/>
        <item x="793"/>
        <item x="135"/>
        <item x="1170"/>
        <item x="195"/>
        <item x="1134"/>
        <item x="519"/>
        <item x="410"/>
        <item x="1940"/>
        <item x="221"/>
        <item x="780"/>
        <item x="1918"/>
        <item x="1656"/>
        <item x="1233"/>
        <item x="79"/>
        <item x="1302"/>
        <item x="1537"/>
        <item x="960"/>
        <item x="1303"/>
        <item x="1225"/>
        <item x="122"/>
        <item x="617"/>
        <item x="1242"/>
        <item x="1971"/>
        <item x="230"/>
        <item x="1457"/>
        <item x="684"/>
        <item x="245"/>
        <item x="1265"/>
        <item x="234"/>
        <item x="1032"/>
        <item x="226"/>
        <item x="586"/>
        <item x="1072"/>
        <item x="1936"/>
        <item x="602"/>
        <item x="778"/>
        <item x="123"/>
        <item x="681"/>
        <item x="342"/>
        <item x="1243"/>
        <item x="1273"/>
        <item x="1250"/>
        <item x="429"/>
        <item x="614"/>
        <item x="1921"/>
        <item x="1763"/>
        <item x="498"/>
        <item x="449"/>
        <item x="182"/>
        <item x="1812"/>
        <item x="1158"/>
        <item x="630"/>
        <item x="660"/>
        <item x="705"/>
        <item x="1248"/>
        <item x="201"/>
        <item x="755"/>
        <item x="1808"/>
        <item x="12"/>
        <item x="454"/>
        <item x="1455"/>
        <item x="853"/>
        <item x="659"/>
        <item x="841"/>
        <item x="445"/>
        <item x="74"/>
        <item x="104"/>
        <item x="790"/>
        <item x="1211"/>
        <item x="650"/>
        <item x="107"/>
        <item x="1885"/>
        <item x="301"/>
        <item x="1814"/>
        <item x="921"/>
        <item x="1630"/>
        <item x="167"/>
        <item x="513"/>
        <item x="44"/>
        <item x="375"/>
        <item x="173"/>
        <item x="1015"/>
        <item x="1610"/>
        <item x="1034"/>
        <item x="1804"/>
        <item x="773"/>
        <item x="118"/>
        <item x="263"/>
        <item x="791"/>
        <item x="434"/>
        <item x="138"/>
        <item x="1436"/>
        <item x="961"/>
        <item x="856"/>
        <item x="943"/>
        <item x="1737"/>
        <item x="377"/>
        <item x="1925"/>
        <item x="177"/>
        <item x="1910"/>
        <item x="688"/>
        <item x="1817"/>
        <item x="1975"/>
        <item x="866"/>
        <item x="188"/>
        <item x="1374"/>
        <item x="478"/>
        <item x="833"/>
        <item x="235"/>
        <item x="1853"/>
        <item x="739"/>
        <item x="1732"/>
        <item x="1444"/>
        <item x="244"/>
        <item x="509"/>
        <item x="1845"/>
        <item x="573"/>
        <item x="1325"/>
        <item x="1274"/>
        <item x="1932"/>
        <item x="116"/>
        <item x="539"/>
        <item x="1529"/>
        <item x="946"/>
        <item x="620"/>
        <item x="736"/>
        <item x="1873"/>
        <item x="9"/>
        <item x="1357"/>
        <item x="1114"/>
        <item x="744"/>
        <item x="253"/>
        <item x="1087"/>
        <item x="1469"/>
        <item x="1776"/>
        <item x="1758"/>
        <item x="1917"/>
        <item x="797"/>
        <item x="1863"/>
        <item x="248"/>
        <item x="556"/>
        <item x="1371"/>
        <item x="972"/>
        <item x="895"/>
        <item x="666"/>
        <item x="1560"/>
        <item x="1203"/>
        <item x="872"/>
        <item x="656"/>
        <item x="751"/>
        <item x="1565"/>
        <item x="1142"/>
        <item x="1945"/>
        <item x="752"/>
        <item x="1115"/>
        <item x="1929"/>
        <item x="1000"/>
        <item x="1419"/>
        <item x="1728"/>
        <item x="1624"/>
        <item x="1049"/>
        <item x="1216"/>
        <item x="447"/>
        <item x="1877"/>
        <item x="1689"/>
        <item x="1554"/>
        <item x="746"/>
        <item x="1408"/>
        <item x="740"/>
        <item x="567"/>
        <item x="1819"/>
        <item x="124"/>
        <item x="1895"/>
        <item x="1574"/>
        <item x="1486"/>
        <item x="892"/>
        <item x="758"/>
        <item x="1915"/>
        <item x="1229"/>
        <item x="1027"/>
        <item x="1299"/>
        <item x="205"/>
        <item x="1948"/>
        <item x="1461"/>
        <item x="1687"/>
        <item x="1595"/>
        <item x="1876"/>
        <item x="922"/>
        <item x="1879"/>
        <item x="665"/>
        <item x="408"/>
        <item x="1239"/>
        <item x="932"/>
        <item x="1599"/>
        <item x="397"/>
        <item x="376"/>
        <item x="610"/>
        <item x="871"/>
        <item x="1304"/>
        <item x="1356"/>
        <item x="84"/>
        <item x="1366"/>
        <item x="945"/>
        <item x="1821"/>
        <item x="136"/>
        <item x="1806"/>
        <item x="1351"/>
        <item x="1017"/>
        <item x="384"/>
        <item x="1155"/>
        <item x="1070"/>
        <item x="139"/>
        <item x="767"/>
        <item x="1406"/>
        <item x="119"/>
        <item x="153"/>
        <item x="88"/>
        <item x="1342"/>
        <item x="209"/>
        <item x="1901"/>
        <item x="1559"/>
        <item x="306"/>
        <item x="360"/>
        <item x="646"/>
        <item x="1166"/>
        <item x="1363"/>
        <item x="870"/>
        <item x="532"/>
        <item x="1615"/>
        <item x="924"/>
        <item x="643"/>
        <item x="531"/>
        <item x="1412"/>
        <item x="1526"/>
        <item x="1701"/>
        <item x="1352"/>
        <item x="53"/>
        <item x="1188"/>
        <item x="777"/>
        <item x="1401"/>
        <item x="1071"/>
        <item x="1092"/>
        <item x="1038"/>
        <item x="1935"/>
        <item x="1051"/>
        <item x="1136"/>
        <item x="506"/>
        <item x="328"/>
        <item x="1319"/>
        <item x="1682"/>
        <item x="141"/>
        <item x="1858"/>
        <item x="280"/>
        <item x="1306"/>
        <item x="1204"/>
        <item x="1739"/>
        <item x="699"/>
        <item x="395"/>
        <item x="676"/>
        <item x="881"/>
        <item x="1227"/>
        <item x="1851"/>
        <item x="469"/>
        <item x="1007"/>
        <item x="1220"/>
        <item x="948"/>
        <item x="422"/>
        <item x="1021"/>
        <item x="1207"/>
        <item x="988"/>
        <item x="482"/>
        <item x="1557"/>
        <item x="951"/>
        <item x="1137"/>
        <item x="1473"/>
        <item x="260"/>
        <item x="414"/>
        <item x="1178"/>
        <item x="1296"/>
        <item x="1019"/>
        <item x="1447"/>
        <item x="497"/>
        <item x="1859"/>
        <item x="7"/>
        <item x="457"/>
        <item x="1704"/>
        <item x="700"/>
        <item x="1449"/>
        <item x="1734"/>
        <item x="367"/>
        <item x="1727"/>
        <item x="1033"/>
        <item x="98"/>
        <item x="380"/>
        <item x="1575"/>
        <item x="1966"/>
        <item x="20"/>
        <item x="60"/>
        <item x="125"/>
        <item x="624"/>
        <item x="1598"/>
        <item x="27"/>
        <item x="421"/>
        <item x="927"/>
        <item x="1264"/>
        <item x="1377"/>
        <item x="1077"/>
        <item x="595"/>
        <item x="949"/>
        <item x="1713"/>
        <item x="1968"/>
        <item x="675"/>
        <item x="625"/>
        <item x="204"/>
        <item x="1434"/>
        <item x="364"/>
        <item x="511"/>
        <item x="225"/>
        <item x="768"/>
        <item x="1173"/>
        <item x="379"/>
        <item x="1292"/>
        <item x="46"/>
        <item x="1470"/>
        <item x="869"/>
        <item x="1722"/>
        <item x="1703"/>
        <item x="51"/>
        <item x="1618"/>
        <item x="240"/>
        <item x="358"/>
        <item x="940"/>
        <item x="417"/>
        <item x="1602"/>
        <item x="1464"/>
        <item x="1788"/>
        <item x="1501"/>
        <item x="1175"/>
        <item x="217"/>
        <item x="1889"/>
        <item x="1237"/>
        <item x="1368"/>
        <item x="442"/>
        <item x="1664"/>
        <item x="1633"/>
        <item x="1482"/>
        <item x="1298"/>
        <item x="566"/>
        <item x="1287"/>
        <item x="211"/>
        <item x="1045"/>
        <item x="1725"/>
        <item x="17"/>
        <item x="543"/>
        <item x="821"/>
        <item x="110"/>
        <item x="578"/>
        <item x="1284"/>
        <item x="1488"/>
        <item x="970"/>
        <item x="612"/>
        <item x="278"/>
        <item x="552"/>
        <item x="1331"/>
        <item x="652"/>
        <item x="1500"/>
        <item x="663"/>
        <item x="796"/>
        <item x="1065"/>
        <item x="472"/>
        <item x="3"/>
        <item x="458"/>
        <item x="1399"/>
        <item x="386"/>
        <item x="1251"/>
        <item x="1900"/>
        <item x="1484"/>
        <item x="1830"/>
        <item x="19"/>
        <item x="662"/>
        <item x="1642"/>
        <item x="26"/>
        <item x="781"/>
        <item x="555"/>
        <item x="1148"/>
        <item x="466"/>
        <item x="169"/>
        <item x="350"/>
        <item x="581"/>
        <item x="1757"/>
        <item x="852"/>
        <item x="1693"/>
        <item x="1477"/>
        <item x="1147"/>
        <item x="816"/>
        <item x="1569"/>
        <item x="1665"/>
        <item x="1297"/>
        <item x="1165"/>
        <item x="608"/>
        <item x="471"/>
        <item x="1909"/>
        <item x="981"/>
        <item x="1024"/>
        <item x="1596"/>
        <item x="1650"/>
        <item x="1082"/>
        <item x="1161"/>
        <item x="1270"/>
        <item x="322"/>
        <item x="1097"/>
        <item x="389"/>
        <item x="130"/>
        <item x="1535"/>
        <item x="1020"/>
        <item x="1673"/>
        <item x="62"/>
        <item x="305"/>
        <item x="836"/>
        <item x="1712"/>
        <item x="1743"/>
        <item x="1924"/>
        <item x="1643"/>
        <item x="1177"/>
        <item x="1190"/>
        <item x="184"/>
        <item x="679"/>
        <item x="1716"/>
        <item x="905"/>
        <item x="92"/>
        <item x="1838"/>
        <item x="1181"/>
        <item x="1453"/>
        <item x="1705"/>
        <item x="1896"/>
        <item x="1647"/>
        <item x="1463"/>
        <item x="1402"/>
        <item x="1217"/>
        <item x="1334"/>
        <item x="937"/>
        <item x="808"/>
        <item x="437"/>
        <item x="303"/>
        <item x="276"/>
        <item x="443"/>
        <item x="1109"/>
        <item x="1428"/>
        <item x="1179"/>
        <item x="1668"/>
        <item x="1446"/>
        <item x="1354"/>
        <item x="1789"/>
        <item x="1210"/>
        <item x="219"/>
        <item x="829"/>
        <item x="1942"/>
        <item x="1497"/>
        <item x="915"/>
        <item x="485"/>
        <item x="743"/>
        <item x="553"/>
        <item x="1520"/>
        <item x="1872"/>
        <item x="483"/>
        <item x="227"/>
        <item x="1206"/>
        <item x="40"/>
        <item x="477"/>
        <item x="1379"/>
        <item x="772"/>
        <item x="1301"/>
        <item x="185"/>
        <item x="938"/>
        <item x="1721"/>
        <item x="670"/>
        <item x="923"/>
        <item x="1171"/>
        <item x="906"/>
        <item x="950"/>
        <item x="514"/>
        <item x="1752"/>
        <item x="806"/>
        <item x="394"/>
        <item x="931"/>
        <item x="343"/>
        <item x="241"/>
        <item x="1545"/>
        <item x="265"/>
        <item x="504"/>
        <item x="385"/>
        <item x="1561"/>
        <item x="1245"/>
        <item x="909"/>
        <item x="1831"/>
        <item x="837"/>
        <item x="973"/>
        <item x="1458"/>
        <item x="57"/>
        <item x="1474"/>
        <item x="115"/>
        <item x="1694"/>
        <item x="1262"/>
        <item x="875"/>
        <item x="1321"/>
        <item x="327"/>
        <item x="1528"/>
        <item x="898"/>
        <item x="975"/>
        <item x="164"/>
        <item x="155"/>
        <item x="696"/>
        <item x="178"/>
        <item x="1546"/>
        <item x="754"/>
        <item x="1036"/>
        <item x="1132"/>
        <item x="1244"/>
        <item x="1652"/>
        <item x="1822"/>
        <item x="560"/>
        <item x="290"/>
        <item x="1493"/>
        <item x="542"/>
        <item x="682"/>
        <item x="476"/>
        <item x="782"/>
        <item x="626"/>
        <item x="145"/>
        <item x="803"/>
        <item x="499"/>
        <item x="1454"/>
        <item x="344"/>
        <item x="236"/>
        <item x="667"/>
        <item x="163"/>
        <item x="741"/>
        <item x="1939"/>
        <item x="1527"/>
        <item x="157"/>
        <item x="1468"/>
        <item x="356"/>
        <item x="65"/>
        <item x="1530"/>
        <item x="986"/>
        <item x="1314"/>
        <item x="1857"/>
        <item x="1044"/>
        <item x="642"/>
        <item x="911"/>
        <item x="315"/>
        <item x="1383"/>
        <item x="112"/>
        <item x="68"/>
        <item x="1769"/>
        <item x="1059"/>
        <item x="978"/>
        <item x="154"/>
        <item x="1849"/>
        <item x="1816"/>
        <item x="294"/>
        <item x="831"/>
        <item x="894"/>
        <item x="76"/>
        <item x="1313"/>
        <item x="1570"/>
        <item x="1183"/>
        <item x="1219"/>
        <item x="843"/>
        <item x="1370"/>
        <item x="1957"/>
        <item x="238"/>
        <item x="491"/>
        <item x="1353"/>
        <item x="893"/>
        <item x="759"/>
        <item x="1310"/>
        <item x="694"/>
        <item x="415"/>
        <item x="629"/>
        <item x="1283"/>
        <item x="627"/>
        <item x="1191"/>
        <item x="501"/>
        <item x="264"/>
        <item x="862"/>
        <item x="822"/>
        <item x="320"/>
        <item x="1052"/>
        <item x="191"/>
        <item x="619"/>
        <item x="146"/>
        <item x="1350"/>
        <item x="172"/>
        <item x="1538"/>
        <item x="1141"/>
        <item x="587"/>
        <item x="444"/>
        <item x="1715"/>
        <item x="505"/>
        <item x="1856"/>
        <item x="1659"/>
        <item x="1735"/>
        <item x="378"/>
        <item x="633"/>
        <item x="161"/>
        <item x="687"/>
        <item x="11"/>
        <item x="287"/>
        <item x="383"/>
        <item x="1256"/>
        <item x="942"/>
        <item x="952"/>
        <item x="615"/>
        <item x="1973"/>
        <item x="704"/>
        <item x="1106"/>
        <item x="572"/>
        <item x="405"/>
        <item x="648"/>
        <item x="1117"/>
        <item x="1802"/>
        <item x="1795"/>
        <item x="194"/>
        <item x="1920"/>
        <item x="310"/>
        <item x="277"/>
        <item x="239"/>
        <item x="798"/>
        <item x="1322"/>
        <item x="789"/>
        <item x="257"/>
        <item x="775"/>
        <item x="1905"/>
        <item x="151"/>
        <item x="1202"/>
        <item x="1079"/>
        <item x="1956"/>
        <item x="134"/>
        <item x="928"/>
        <item x="641"/>
        <item x="1842"/>
        <item x="1657"/>
        <item x="1549"/>
        <item x="58"/>
        <item x="1209"/>
        <item x="1919"/>
        <item x="824"/>
        <item x="192"/>
        <item x="324"/>
        <item x="1584"/>
        <item x="82"/>
        <item x="1324"/>
        <item x="557"/>
        <item x="1671"/>
        <item x="1899"/>
        <item x="1826"/>
        <item x="180"/>
        <item x="85"/>
        <item x="1613"/>
        <item x="1563"/>
        <item x="281"/>
        <item x="336"/>
        <item x="412"/>
        <item x="577"/>
        <item x="1818"/>
        <item x="1698"/>
        <item x="706"/>
        <item x="999"/>
        <item x="374"/>
        <item x="1121"/>
        <item x="1091"/>
        <item x="6"/>
        <item x="880"/>
        <item x="1259"/>
        <item x="1562"/>
        <item x="1786"/>
        <item x="436"/>
        <item x="995"/>
        <item x="75"/>
        <item x="1639"/>
        <item x="653"/>
        <item x="695"/>
        <item x="1066"/>
        <item x="1249"/>
        <item x="1009"/>
        <item x="1339"/>
        <item x="1099"/>
        <item x="616"/>
        <item x="406"/>
        <item x="1591"/>
        <item x="712"/>
        <item x="1006"/>
        <item x="864"/>
        <item x="1476"/>
        <item x="270"/>
        <item x="529"/>
        <item x="106"/>
        <item x="1916"/>
        <item x="1744"/>
        <item x="67"/>
        <item x="1813"/>
        <item x="1031"/>
        <item x="1511"/>
        <item x="671"/>
        <item x="1679"/>
        <item x="1035"/>
        <item x="1764"/>
        <item x="369"/>
        <item x="582"/>
        <item x="599"/>
        <item x="674"/>
        <item x="426"/>
        <item x="1107"/>
        <item x="827"/>
        <item x="983"/>
        <item x="764"/>
        <item x="1976"/>
        <item x="1258"/>
        <item x="387"/>
        <item x="441"/>
        <item x="812"/>
        <item x="143"/>
        <item x="1514"/>
        <item x="0"/>
        <item x="345"/>
        <item x="289"/>
        <item x="1855"/>
        <item x="1456"/>
        <item x="908"/>
        <item x="1962"/>
        <item x="220"/>
        <item x="996"/>
        <item x="332"/>
        <item x="1898"/>
        <item x="1515"/>
        <item x="262"/>
        <item x="1369"/>
        <item x="61"/>
        <item x="1376"/>
        <item x="144"/>
        <item x="709"/>
        <item x="314"/>
        <item x="1502"/>
        <item x="1837"/>
        <item x="1073"/>
        <item x="1129"/>
        <item x="269"/>
        <item x="865"/>
        <item x="1490"/>
        <item x="1651"/>
        <item x="1886"/>
        <item x="1714"/>
        <item x="407"/>
        <item x="1783"/>
        <item x="1888"/>
        <item x="1869"/>
        <item x="1887"/>
        <item x="1197"/>
        <item x="1690"/>
        <item x="845"/>
        <item x="1601"/>
        <item x="80"/>
        <item x="1848"/>
        <item x="1144"/>
        <item x="1666"/>
        <item x="1208"/>
        <item x="36"/>
        <item x="1506"/>
        <item x="1327"/>
        <item x="489"/>
        <item x="90"/>
        <item x="392"/>
        <item x="689"/>
        <item x="100"/>
        <item x="215"/>
        <item x="919"/>
        <item x="600"/>
        <item x="255"/>
        <item x="266"/>
        <item x="913"/>
        <item x="1544"/>
        <item x="1479"/>
        <item x="1355"/>
        <item x="575"/>
        <item x="1785"/>
        <item x="430"/>
        <item x="1088"/>
        <item x="1914"/>
        <item x="603"/>
        <item x="1290"/>
        <item x="1025"/>
        <item x="183"/>
        <item x="307"/>
        <item x="1039"/>
        <item x="1236"/>
        <item x="1868"/>
        <item x="206"/>
        <item x="1608"/>
        <item x="1057"/>
        <item x="1058"/>
        <item x="1626"/>
        <item x="1555"/>
        <item x="1627"/>
        <item x="747"/>
        <item x="1431"/>
        <item x="1333"/>
        <item x="295"/>
        <item x="534"/>
        <item x="94"/>
        <item x="1827"/>
        <item x="1648"/>
        <item x="1120"/>
        <item x="1279"/>
        <item x="1625"/>
        <item x="935"/>
        <item x="424"/>
        <item x="166"/>
        <item x="1797"/>
        <item x="1755"/>
        <item x="763"/>
        <item x="318"/>
        <item x="888"/>
        <item x="495"/>
        <item x="601"/>
        <item x="284"/>
        <item x="1067"/>
        <item x="1646"/>
        <item x="1053"/>
        <item x="1765"/>
        <item x="591"/>
        <item x="788"/>
        <item x="1710"/>
        <item x="1803"/>
        <item x="492"/>
        <item x="1462"/>
        <item x="1556"/>
        <item x="1451"/>
        <item x="850"/>
        <item x="189"/>
        <item x="628"/>
        <item x="1400"/>
        <item x="993"/>
        <item x="1913"/>
        <item x="1523"/>
        <item x="1014"/>
        <item x="165"/>
        <item x="1041"/>
        <item x="1553"/>
        <item x="493"/>
        <item x="1614"/>
        <item x="1397"/>
        <item x="1875"/>
        <item x="1773"/>
        <item x="479"/>
        <item x="102"/>
        <item x="745"/>
        <item x="304"/>
        <item x="976"/>
        <item x="1733"/>
        <item x="877"/>
        <item x="592"/>
        <item x="1185"/>
        <item x="381"/>
        <item x="1308"/>
        <item x="337"/>
        <item x="651"/>
        <item x="1695"/>
        <item x="431"/>
        <item x="1629"/>
        <item x="450"/>
        <item x="991"/>
        <item x="551"/>
        <item x="1809"/>
        <item x="1731"/>
        <item x="34"/>
        <item x="321"/>
        <item x="1030"/>
        <item x="1699"/>
        <item x="753"/>
        <item x="66"/>
        <item x="664"/>
        <item x="1980"/>
        <item x="460"/>
        <item x="801"/>
        <item x="160"/>
        <item x="771"/>
        <item x="455"/>
        <item x="1974"/>
        <item x="710"/>
        <item x="846"/>
        <item x="73"/>
        <item x="1761"/>
        <item x="912"/>
        <item x="1600"/>
        <item x="570"/>
        <item x="855"/>
        <item x="715"/>
        <item x="1224"/>
        <item x="38"/>
        <item x="361"/>
        <item x="1215"/>
        <item x="1906"/>
        <item x="638"/>
        <item x="1778"/>
        <item x="30"/>
        <item x="128"/>
        <item x="1498"/>
        <item x="339"/>
        <item x="645"/>
        <item x="533"/>
        <item x="323"/>
        <item x="1429"/>
        <item x="461"/>
        <item x="1640"/>
        <item x="618"/>
        <item x="765"/>
        <item x="512"/>
        <item x="1375"/>
        <item x="1416"/>
        <item x="1426"/>
        <item x="1405"/>
        <item x="1578"/>
        <item x="1323"/>
        <item x="571"/>
        <item x="1282"/>
        <item x="849"/>
        <item x="1870"/>
        <item x="936"/>
        <item x="338"/>
        <item x="733"/>
        <item x="48"/>
        <item x="1332"/>
        <item x="661"/>
        <item x="1432"/>
        <item x="214"/>
        <item x="127"/>
        <item x="1864"/>
        <item x="980"/>
        <item x="1420"/>
        <item x="528"/>
        <item x="101"/>
        <item x="563"/>
        <item x="1101"/>
        <item x="558"/>
        <item x="1348"/>
        <item x="1012"/>
        <item x="348"/>
        <item x="832"/>
        <item x="21"/>
        <item x="1280"/>
        <item x="720"/>
        <item x="486"/>
        <item x="229"/>
        <item x="463"/>
        <item x="1517"/>
        <item x="1026"/>
        <item x="1362"/>
        <item x="409"/>
        <item x="1579"/>
        <item x="1254"/>
        <item x="947"/>
        <item x="97"/>
        <item x="247"/>
        <item x="1384"/>
        <item x="1047"/>
        <item x="761"/>
        <item x="770"/>
        <item x="1336"/>
        <item x="1793"/>
        <item x="1413"/>
        <item x="411"/>
        <item x="1934"/>
        <item x="748"/>
        <item x="1754"/>
        <item x="536"/>
        <item x="1938"/>
        <item x="340"/>
        <item x="456"/>
        <item x="1524"/>
        <item x="1513"/>
        <item x="325"/>
        <item x="1931"/>
        <item x="982"/>
        <item x="693"/>
        <item x="1391"/>
        <item x="1023"/>
        <item x="590"/>
        <item x="535"/>
        <item x="1709"/>
        <item x="484"/>
        <item x="639"/>
        <item x="863"/>
        <item x="462"/>
        <item x="1823"/>
        <item x="1772"/>
        <item x="1594"/>
        <item x="1672"/>
        <item x="887"/>
        <item x="1367"/>
        <item x="1637"/>
        <item x="1622"/>
        <item x="1448"/>
        <item x="1867"/>
        <item x="728"/>
        <item x="876"/>
        <item x="89"/>
        <item x="955"/>
        <item x="349"/>
        <item x="1631"/>
        <item x="1663"/>
        <item x="1263"/>
        <item x="964"/>
        <item x="399"/>
        <item x="702"/>
        <item x="1083"/>
        <item x="708"/>
        <item x="1278"/>
        <item x="672"/>
        <item x="838"/>
        <item x="1683"/>
        <item x="1037"/>
        <item x="1347"/>
        <item x="420"/>
        <item x="526"/>
        <item x="1583"/>
        <item x="200"/>
        <item x="1125"/>
        <item x="28"/>
        <item x="974"/>
        <item x="203"/>
        <item x="1164"/>
        <item x="1078"/>
        <item x="956"/>
        <item x="1770"/>
        <item x="783"/>
        <item x="346"/>
        <item x="1305"/>
        <item x="1054"/>
        <item x="1835"/>
        <item x="1222"/>
        <item x="1923"/>
        <item x="1536"/>
        <item x="1843"/>
        <item x="1645"/>
        <item x="1912"/>
        <item x="179"/>
        <item x="1084"/>
        <item x="992"/>
        <item x="1381"/>
        <item x="1200"/>
        <item x="274"/>
        <item x="438"/>
        <item x="1442"/>
        <item x="583"/>
        <item x="1094"/>
        <item x="1403"/>
        <item x="1670"/>
        <item x="1977"/>
        <item x="649"/>
        <item x="1108"/>
        <item x="1261"/>
        <item x="292"/>
        <item x="1969"/>
        <item x="1750"/>
        <item x="1105"/>
        <item x="673"/>
        <item x="1485"/>
        <item x="87"/>
        <item x="13"/>
        <item x="1762"/>
        <item x="1195"/>
        <item x="654"/>
        <item x="1267"/>
        <item x="1126"/>
        <item x="1104"/>
        <item x="435"/>
        <item x="297"/>
        <item x="588"/>
        <item x="934"/>
        <item x="1581"/>
        <item x="939"/>
        <item x="730"/>
        <item x="1729"/>
        <item x="448"/>
        <item x="1422"/>
        <item x="419"/>
        <item x="967"/>
        <item x="1427"/>
        <item x="1127"/>
        <item x="1491"/>
        <item x="589"/>
        <item x="1632"/>
        <item x="1516"/>
        <item t="default"/>
      </items>
    </pivotField>
    <pivotField showAll="0"/>
    <pivotField numFmtId="164" showAll="0">
      <items count="15">
        <item x="0"/>
        <item x="1"/>
        <item x="2"/>
        <item x="3"/>
        <item x="4"/>
        <item x="5"/>
        <item x="6"/>
        <item x="7"/>
        <item x="8"/>
        <item x="9"/>
        <item x="10"/>
        <item x="11"/>
        <item x="12"/>
        <item x="13"/>
        <item t="default"/>
      </items>
    </pivotField>
    <pivotField showAll="0"/>
    <pivotField axis="axisPage" dataField="1" showAll="0">
      <items count="3">
        <item x="0"/>
        <item x="1"/>
        <item t="default"/>
      </items>
    </pivotField>
    <pivotField axis="axisRow" showAll="0">
      <items count="4">
        <item x="2"/>
        <item x="0"/>
        <item x="1"/>
        <item t="default"/>
      </items>
    </pivotField>
    <pivotField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s>
  <rowFields count="1">
    <field x="25"/>
  </rowFields>
  <rowItems count="3">
    <i>
      <x/>
    </i>
    <i>
      <x v="1"/>
    </i>
    <i>
      <x v="2"/>
    </i>
  </rowItems>
  <colItems count="1">
    <i/>
  </colItems>
  <pageFields count="1">
    <pageField fld="24" hier="-1"/>
  </pageFields>
  <dataFields count="1">
    <dataField name="Count of Default_Status" fld="24" subtotal="count" showDataAs="percentOfCol" baseField="0" baseItem="0" numFmtId="10"/>
  </dataFields>
  <formats count="5">
    <format dxfId="50">
      <pivotArea type="all" dataOnly="0" outline="0" fieldPosition="0"/>
    </format>
    <format dxfId="49">
      <pivotArea outline="0" collapsedLevelsAreSubtotals="1" fieldPosition="0"/>
    </format>
    <format dxfId="48">
      <pivotArea field="25" type="button" dataOnly="0" labelOnly="1" outline="0" axis="axisRow" fieldPosition="0"/>
    </format>
    <format dxfId="47">
      <pivotArea dataOnly="0" labelOnly="1" fieldPosition="0">
        <references count="1">
          <reference field="25" count="0"/>
        </references>
      </pivotArea>
    </format>
    <format dxfId="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EA51753-2976-4FB6-B4A5-75CA85D64F2C}" name="PivotTable21" cacheId="0" applyNumberFormats="0" applyBorderFormats="0" applyFontFormats="0" applyPatternFormats="0" applyAlignmentFormats="0" applyWidthHeightFormats="1" dataCaption="Values" updatedVersion="7" minRefreshableVersion="3" asteriskTotals="1" useAutoFormatting="1" rowGrandTotals="0" colGrandTotals="0" itemPrintTitles="1" createdVersion="7" indent="0" outline="1" outlineData="1" multipleFieldFilters="0" chartFormat="1">
  <location ref="H120:J124" firstHeaderRow="0" firstDataRow="1" firstDataCol="1"/>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axis="axisRow" showAll="0">
      <items count="5">
        <item x="2"/>
        <item x="0"/>
        <item x="1"/>
        <item x="3"/>
        <item t="default"/>
      </items>
    </pivotField>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dataField="1" showAll="0"/>
    <pivotField numFmtId="165" showAll="0">
      <items count="1985">
        <item x="1221"/>
        <item x="1572"/>
        <item x="252"/>
        <item x="1880"/>
        <item x="958"/>
        <item x="45"/>
        <item x="520"/>
        <item x="1800"/>
        <item x="726"/>
        <item x="634"/>
        <item x="1122"/>
        <item x="1214"/>
        <item x="1232"/>
        <item x="1541"/>
        <item x="22"/>
        <item x="1983"/>
        <item x="1504"/>
        <item x="283"/>
        <item x="293"/>
        <item x="1201"/>
        <item x="1152"/>
        <item x="697"/>
        <item x="680"/>
        <item x="142"/>
        <item x="388"/>
        <item x="1100"/>
        <item x="1798"/>
        <item x="987"/>
        <item x="249"/>
        <item x="1965"/>
        <item x="703"/>
        <item x="1592"/>
        <item x="1396"/>
        <item x="1167"/>
        <item x="1540"/>
        <item x="1606"/>
        <item x="522"/>
        <item x="1128"/>
        <item x="1095"/>
        <item x="510"/>
        <item x="723"/>
        <item x="562"/>
        <item x="1140"/>
        <item x="168"/>
        <item x="691"/>
        <item x="1927"/>
        <item x="1184"/>
        <item x="1951"/>
        <item x="1218"/>
        <item x="1180"/>
        <item x="1676"/>
        <item x="2"/>
        <item x="873"/>
        <item x="1317"/>
        <item x="1891"/>
        <item x="1621"/>
        <item x="1425"/>
        <item x="1839"/>
        <item x="1364"/>
        <item x="609"/>
        <item x="1746"/>
        <item x="1320"/>
        <item x="1199"/>
        <item x="732"/>
        <item x="1133"/>
        <item x="299"/>
        <item x="1551"/>
        <item x="1958"/>
        <item x="690"/>
        <item x="1192"/>
        <item x="70"/>
        <item x="1605"/>
        <item x="416"/>
        <item x="1145"/>
        <item x="198"/>
        <item x="250"/>
        <item x="288"/>
        <item x="1064"/>
        <item x="834"/>
        <item x="944"/>
        <item x="418"/>
        <item x="1226"/>
        <item x="347"/>
        <item x="729"/>
        <item x="640"/>
        <item x="496"/>
        <item x="1048"/>
        <item x="503"/>
        <item x="1189"/>
        <item x="1499"/>
        <item x="1424"/>
        <item x="861"/>
        <item x="1150"/>
        <item x="1246"/>
        <item x="677"/>
        <item x="1623"/>
        <item x="1982"/>
        <item x="933"/>
        <item x="95"/>
        <item x="1187"/>
        <item x="698"/>
        <item x="1963"/>
        <item x="1252"/>
        <item x="1684"/>
        <item x="930"/>
        <item x="1085"/>
        <item x="398"/>
        <item x="1658"/>
        <item x="756"/>
        <item x="1385"/>
        <item x="1532"/>
        <item x="279"/>
        <item x="1611"/>
        <item x="1768"/>
        <item x="500"/>
        <item x="1941"/>
        <item x="1335"/>
        <item x="1628"/>
        <item x="196"/>
        <item x="1008"/>
        <item x="1503"/>
        <item x="117"/>
        <item x="131"/>
        <item x="1981"/>
        <item x="1378"/>
        <item x="1495"/>
        <item x="1452"/>
        <item x="1953"/>
        <item x="1349"/>
        <item x="1415"/>
        <item x="597"/>
        <item x="333"/>
        <item x="246"/>
        <item x="170"/>
        <item x="787"/>
        <item x="197"/>
        <item x="707"/>
        <item x="464"/>
        <item x="1212"/>
        <item x="181"/>
        <item x="1016"/>
        <item x="1241"/>
        <item x="1110"/>
        <item x="540"/>
        <item x="1660"/>
        <item x="1380"/>
        <item x="1950"/>
        <item x="1890"/>
        <item x="576"/>
        <item x="400"/>
        <item x="1759"/>
        <item x="1933"/>
        <item x="1883"/>
        <item x="96"/>
        <item x="530"/>
        <item x="549"/>
        <item x="1522"/>
        <item x="31"/>
        <item x="1404"/>
        <item x="1978"/>
        <item x="1753"/>
        <item x="329"/>
        <item x="1550"/>
        <item x="470"/>
        <item x="1871"/>
        <item x="518"/>
        <item x="819"/>
        <item x="42"/>
        <item x="1790"/>
        <item x="1266"/>
        <item x="719"/>
        <item x="218"/>
        <item x="1534"/>
        <item x="423"/>
        <item x="1580"/>
        <item x="1055"/>
        <item x="805"/>
        <item x="1603"/>
        <item x="1223"/>
        <item x="413"/>
        <item x="1068"/>
        <item x="439"/>
        <item x="1174"/>
        <item x="35"/>
        <item x="243"/>
        <item x="1903"/>
        <item x="1850"/>
        <item x="425"/>
        <item x="259"/>
        <item x="1061"/>
        <item x="1908"/>
        <item x="1276"/>
        <item x="692"/>
        <item x="1749"/>
        <item x="1423"/>
        <item x="176"/>
        <item x="568"/>
        <item x="1090"/>
        <item x="1288"/>
        <item x="1894"/>
        <item x="525"/>
        <item x="1483"/>
        <item x="1341"/>
        <item x="1471"/>
        <item x="1518"/>
        <item x="738"/>
        <item x="286"/>
        <item x="159"/>
        <item x="814"/>
        <item x="1029"/>
        <item x="1330"/>
        <item x="851"/>
        <item x="1740"/>
        <item x="309"/>
        <item x="10"/>
        <item x="1960"/>
        <item x="920"/>
        <item x="537"/>
        <item x="749"/>
        <item x="1056"/>
        <item x="678"/>
        <item x="432"/>
        <item x="561"/>
        <item x="807"/>
        <item x="150"/>
        <item x="1617"/>
        <item x="1558"/>
        <item x="282"/>
        <item x="1418"/>
        <item x="174"/>
        <item x="393"/>
        <item x="1928"/>
        <item x="776"/>
        <item x="632"/>
        <item x="750"/>
        <item x="1878"/>
        <item x="1587"/>
        <item x="1143"/>
        <item x="1782"/>
        <item x="1507"/>
        <item x="559"/>
        <item x="1386"/>
        <item x="1781"/>
        <item x="355"/>
        <item x="1833"/>
        <item x="527"/>
        <item x="63"/>
        <item x="842"/>
        <item x="404"/>
        <item x="132"/>
        <item x="1512"/>
        <item x="1149"/>
        <item x="799"/>
        <item x="1669"/>
        <item x="99"/>
        <item x="1478"/>
        <item x="867"/>
        <item x="623"/>
        <item x="199"/>
        <item x="1118"/>
        <item x="1723"/>
        <item x="548"/>
        <item x="1002"/>
        <item x="1828"/>
        <item x="1612"/>
        <item x="1686"/>
        <item x="1841"/>
        <item x="1692"/>
        <item x="1395"/>
        <item x="1904"/>
        <item x="1253"/>
        <item x="1897"/>
        <item x="41"/>
        <item x="794"/>
        <item x="1742"/>
        <item x="1277"/>
        <item x="859"/>
        <item x="488"/>
        <item x="907"/>
        <item x="1387"/>
        <item x="1487"/>
        <item x="840"/>
        <item x="308"/>
        <item x="1711"/>
        <item x="826"/>
        <item x="1634"/>
        <item x="396"/>
        <item x="490"/>
        <item x="584"/>
        <item x="1169"/>
        <item x="910"/>
        <item x="1069"/>
        <item x="515"/>
        <item x="1168"/>
        <item x="1840"/>
        <item x="1018"/>
        <item x="311"/>
        <item x="452"/>
        <item x="363"/>
        <item x="1691"/>
        <item x="984"/>
        <item x="313"/>
        <item x="1372"/>
        <item x="77"/>
        <item x="1801"/>
        <item x="1586"/>
        <item x="8"/>
        <item x="353"/>
        <item x="721"/>
        <item x="1815"/>
        <item x="1040"/>
        <item x="1719"/>
        <item x="896"/>
        <item x="1086"/>
        <item x="1"/>
        <item x="858"/>
        <item x="1139"/>
        <item x="331"/>
        <item x="965"/>
        <item x="818"/>
        <item x="237"/>
        <item x="475"/>
        <item x="825"/>
        <item x="989"/>
        <item x="1315"/>
        <item x="1531"/>
        <item x="1450"/>
        <item x="1113"/>
        <item x="550"/>
        <item x="1667"/>
        <item x="1417"/>
        <item x="1146"/>
        <item x="126"/>
        <item x="1182"/>
        <item x="129"/>
        <item x="1358"/>
        <item x="1312"/>
        <item x="1700"/>
        <item x="847"/>
        <item x="468"/>
        <item x="968"/>
        <item x="1730"/>
        <item x="774"/>
        <item x="433"/>
        <item x="541"/>
        <item x="1046"/>
        <item x="884"/>
        <item x="162"/>
        <item x="813"/>
        <item x="899"/>
        <item x="1588"/>
        <item x="121"/>
        <item x="521"/>
        <item x="516"/>
        <item x="1465"/>
        <item x="351"/>
        <item x="1010"/>
        <item x="1862"/>
        <item x="52"/>
        <item x="1796"/>
        <item x="963"/>
        <item x="1130"/>
        <item x="1411"/>
        <item x="524"/>
        <item x="1543"/>
        <item x="1176"/>
        <item x="213"/>
        <item x="606"/>
        <item x="786"/>
        <item x="1954"/>
        <item x="903"/>
        <item x="1198"/>
        <item x="1344"/>
        <item x="451"/>
        <item x="636"/>
        <item x="275"/>
        <item x="1080"/>
        <item x="977"/>
        <item x="1300"/>
        <item x="1955"/>
        <item x="631"/>
        <item x="954"/>
        <item x="1787"/>
        <item x="453"/>
        <item x="171"/>
        <item x="1492"/>
        <item x="828"/>
        <item x="1794"/>
        <item x="316"/>
        <item x="56"/>
        <item x="1655"/>
        <item x="272"/>
        <item x="1852"/>
        <item x="1123"/>
        <item x="372"/>
        <item x="658"/>
        <item x="256"/>
        <item x="1076"/>
        <item x="810"/>
        <item x="1567"/>
        <item x="713"/>
        <item x="1329"/>
        <item x="1338"/>
        <item x="1075"/>
        <item x="579"/>
        <item x="1972"/>
        <item x="1196"/>
        <item x="49"/>
        <item x="1433"/>
        <item x="1407"/>
        <item x="1438"/>
        <item x="465"/>
        <item x="152"/>
        <item x="1460"/>
        <item x="1947"/>
        <item x="158"/>
        <item x="1162"/>
        <item x="1163"/>
        <item x="54"/>
        <item x="1063"/>
        <item x="785"/>
        <item x="371"/>
        <item x="1779"/>
        <item x="109"/>
        <item x="1751"/>
        <item x="24"/>
        <item x="1043"/>
        <item x="312"/>
        <item x="15"/>
        <item x="1119"/>
        <item x="1475"/>
        <item x="711"/>
        <item x="1571"/>
        <item x="1157"/>
        <item x="1260"/>
        <item x="685"/>
        <item x="111"/>
        <item x="1708"/>
        <item x="1234"/>
        <item x="1702"/>
        <item x="1799"/>
        <item x="140"/>
        <item x="1548"/>
        <item x="1160"/>
        <item x="1892"/>
        <item x="1675"/>
        <item x="149"/>
        <item x="187"/>
        <item x="4"/>
        <item x="854"/>
        <item x="985"/>
        <item x="517"/>
        <item x="668"/>
        <item x="137"/>
        <item x="1510"/>
        <item x="1235"/>
        <item x="644"/>
        <item x="1568"/>
        <item x="1138"/>
        <item x="717"/>
        <item x="1771"/>
        <item x="1836"/>
        <item x="298"/>
        <item x="390"/>
        <item x="916"/>
        <item x="1539"/>
        <item x="1881"/>
        <item x="1577"/>
        <item x="32"/>
        <item x="1748"/>
        <item x="897"/>
        <item x="480"/>
        <item x="1644"/>
        <item x="1519"/>
        <item x="731"/>
        <item x="1964"/>
        <item x="804"/>
        <item x="216"/>
        <item x="113"/>
        <item x="1289"/>
        <item x="1205"/>
        <item x="1824"/>
        <item x="156"/>
        <item x="1846"/>
        <item x="891"/>
        <item x="1607"/>
        <item x="757"/>
        <item x="1774"/>
        <item x="1343"/>
        <item x="957"/>
        <item x="1791"/>
        <item x="285"/>
        <item x="1775"/>
        <item x="868"/>
        <item x="1525"/>
        <item x="1597"/>
        <item x="1318"/>
        <item x="1269"/>
        <item x="81"/>
        <item x="273"/>
        <item x="1865"/>
        <item x="508"/>
        <item x="23"/>
        <item x="959"/>
        <item x="1294"/>
        <item x="879"/>
        <item x="401"/>
        <item x="1247"/>
        <item x="446"/>
        <item x="724"/>
        <item x="1590"/>
        <item x="844"/>
        <item x="1074"/>
        <item x="1359"/>
        <item x="722"/>
        <item x="1081"/>
        <item x="1255"/>
        <item x="1907"/>
        <item x="1552"/>
        <item x="1437"/>
        <item x="86"/>
        <item x="1135"/>
        <item x="1717"/>
        <item x="1720"/>
        <item x="1874"/>
        <item x="186"/>
        <item x="1272"/>
        <item x="147"/>
        <item x="792"/>
        <item x="1382"/>
        <item x="261"/>
        <item x="5"/>
        <item x="1028"/>
        <item x="1616"/>
        <item x="55"/>
        <item x="403"/>
        <item x="317"/>
        <item x="538"/>
        <item x="1589"/>
        <item x="352"/>
        <item x="1766"/>
        <item x="1394"/>
        <item x="569"/>
        <item x="635"/>
        <item x="885"/>
        <item x="727"/>
        <item x="605"/>
        <item x="1832"/>
        <item x="473"/>
        <item x="47"/>
        <item x="1389"/>
        <item x="1098"/>
        <item x="1103"/>
        <item x="1496"/>
        <item x="1811"/>
        <item x="481"/>
        <item x="354"/>
        <item x="925"/>
        <item x="1153"/>
        <item x="1959"/>
        <item x="800"/>
        <item x="459"/>
        <item x="120"/>
        <item x="83"/>
        <item x="1780"/>
        <item x="1946"/>
        <item x="1022"/>
        <item x="1328"/>
        <item x="1685"/>
        <item x="1860"/>
        <item x="1001"/>
        <item x="33"/>
        <item x="554"/>
        <item x="1230"/>
        <item x="1159"/>
        <item x="37"/>
        <item x="341"/>
        <item x="874"/>
        <item x="133"/>
        <item x="1311"/>
        <item x="1944"/>
        <item x="914"/>
        <item x="716"/>
        <item x="507"/>
        <item x="91"/>
        <item x="580"/>
        <item x="802"/>
        <item x="1131"/>
        <item x="1388"/>
        <item x="1688"/>
        <item x="1111"/>
        <item x="1309"/>
        <item x="1151"/>
        <item x="544"/>
        <item x="1810"/>
        <item x="1847"/>
        <item x="1445"/>
        <item x="1466"/>
        <item x="1680"/>
        <item x="737"/>
        <item x="267"/>
        <item x="1724"/>
        <item x="1961"/>
        <item x="725"/>
        <item x="440"/>
        <item x="1674"/>
        <item x="815"/>
        <item x="330"/>
        <item x="766"/>
        <item x="1861"/>
        <item x="594"/>
        <item x="1582"/>
        <item x="655"/>
        <item x="878"/>
        <item x="604"/>
        <item x="1390"/>
        <item x="271"/>
        <item x="370"/>
        <item x="1807"/>
        <item x="50"/>
        <item x="268"/>
        <item x="1573"/>
        <item x="1240"/>
        <item x="1619"/>
        <item x="1937"/>
        <item x="428"/>
        <item x="917"/>
        <item x="1604"/>
        <item x="1172"/>
        <item x="1745"/>
        <item x="14"/>
        <item x="734"/>
        <item x="882"/>
        <item x="997"/>
        <item x="212"/>
        <item x="1706"/>
        <item x="1949"/>
        <item x="25"/>
        <item x="1194"/>
        <item x="1467"/>
        <item x="1718"/>
        <item x="918"/>
        <item x="1844"/>
        <item x="258"/>
        <item x="1435"/>
        <item x="382"/>
        <item x="78"/>
        <item x="809"/>
        <item x="1410"/>
        <item x="1102"/>
        <item x="990"/>
        <item x="1291"/>
        <item x="1756"/>
        <item x="1337"/>
        <item x="1285"/>
        <item x="1505"/>
        <item x="1777"/>
        <item x="210"/>
        <item x="1489"/>
        <item x="1430"/>
        <item x="1005"/>
        <item x="1653"/>
        <item x="1271"/>
        <item x="1050"/>
        <item x="1257"/>
        <item x="193"/>
        <item x="941"/>
        <item x="1186"/>
        <item x="251"/>
        <item x="1638"/>
        <item x="1193"/>
        <item x="735"/>
        <item x="1346"/>
        <item x="1533"/>
        <item x="69"/>
        <item x="1792"/>
        <item x="302"/>
        <item x="1307"/>
        <item x="1268"/>
        <item x="1866"/>
        <item x="233"/>
        <item x="1930"/>
        <item x="1360"/>
        <item x="929"/>
        <item x="598"/>
        <item x="593"/>
        <item x="714"/>
        <item x="1922"/>
        <item x="1060"/>
        <item x="971"/>
        <item x="998"/>
        <item x="43"/>
        <item x="979"/>
        <item x="1834"/>
        <item x="1441"/>
        <item x="39"/>
        <item x="427"/>
        <item x="1636"/>
        <item x="1440"/>
        <item x="1459"/>
        <item x="16"/>
        <item x="1882"/>
        <item x="1820"/>
        <item x="487"/>
        <item x="1738"/>
        <item x="224"/>
        <item x="1884"/>
        <item x="1238"/>
        <item x="1112"/>
        <item x="108"/>
        <item x="114"/>
        <item x="1696"/>
        <item x="613"/>
        <item x="59"/>
        <item x="701"/>
        <item x="362"/>
        <item x="190"/>
        <item x="1707"/>
        <item x="1228"/>
        <item x="779"/>
        <item x="1784"/>
        <item x="1373"/>
        <item x="926"/>
        <item x="1641"/>
        <item x="175"/>
        <item x="1011"/>
        <item x="357"/>
        <item x="1281"/>
        <item x="1970"/>
        <item x="904"/>
        <item x="474"/>
        <item x="795"/>
        <item x="1154"/>
        <item x="103"/>
        <item x="1042"/>
        <item x="585"/>
        <item x="1345"/>
        <item x="742"/>
        <item x="1585"/>
        <item x="202"/>
        <item x="883"/>
        <item x="902"/>
        <item x="1661"/>
        <item x="29"/>
        <item x="368"/>
        <item x="1443"/>
        <item x="1654"/>
        <item x="994"/>
        <item x="296"/>
        <item x="223"/>
        <item x="334"/>
        <item x="1943"/>
        <item x="18"/>
        <item x="622"/>
        <item x="817"/>
        <item x="1649"/>
        <item x="231"/>
        <item x="1593"/>
        <item x="1726"/>
        <item x="1893"/>
        <item x="835"/>
        <item x="1003"/>
        <item x="669"/>
        <item x="900"/>
        <item x="1542"/>
        <item x="291"/>
        <item x="966"/>
        <item x="523"/>
        <item x="228"/>
        <item x="762"/>
        <item x="1124"/>
        <item x="1231"/>
        <item x="811"/>
        <item x="1926"/>
        <item x="1508"/>
        <item x="494"/>
        <item x="1697"/>
        <item x="1911"/>
        <item x="545"/>
        <item x="1825"/>
        <item x="574"/>
        <item x="1681"/>
        <item x="1093"/>
        <item x="1967"/>
        <item x="901"/>
        <item x="391"/>
        <item x="502"/>
        <item x="760"/>
        <item x="1286"/>
        <item x="1392"/>
        <item x="611"/>
        <item x="823"/>
        <item x="1678"/>
        <item x="365"/>
        <item x="1902"/>
        <item x="1361"/>
        <item x="242"/>
        <item x="1275"/>
        <item x="657"/>
        <item x="1089"/>
        <item x="607"/>
        <item x="686"/>
        <item x="1004"/>
        <item x="1295"/>
        <item x="1096"/>
        <item x="969"/>
        <item x="1393"/>
        <item x="637"/>
        <item x="1213"/>
        <item x="1635"/>
        <item x="1952"/>
        <item x="326"/>
        <item x="1979"/>
        <item x="64"/>
        <item x="647"/>
        <item x="1741"/>
        <item x="71"/>
        <item x="886"/>
        <item x="366"/>
        <item x="1439"/>
        <item x="1013"/>
        <item x="319"/>
        <item x="683"/>
        <item x="1340"/>
        <item x="1480"/>
        <item x="402"/>
        <item x="1576"/>
        <item x="1564"/>
        <item x="1326"/>
        <item x="784"/>
        <item x="1293"/>
        <item x="93"/>
        <item x="254"/>
        <item x="232"/>
        <item x="1156"/>
        <item x="467"/>
        <item x="1609"/>
        <item x="962"/>
        <item x="1547"/>
        <item x="953"/>
        <item x="621"/>
        <item x="1421"/>
        <item x="1736"/>
        <item x="1116"/>
        <item x="848"/>
        <item x="1509"/>
        <item x="1662"/>
        <item x="1409"/>
        <item x="1829"/>
        <item x="1494"/>
        <item x="596"/>
        <item x="839"/>
        <item x="857"/>
        <item x="1854"/>
        <item x="1760"/>
        <item x="1365"/>
        <item x="1747"/>
        <item x="335"/>
        <item x="1316"/>
        <item x="1481"/>
        <item x="359"/>
        <item x="1398"/>
        <item x="718"/>
        <item x="1767"/>
        <item x="1414"/>
        <item x="860"/>
        <item x="1620"/>
        <item x="300"/>
        <item x="72"/>
        <item x="1521"/>
        <item x="769"/>
        <item x="546"/>
        <item x="208"/>
        <item x="890"/>
        <item x="547"/>
        <item x="105"/>
        <item x="565"/>
        <item x="1566"/>
        <item x="222"/>
        <item x="148"/>
        <item x="1677"/>
        <item x="889"/>
        <item x="830"/>
        <item x="1805"/>
        <item x="820"/>
        <item x="564"/>
        <item x="207"/>
        <item x="373"/>
        <item x="1062"/>
        <item x="1472"/>
        <item x="793"/>
        <item x="135"/>
        <item x="1170"/>
        <item x="195"/>
        <item x="1134"/>
        <item x="519"/>
        <item x="410"/>
        <item x="1940"/>
        <item x="221"/>
        <item x="780"/>
        <item x="1918"/>
        <item x="1656"/>
        <item x="1233"/>
        <item x="79"/>
        <item x="1302"/>
        <item x="1537"/>
        <item x="960"/>
        <item x="1303"/>
        <item x="1225"/>
        <item x="122"/>
        <item x="617"/>
        <item x="1242"/>
        <item x="1971"/>
        <item x="230"/>
        <item x="1457"/>
        <item x="684"/>
        <item x="245"/>
        <item x="1265"/>
        <item x="234"/>
        <item x="1032"/>
        <item x="226"/>
        <item x="586"/>
        <item x="1072"/>
        <item x="1936"/>
        <item x="602"/>
        <item x="778"/>
        <item x="123"/>
        <item x="681"/>
        <item x="342"/>
        <item x="1243"/>
        <item x="1273"/>
        <item x="1250"/>
        <item x="429"/>
        <item x="614"/>
        <item x="1921"/>
        <item x="1763"/>
        <item x="498"/>
        <item x="449"/>
        <item x="182"/>
        <item x="1812"/>
        <item x="1158"/>
        <item x="630"/>
        <item x="660"/>
        <item x="705"/>
        <item x="1248"/>
        <item x="201"/>
        <item x="755"/>
        <item x="1808"/>
        <item x="12"/>
        <item x="454"/>
        <item x="1455"/>
        <item x="853"/>
        <item x="659"/>
        <item x="841"/>
        <item x="445"/>
        <item x="74"/>
        <item x="104"/>
        <item x="790"/>
        <item x="1211"/>
        <item x="650"/>
        <item x="107"/>
        <item x="1885"/>
        <item x="301"/>
        <item x="1814"/>
        <item x="921"/>
        <item x="1630"/>
        <item x="167"/>
        <item x="513"/>
        <item x="44"/>
        <item x="375"/>
        <item x="173"/>
        <item x="1015"/>
        <item x="1610"/>
        <item x="1034"/>
        <item x="1804"/>
        <item x="773"/>
        <item x="118"/>
        <item x="263"/>
        <item x="791"/>
        <item x="434"/>
        <item x="138"/>
        <item x="1436"/>
        <item x="961"/>
        <item x="856"/>
        <item x="943"/>
        <item x="1737"/>
        <item x="377"/>
        <item x="1925"/>
        <item x="177"/>
        <item x="1910"/>
        <item x="688"/>
        <item x="1817"/>
        <item x="1975"/>
        <item x="866"/>
        <item x="188"/>
        <item x="1374"/>
        <item x="478"/>
        <item x="833"/>
        <item x="235"/>
        <item x="1853"/>
        <item x="739"/>
        <item x="1732"/>
        <item x="1444"/>
        <item x="244"/>
        <item x="509"/>
        <item x="1845"/>
        <item x="573"/>
        <item x="1325"/>
        <item x="1274"/>
        <item x="1932"/>
        <item x="116"/>
        <item x="539"/>
        <item x="1529"/>
        <item x="946"/>
        <item x="620"/>
        <item x="736"/>
        <item x="1873"/>
        <item x="9"/>
        <item x="1357"/>
        <item x="1114"/>
        <item x="744"/>
        <item x="253"/>
        <item x="1087"/>
        <item x="1469"/>
        <item x="1776"/>
        <item x="1758"/>
        <item x="1917"/>
        <item x="797"/>
        <item x="1863"/>
        <item x="248"/>
        <item x="556"/>
        <item x="1371"/>
        <item x="972"/>
        <item x="895"/>
        <item x="666"/>
        <item x="1560"/>
        <item x="1203"/>
        <item x="872"/>
        <item x="656"/>
        <item x="751"/>
        <item x="1565"/>
        <item x="1142"/>
        <item x="1945"/>
        <item x="752"/>
        <item x="1115"/>
        <item x="1929"/>
        <item x="1000"/>
        <item x="1419"/>
        <item x="1728"/>
        <item x="1624"/>
        <item x="1049"/>
        <item x="1216"/>
        <item x="447"/>
        <item x="1877"/>
        <item x="1689"/>
        <item x="1554"/>
        <item x="746"/>
        <item x="1408"/>
        <item x="740"/>
        <item x="567"/>
        <item x="1819"/>
        <item x="124"/>
        <item x="1895"/>
        <item x="1574"/>
        <item x="1486"/>
        <item x="892"/>
        <item x="758"/>
        <item x="1915"/>
        <item x="1229"/>
        <item x="1027"/>
        <item x="1299"/>
        <item x="205"/>
        <item x="1948"/>
        <item x="1461"/>
        <item x="1687"/>
        <item x="1595"/>
        <item x="1876"/>
        <item x="922"/>
        <item x="1879"/>
        <item x="665"/>
        <item x="408"/>
        <item x="1239"/>
        <item x="932"/>
        <item x="1599"/>
        <item x="397"/>
        <item x="376"/>
        <item x="610"/>
        <item x="871"/>
        <item x="1304"/>
        <item x="1356"/>
        <item x="84"/>
        <item x="1366"/>
        <item x="945"/>
        <item x="1821"/>
        <item x="136"/>
        <item x="1806"/>
        <item x="1351"/>
        <item x="1017"/>
        <item x="384"/>
        <item x="1155"/>
        <item x="1070"/>
        <item x="139"/>
        <item x="767"/>
        <item x="1406"/>
        <item x="119"/>
        <item x="153"/>
        <item x="88"/>
        <item x="1342"/>
        <item x="209"/>
        <item x="1901"/>
        <item x="1559"/>
        <item x="306"/>
        <item x="360"/>
        <item x="646"/>
        <item x="1166"/>
        <item x="1363"/>
        <item x="870"/>
        <item x="532"/>
        <item x="1615"/>
        <item x="924"/>
        <item x="643"/>
        <item x="531"/>
        <item x="1412"/>
        <item x="1526"/>
        <item x="1701"/>
        <item x="1352"/>
        <item x="53"/>
        <item x="1188"/>
        <item x="777"/>
        <item x="1401"/>
        <item x="1071"/>
        <item x="1092"/>
        <item x="1038"/>
        <item x="1935"/>
        <item x="1051"/>
        <item x="1136"/>
        <item x="506"/>
        <item x="328"/>
        <item x="1319"/>
        <item x="1682"/>
        <item x="141"/>
        <item x="1858"/>
        <item x="280"/>
        <item x="1306"/>
        <item x="1204"/>
        <item x="1739"/>
        <item x="699"/>
        <item x="395"/>
        <item x="676"/>
        <item x="881"/>
        <item x="1227"/>
        <item x="1851"/>
        <item x="469"/>
        <item x="1007"/>
        <item x="1220"/>
        <item x="948"/>
        <item x="422"/>
        <item x="1021"/>
        <item x="1207"/>
        <item x="988"/>
        <item x="482"/>
        <item x="1557"/>
        <item x="951"/>
        <item x="1137"/>
        <item x="1473"/>
        <item x="260"/>
        <item x="414"/>
        <item x="1178"/>
        <item x="1296"/>
        <item x="1019"/>
        <item x="1447"/>
        <item x="497"/>
        <item x="1859"/>
        <item x="7"/>
        <item x="457"/>
        <item x="1704"/>
        <item x="700"/>
        <item x="1449"/>
        <item x="1734"/>
        <item x="367"/>
        <item x="1727"/>
        <item x="1033"/>
        <item x="98"/>
        <item x="380"/>
        <item x="1575"/>
        <item x="1966"/>
        <item x="20"/>
        <item x="60"/>
        <item x="125"/>
        <item x="624"/>
        <item x="1598"/>
        <item x="27"/>
        <item x="421"/>
        <item x="927"/>
        <item x="1264"/>
        <item x="1377"/>
        <item x="1077"/>
        <item x="595"/>
        <item x="949"/>
        <item x="1713"/>
        <item x="1968"/>
        <item x="675"/>
        <item x="625"/>
        <item x="204"/>
        <item x="1434"/>
        <item x="364"/>
        <item x="511"/>
        <item x="225"/>
        <item x="768"/>
        <item x="1173"/>
        <item x="379"/>
        <item x="1292"/>
        <item x="46"/>
        <item x="1470"/>
        <item x="869"/>
        <item x="1722"/>
        <item x="1703"/>
        <item x="51"/>
        <item x="1618"/>
        <item x="240"/>
        <item x="358"/>
        <item x="940"/>
        <item x="417"/>
        <item x="1602"/>
        <item x="1464"/>
        <item x="1788"/>
        <item x="1501"/>
        <item x="1175"/>
        <item x="217"/>
        <item x="1889"/>
        <item x="1237"/>
        <item x="1368"/>
        <item x="442"/>
        <item x="1664"/>
        <item x="1633"/>
        <item x="1482"/>
        <item x="1298"/>
        <item x="566"/>
        <item x="1287"/>
        <item x="211"/>
        <item x="1045"/>
        <item x="1725"/>
        <item x="17"/>
        <item x="543"/>
        <item x="821"/>
        <item x="110"/>
        <item x="578"/>
        <item x="1284"/>
        <item x="1488"/>
        <item x="970"/>
        <item x="612"/>
        <item x="278"/>
        <item x="552"/>
        <item x="1331"/>
        <item x="652"/>
        <item x="1500"/>
        <item x="663"/>
        <item x="796"/>
        <item x="1065"/>
        <item x="472"/>
        <item x="3"/>
        <item x="458"/>
        <item x="1399"/>
        <item x="386"/>
        <item x="1251"/>
        <item x="1900"/>
        <item x="1484"/>
        <item x="1830"/>
        <item x="19"/>
        <item x="662"/>
        <item x="1642"/>
        <item x="26"/>
        <item x="781"/>
        <item x="555"/>
        <item x="1148"/>
        <item x="466"/>
        <item x="169"/>
        <item x="350"/>
        <item x="581"/>
        <item x="1757"/>
        <item x="852"/>
        <item x="1693"/>
        <item x="1477"/>
        <item x="1147"/>
        <item x="816"/>
        <item x="1569"/>
        <item x="1665"/>
        <item x="1297"/>
        <item x="1165"/>
        <item x="608"/>
        <item x="471"/>
        <item x="1909"/>
        <item x="981"/>
        <item x="1024"/>
        <item x="1596"/>
        <item x="1650"/>
        <item x="1082"/>
        <item x="1161"/>
        <item x="1270"/>
        <item x="322"/>
        <item x="1097"/>
        <item x="389"/>
        <item x="130"/>
        <item x="1535"/>
        <item x="1020"/>
        <item x="1673"/>
        <item x="62"/>
        <item x="305"/>
        <item x="836"/>
        <item x="1712"/>
        <item x="1743"/>
        <item x="1924"/>
        <item x="1643"/>
        <item x="1177"/>
        <item x="1190"/>
        <item x="184"/>
        <item x="679"/>
        <item x="1716"/>
        <item x="905"/>
        <item x="92"/>
        <item x="1838"/>
        <item x="1181"/>
        <item x="1453"/>
        <item x="1705"/>
        <item x="1896"/>
        <item x="1647"/>
        <item x="1463"/>
        <item x="1402"/>
        <item x="1217"/>
        <item x="1334"/>
        <item x="937"/>
        <item x="808"/>
        <item x="437"/>
        <item x="303"/>
        <item x="276"/>
        <item x="443"/>
        <item x="1109"/>
        <item x="1428"/>
        <item x="1179"/>
        <item x="1668"/>
        <item x="1446"/>
        <item x="1354"/>
        <item x="1789"/>
        <item x="1210"/>
        <item x="219"/>
        <item x="829"/>
        <item x="1942"/>
        <item x="1497"/>
        <item x="915"/>
        <item x="485"/>
        <item x="743"/>
        <item x="553"/>
        <item x="1520"/>
        <item x="1872"/>
        <item x="483"/>
        <item x="227"/>
        <item x="1206"/>
        <item x="40"/>
        <item x="477"/>
        <item x="1379"/>
        <item x="772"/>
        <item x="1301"/>
        <item x="185"/>
        <item x="938"/>
        <item x="1721"/>
        <item x="670"/>
        <item x="923"/>
        <item x="1171"/>
        <item x="906"/>
        <item x="950"/>
        <item x="514"/>
        <item x="1752"/>
        <item x="806"/>
        <item x="394"/>
        <item x="931"/>
        <item x="343"/>
        <item x="241"/>
        <item x="1545"/>
        <item x="265"/>
        <item x="504"/>
        <item x="385"/>
        <item x="1561"/>
        <item x="1245"/>
        <item x="909"/>
        <item x="1831"/>
        <item x="837"/>
        <item x="973"/>
        <item x="1458"/>
        <item x="57"/>
        <item x="1474"/>
        <item x="115"/>
        <item x="1694"/>
        <item x="1262"/>
        <item x="875"/>
        <item x="1321"/>
        <item x="327"/>
        <item x="1528"/>
        <item x="898"/>
        <item x="975"/>
        <item x="164"/>
        <item x="155"/>
        <item x="696"/>
        <item x="178"/>
        <item x="1546"/>
        <item x="754"/>
        <item x="1036"/>
        <item x="1132"/>
        <item x="1244"/>
        <item x="1652"/>
        <item x="1822"/>
        <item x="560"/>
        <item x="290"/>
        <item x="1493"/>
        <item x="542"/>
        <item x="682"/>
        <item x="476"/>
        <item x="782"/>
        <item x="626"/>
        <item x="145"/>
        <item x="803"/>
        <item x="499"/>
        <item x="1454"/>
        <item x="344"/>
        <item x="236"/>
        <item x="667"/>
        <item x="163"/>
        <item x="741"/>
        <item x="1939"/>
        <item x="1527"/>
        <item x="157"/>
        <item x="1468"/>
        <item x="356"/>
        <item x="65"/>
        <item x="1530"/>
        <item x="986"/>
        <item x="1314"/>
        <item x="1857"/>
        <item x="1044"/>
        <item x="642"/>
        <item x="911"/>
        <item x="315"/>
        <item x="1383"/>
        <item x="112"/>
        <item x="68"/>
        <item x="1769"/>
        <item x="1059"/>
        <item x="978"/>
        <item x="154"/>
        <item x="1849"/>
        <item x="1816"/>
        <item x="294"/>
        <item x="831"/>
        <item x="894"/>
        <item x="76"/>
        <item x="1313"/>
        <item x="1570"/>
        <item x="1183"/>
        <item x="1219"/>
        <item x="843"/>
        <item x="1370"/>
        <item x="1957"/>
        <item x="238"/>
        <item x="491"/>
        <item x="1353"/>
        <item x="893"/>
        <item x="759"/>
        <item x="1310"/>
        <item x="694"/>
        <item x="415"/>
        <item x="629"/>
        <item x="1283"/>
        <item x="627"/>
        <item x="1191"/>
        <item x="501"/>
        <item x="264"/>
        <item x="862"/>
        <item x="822"/>
        <item x="320"/>
        <item x="1052"/>
        <item x="191"/>
        <item x="619"/>
        <item x="146"/>
        <item x="1350"/>
        <item x="172"/>
        <item x="1538"/>
        <item x="1141"/>
        <item x="587"/>
        <item x="444"/>
        <item x="1715"/>
        <item x="505"/>
        <item x="1856"/>
        <item x="1659"/>
        <item x="1735"/>
        <item x="378"/>
        <item x="633"/>
        <item x="161"/>
        <item x="687"/>
        <item x="11"/>
        <item x="287"/>
        <item x="383"/>
        <item x="1256"/>
        <item x="942"/>
        <item x="952"/>
        <item x="615"/>
        <item x="1973"/>
        <item x="704"/>
        <item x="1106"/>
        <item x="572"/>
        <item x="405"/>
        <item x="648"/>
        <item x="1117"/>
        <item x="1802"/>
        <item x="1795"/>
        <item x="194"/>
        <item x="1920"/>
        <item x="310"/>
        <item x="277"/>
        <item x="239"/>
        <item x="798"/>
        <item x="1322"/>
        <item x="789"/>
        <item x="257"/>
        <item x="775"/>
        <item x="1905"/>
        <item x="151"/>
        <item x="1202"/>
        <item x="1079"/>
        <item x="1956"/>
        <item x="134"/>
        <item x="928"/>
        <item x="641"/>
        <item x="1842"/>
        <item x="1657"/>
        <item x="1549"/>
        <item x="58"/>
        <item x="1209"/>
        <item x="1919"/>
        <item x="824"/>
        <item x="192"/>
        <item x="324"/>
        <item x="1584"/>
        <item x="82"/>
        <item x="1324"/>
        <item x="557"/>
        <item x="1671"/>
        <item x="1899"/>
        <item x="1826"/>
        <item x="180"/>
        <item x="85"/>
        <item x="1613"/>
        <item x="1563"/>
        <item x="281"/>
        <item x="336"/>
        <item x="412"/>
        <item x="577"/>
        <item x="1818"/>
        <item x="1698"/>
        <item x="706"/>
        <item x="999"/>
        <item x="374"/>
        <item x="1121"/>
        <item x="1091"/>
        <item x="6"/>
        <item x="880"/>
        <item x="1259"/>
        <item x="1562"/>
        <item x="1786"/>
        <item x="436"/>
        <item x="995"/>
        <item x="75"/>
        <item x="1639"/>
        <item x="653"/>
        <item x="695"/>
        <item x="1066"/>
        <item x="1249"/>
        <item x="1009"/>
        <item x="1339"/>
        <item x="1099"/>
        <item x="616"/>
        <item x="406"/>
        <item x="1591"/>
        <item x="712"/>
        <item x="1006"/>
        <item x="864"/>
        <item x="1476"/>
        <item x="270"/>
        <item x="529"/>
        <item x="106"/>
        <item x="1916"/>
        <item x="1744"/>
        <item x="67"/>
        <item x="1813"/>
        <item x="1031"/>
        <item x="1511"/>
        <item x="671"/>
        <item x="1679"/>
        <item x="1035"/>
        <item x="1764"/>
        <item x="369"/>
        <item x="582"/>
        <item x="599"/>
        <item x="674"/>
        <item x="426"/>
        <item x="1107"/>
        <item x="827"/>
        <item x="983"/>
        <item x="764"/>
        <item x="1976"/>
        <item x="1258"/>
        <item x="387"/>
        <item x="441"/>
        <item x="812"/>
        <item x="143"/>
        <item x="1514"/>
        <item x="0"/>
        <item x="345"/>
        <item x="289"/>
        <item x="1855"/>
        <item x="1456"/>
        <item x="908"/>
        <item x="1962"/>
        <item x="220"/>
        <item x="996"/>
        <item x="332"/>
        <item x="1898"/>
        <item x="1515"/>
        <item x="262"/>
        <item x="1369"/>
        <item x="61"/>
        <item x="1376"/>
        <item x="144"/>
        <item x="709"/>
        <item x="314"/>
        <item x="1502"/>
        <item x="1837"/>
        <item x="1073"/>
        <item x="1129"/>
        <item x="269"/>
        <item x="865"/>
        <item x="1490"/>
        <item x="1651"/>
        <item x="1886"/>
        <item x="1714"/>
        <item x="407"/>
        <item x="1783"/>
        <item x="1888"/>
        <item x="1869"/>
        <item x="1887"/>
        <item x="1197"/>
        <item x="1690"/>
        <item x="845"/>
        <item x="1601"/>
        <item x="80"/>
        <item x="1848"/>
        <item x="1144"/>
        <item x="1666"/>
        <item x="1208"/>
        <item x="36"/>
        <item x="1506"/>
        <item x="1327"/>
        <item x="489"/>
        <item x="90"/>
        <item x="392"/>
        <item x="689"/>
        <item x="100"/>
        <item x="215"/>
        <item x="919"/>
        <item x="600"/>
        <item x="255"/>
        <item x="266"/>
        <item x="913"/>
        <item x="1544"/>
        <item x="1479"/>
        <item x="1355"/>
        <item x="575"/>
        <item x="1785"/>
        <item x="430"/>
        <item x="1088"/>
        <item x="1914"/>
        <item x="603"/>
        <item x="1290"/>
        <item x="1025"/>
        <item x="183"/>
        <item x="307"/>
        <item x="1039"/>
        <item x="1236"/>
        <item x="1868"/>
        <item x="206"/>
        <item x="1608"/>
        <item x="1057"/>
        <item x="1058"/>
        <item x="1626"/>
        <item x="1555"/>
        <item x="1627"/>
        <item x="747"/>
        <item x="1431"/>
        <item x="1333"/>
        <item x="295"/>
        <item x="534"/>
        <item x="94"/>
        <item x="1827"/>
        <item x="1648"/>
        <item x="1120"/>
        <item x="1279"/>
        <item x="1625"/>
        <item x="935"/>
        <item x="424"/>
        <item x="166"/>
        <item x="1797"/>
        <item x="1755"/>
        <item x="763"/>
        <item x="318"/>
        <item x="888"/>
        <item x="495"/>
        <item x="601"/>
        <item x="284"/>
        <item x="1067"/>
        <item x="1646"/>
        <item x="1053"/>
        <item x="1765"/>
        <item x="591"/>
        <item x="788"/>
        <item x="1710"/>
        <item x="1803"/>
        <item x="492"/>
        <item x="1462"/>
        <item x="1556"/>
        <item x="1451"/>
        <item x="850"/>
        <item x="189"/>
        <item x="628"/>
        <item x="1400"/>
        <item x="993"/>
        <item x="1913"/>
        <item x="1523"/>
        <item x="1014"/>
        <item x="165"/>
        <item x="1041"/>
        <item x="1553"/>
        <item x="493"/>
        <item x="1614"/>
        <item x="1397"/>
        <item x="1875"/>
        <item x="1773"/>
        <item x="479"/>
        <item x="102"/>
        <item x="745"/>
        <item x="304"/>
        <item x="976"/>
        <item x="1733"/>
        <item x="877"/>
        <item x="592"/>
        <item x="1185"/>
        <item x="381"/>
        <item x="1308"/>
        <item x="337"/>
        <item x="651"/>
        <item x="1695"/>
        <item x="431"/>
        <item x="1629"/>
        <item x="450"/>
        <item x="991"/>
        <item x="551"/>
        <item x="1809"/>
        <item x="1731"/>
        <item x="34"/>
        <item x="321"/>
        <item x="1030"/>
        <item x="1699"/>
        <item x="753"/>
        <item x="66"/>
        <item x="664"/>
        <item x="1980"/>
        <item x="460"/>
        <item x="801"/>
        <item x="160"/>
        <item x="771"/>
        <item x="455"/>
        <item x="1974"/>
        <item x="710"/>
        <item x="846"/>
        <item x="73"/>
        <item x="1761"/>
        <item x="912"/>
        <item x="1600"/>
        <item x="570"/>
        <item x="855"/>
        <item x="715"/>
        <item x="1224"/>
        <item x="38"/>
        <item x="361"/>
        <item x="1215"/>
        <item x="1906"/>
        <item x="638"/>
        <item x="1778"/>
        <item x="30"/>
        <item x="128"/>
        <item x="1498"/>
        <item x="339"/>
        <item x="645"/>
        <item x="533"/>
        <item x="323"/>
        <item x="1429"/>
        <item x="461"/>
        <item x="1640"/>
        <item x="618"/>
        <item x="765"/>
        <item x="512"/>
        <item x="1375"/>
        <item x="1416"/>
        <item x="1426"/>
        <item x="1405"/>
        <item x="1578"/>
        <item x="1323"/>
        <item x="571"/>
        <item x="1282"/>
        <item x="849"/>
        <item x="1870"/>
        <item x="936"/>
        <item x="338"/>
        <item x="733"/>
        <item x="48"/>
        <item x="1332"/>
        <item x="661"/>
        <item x="1432"/>
        <item x="214"/>
        <item x="127"/>
        <item x="1864"/>
        <item x="980"/>
        <item x="1420"/>
        <item x="528"/>
        <item x="101"/>
        <item x="563"/>
        <item x="1101"/>
        <item x="558"/>
        <item x="1348"/>
        <item x="1012"/>
        <item x="348"/>
        <item x="832"/>
        <item x="21"/>
        <item x="1280"/>
        <item x="720"/>
        <item x="486"/>
        <item x="229"/>
        <item x="463"/>
        <item x="1517"/>
        <item x="1026"/>
        <item x="1362"/>
        <item x="409"/>
        <item x="1579"/>
        <item x="1254"/>
        <item x="947"/>
        <item x="97"/>
        <item x="247"/>
        <item x="1384"/>
        <item x="1047"/>
        <item x="761"/>
        <item x="770"/>
        <item x="1336"/>
        <item x="1793"/>
        <item x="1413"/>
        <item x="411"/>
        <item x="1934"/>
        <item x="748"/>
        <item x="1754"/>
        <item x="536"/>
        <item x="1938"/>
        <item x="340"/>
        <item x="456"/>
        <item x="1524"/>
        <item x="1513"/>
        <item x="325"/>
        <item x="1931"/>
        <item x="982"/>
        <item x="693"/>
        <item x="1391"/>
        <item x="1023"/>
        <item x="590"/>
        <item x="535"/>
        <item x="1709"/>
        <item x="484"/>
        <item x="639"/>
        <item x="863"/>
        <item x="462"/>
        <item x="1823"/>
        <item x="1772"/>
        <item x="1594"/>
        <item x="1672"/>
        <item x="887"/>
        <item x="1367"/>
        <item x="1637"/>
        <item x="1622"/>
        <item x="1448"/>
        <item x="1867"/>
        <item x="728"/>
        <item x="876"/>
        <item x="89"/>
        <item x="955"/>
        <item x="349"/>
        <item x="1631"/>
        <item x="1663"/>
        <item x="1263"/>
        <item x="964"/>
        <item x="399"/>
        <item x="702"/>
        <item x="1083"/>
        <item x="708"/>
        <item x="1278"/>
        <item x="672"/>
        <item x="838"/>
        <item x="1683"/>
        <item x="1037"/>
        <item x="1347"/>
        <item x="420"/>
        <item x="526"/>
        <item x="1583"/>
        <item x="200"/>
        <item x="1125"/>
        <item x="28"/>
        <item x="974"/>
        <item x="203"/>
        <item x="1164"/>
        <item x="1078"/>
        <item x="956"/>
        <item x="1770"/>
        <item x="783"/>
        <item x="346"/>
        <item x="1305"/>
        <item x="1054"/>
        <item x="1835"/>
        <item x="1222"/>
        <item x="1923"/>
        <item x="1536"/>
        <item x="1843"/>
        <item x="1645"/>
        <item x="1912"/>
        <item x="179"/>
        <item x="1084"/>
        <item x="992"/>
        <item x="1381"/>
        <item x="1200"/>
        <item x="274"/>
        <item x="438"/>
        <item x="1442"/>
        <item x="583"/>
        <item x="1094"/>
        <item x="1403"/>
        <item x="1670"/>
        <item x="1977"/>
        <item x="649"/>
        <item x="1108"/>
        <item x="1261"/>
        <item x="292"/>
        <item x="1969"/>
        <item x="1750"/>
        <item x="1105"/>
        <item x="673"/>
        <item x="1485"/>
        <item x="87"/>
        <item x="13"/>
        <item x="1762"/>
        <item x="1195"/>
        <item x="654"/>
        <item x="1267"/>
        <item x="1126"/>
        <item x="1104"/>
        <item x="435"/>
        <item x="297"/>
        <item x="588"/>
        <item x="934"/>
        <item x="1581"/>
        <item x="939"/>
        <item x="730"/>
        <item x="1729"/>
        <item x="448"/>
        <item x="1422"/>
        <item x="419"/>
        <item x="967"/>
        <item x="1427"/>
        <item x="1127"/>
        <item x="1491"/>
        <item x="589"/>
        <item x="1632"/>
        <item x="1516"/>
        <item t="default"/>
      </items>
    </pivotField>
    <pivotField showAll="0"/>
    <pivotField numFmtId="164" showAll="0">
      <items count="15">
        <item x="0"/>
        <item x="1"/>
        <item x="2"/>
        <item x="3"/>
        <item x="4"/>
        <item x="5"/>
        <item x="6"/>
        <item x="7"/>
        <item x="8"/>
        <item x="9"/>
        <item x="10"/>
        <item x="11"/>
        <item x="12"/>
        <item x="13"/>
        <item t="default"/>
      </items>
    </pivotField>
    <pivotField showAll="0">
      <items count="3">
        <item x="0"/>
        <item x="1"/>
        <item t="default"/>
      </items>
    </pivotField>
    <pivotField dataField="1" showAll="0">
      <items count="3">
        <item x="0"/>
        <item x="1"/>
        <item t="default"/>
      </items>
    </pivotField>
    <pivotField showAll="0">
      <items count="4">
        <item x="2"/>
        <item x="0"/>
        <item x="1"/>
        <item t="default"/>
      </items>
    </pivotField>
    <pivotField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s>
  <rowFields count="1">
    <field x="6"/>
  </rowFields>
  <rowItems count="4">
    <i>
      <x/>
    </i>
    <i>
      <x v="1"/>
    </i>
    <i>
      <x v="2"/>
    </i>
    <i>
      <x v="3"/>
    </i>
  </rowItems>
  <colFields count="1">
    <field x="-2"/>
  </colFields>
  <colItems count="2">
    <i>
      <x/>
    </i>
    <i i="1">
      <x v="1"/>
    </i>
  </colItems>
  <dataFields count="2">
    <dataField name="Total Loan Amount" fld="19" baseField="0" baseItem="0"/>
    <dataField name="Default status count" fld="24" subtotal="count" showDataAs="percentOfCol" baseField="0" baseItem="0" numFmtId="10"/>
  </dataFields>
  <formats count="10">
    <format dxfId="60">
      <pivotArea type="all" dataOnly="0" outline="0" fieldPosition="0"/>
    </format>
    <format dxfId="59">
      <pivotArea outline="0" collapsedLevelsAreSubtotals="1" fieldPosition="0"/>
    </format>
    <format dxfId="58">
      <pivotArea field="6" type="button" dataOnly="0" labelOnly="1" outline="0" axis="axisRow" fieldPosition="0"/>
    </format>
    <format dxfId="57">
      <pivotArea dataOnly="0" labelOnly="1" fieldPosition="0">
        <references count="1">
          <reference field="6" count="0"/>
        </references>
      </pivotArea>
    </format>
    <format dxfId="56">
      <pivotArea dataOnly="0" labelOnly="1" outline="0" fieldPosition="0">
        <references count="1">
          <reference field="4294967294" count="2">
            <x v="0"/>
            <x v="1"/>
          </reference>
        </references>
      </pivotArea>
    </format>
    <format dxfId="55">
      <pivotArea type="all" dataOnly="0" outline="0" fieldPosition="0"/>
    </format>
    <format dxfId="54">
      <pivotArea outline="0" collapsedLevelsAreSubtotals="1" fieldPosition="0"/>
    </format>
    <format dxfId="53">
      <pivotArea field="6" type="button" dataOnly="0" labelOnly="1" outline="0" axis="axisRow" fieldPosition="0"/>
    </format>
    <format dxfId="52">
      <pivotArea dataOnly="0" labelOnly="1" fieldPosition="0">
        <references count="1">
          <reference field="6" count="0"/>
        </references>
      </pivotArea>
    </format>
    <format dxfId="5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9F356F-1410-4086-A777-171AFC5798D8}" name="PivotTable18" cacheId="0" applyNumberFormats="0" applyBorderFormats="0" applyFontFormats="0" applyPatternFormats="0" applyAlignmentFormats="0" applyWidthHeightFormats="1" dataCaption="Values" updatedVersion="7" minRefreshableVersion="3" asteriskTotals="1" useAutoFormatting="1" rowGrandTotals="0" colGrandTotals="0" itemPrintTitles="1" createdVersion="7" indent="0" outline="1" outlineData="1" multipleFieldFilters="0" chartFormat="1">
  <location ref="H71:I77" firstHeaderRow="1" firstDataRow="1" firstDataCol="1"/>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items count="6">
        <item h="1" x="3"/>
        <item h="1" x="1"/>
        <item h="1" x="2"/>
        <item h="1" x="0"/>
        <item x="4"/>
        <item t="default"/>
      </items>
    </pivotField>
    <pivotField numFmtId="10" showAll="0"/>
    <pivotField showAll="0">
      <items count="7">
        <item x="3"/>
        <item x="4"/>
        <item x="0"/>
        <item x="1"/>
        <item x="2"/>
        <item x="5"/>
        <item t="default"/>
      </items>
    </pivotField>
    <pivotField showAll="0"/>
    <pivotField showAll="0"/>
    <pivotField showAll="0"/>
    <pivotField showAll="0"/>
    <pivotField showAll="0"/>
    <pivotField showAll="0">
      <items count="6">
        <item x="2"/>
        <item x="1"/>
        <item x="0"/>
        <item x="4"/>
        <item x="3"/>
        <item t="default"/>
      </items>
    </pivotField>
    <pivotField dataField="1" showAll="0"/>
    <pivotField numFmtId="165" showAll="0">
      <items count="1985">
        <item x="1221"/>
        <item x="1572"/>
        <item x="252"/>
        <item x="1880"/>
        <item x="958"/>
        <item x="45"/>
        <item x="520"/>
        <item x="1800"/>
        <item x="726"/>
        <item x="634"/>
        <item x="1122"/>
        <item x="1214"/>
        <item x="1232"/>
        <item x="1541"/>
        <item x="22"/>
        <item x="1983"/>
        <item x="1504"/>
        <item x="283"/>
        <item x="293"/>
        <item x="1201"/>
        <item x="1152"/>
        <item x="697"/>
        <item x="680"/>
        <item x="142"/>
        <item x="388"/>
        <item x="1100"/>
        <item x="1798"/>
        <item x="987"/>
        <item x="249"/>
        <item x="1965"/>
        <item x="703"/>
        <item x="1592"/>
        <item x="1396"/>
        <item x="1167"/>
        <item x="1540"/>
        <item x="1606"/>
        <item x="522"/>
        <item x="1128"/>
        <item x="1095"/>
        <item x="510"/>
        <item x="723"/>
        <item x="562"/>
        <item x="1140"/>
        <item x="168"/>
        <item x="691"/>
        <item x="1927"/>
        <item x="1184"/>
        <item x="1951"/>
        <item x="1218"/>
        <item x="1180"/>
        <item x="1676"/>
        <item x="2"/>
        <item x="873"/>
        <item x="1317"/>
        <item x="1891"/>
        <item x="1621"/>
        <item x="1425"/>
        <item x="1839"/>
        <item x="1364"/>
        <item x="609"/>
        <item x="1746"/>
        <item x="1320"/>
        <item x="1199"/>
        <item x="732"/>
        <item x="1133"/>
        <item x="299"/>
        <item x="1551"/>
        <item x="1958"/>
        <item x="690"/>
        <item x="1192"/>
        <item x="70"/>
        <item x="1605"/>
        <item x="416"/>
        <item x="1145"/>
        <item x="198"/>
        <item x="250"/>
        <item x="288"/>
        <item x="1064"/>
        <item x="834"/>
        <item x="944"/>
        <item x="418"/>
        <item x="1226"/>
        <item x="347"/>
        <item x="729"/>
        <item x="640"/>
        <item x="496"/>
        <item x="1048"/>
        <item x="503"/>
        <item x="1189"/>
        <item x="1499"/>
        <item x="1424"/>
        <item x="861"/>
        <item x="1150"/>
        <item x="1246"/>
        <item x="677"/>
        <item x="1623"/>
        <item x="1982"/>
        <item x="933"/>
        <item x="95"/>
        <item x="1187"/>
        <item x="698"/>
        <item x="1963"/>
        <item x="1252"/>
        <item x="1684"/>
        <item x="930"/>
        <item x="1085"/>
        <item x="398"/>
        <item x="1658"/>
        <item x="756"/>
        <item x="1385"/>
        <item x="1532"/>
        <item x="279"/>
        <item x="1611"/>
        <item x="1768"/>
        <item x="500"/>
        <item x="1941"/>
        <item x="1335"/>
        <item x="1628"/>
        <item x="196"/>
        <item x="1008"/>
        <item x="1503"/>
        <item x="117"/>
        <item x="131"/>
        <item x="1981"/>
        <item x="1378"/>
        <item x="1495"/>
        <item x="1452"/>
        <item x="1953"/>
        <item x="1349"/>
        <item x="1415"/>
        <item x="597"/>
        <item x="333"/>
        <item x="246"/>
        <item x="170"/>
        <item x="787"/>
        <item x="197"/>
        <item x="707"/>
        <item x="464"/>
        <item x="1212"/>
        <item x="181"/>
        <item x="1016"/>
        <item x="1241"/>
        <item x="1110"/>
        <item x="540"/>
        <item x="1660"/>
        <item x="1380"/>
        <item x="1950"/>
        <item x="1890"/>
        <item x="576"/>
        <item x="400"/>
        <item x="1759"/>
        <item x="1933"/>
        <item x="1883"/>
        <item x="96"/>
        <item x="530"/>
        <item x="549"/>
        <item x="1522"/>
        <item x="31"/>
        <item x="1404"/>
        <item x="1978"/>
        <item x="1753"/>
        <item x="329"/>
        <item x="1550"/>
        <item x="470"/>
        <item x="1871"/>
        <item x="518"/>
        <item x="819"/>
        <item x="42"/>
        <item x="1790"/>
        <item x="1266"/>
        <item x="719"/>
        <item x="218"/>
        <item x="1534"/>
        <item x="423"/>
        <item x="1580"/>
        <item x="1055"/>
        <item x="805"/>
        <item x="1603"/>
        <item x="1223"/>
        <item x="413"/>
        <item x="1068"/>
        <item x="439"/>
        <item x="1174"/>
        <item x="35"/>
        <item x="243"/>
        <item x="1903"/>
        <item x="1850"/>
        <item x="425"/>
        <item x="259"/>
        <item x="1061"/>
        <item x="1908"/>
        <item x="1276"/>
        <item x="692"/>
        <item x="1749"/>
        <item x="1423"/>
        <item x="176"/>
        <item x="568"/>
        <item x="1090"/>
        <item x="1288"/>
        <item x="1894"/>
        <item x="525"/>
        <item x="1483"/>
        <item x="1341"/>
        <item x="1471"/>
        <item x="1518"/>
        <item x="738"/>
        <item x="286"/>
        <item x="159"/>
        <item x="814"/>
        <item x="1029"/>
        <item x="1330"/>
        <item x="851"/>
        <item x="1740"/>
        <item x="309"/>
        <item x="10"/>
        <item x="1960"/>
        <item x="920"/>
        <item x="537"/>
        <item x="749"/>
        <item x="1056"/>
        <item x="678"/>
        <item x="432"/>
        <item x="561"/>
        <item x="807"/>
        <item x="150"/>
        <item x="1617"/>
        <item x="1558"/>
        <item x="282"/>
        <item x="1418"/>
        <item x="174"/>
        <item x="393"/>
        <item x="1928"/>
        <item x="776"/>
        <item x="632"/>
        <item x="750"/>
        <item x="1878"/>
        <item x="1587"/>
        <item x="1143"/>
        <item x="1782"/>
        <item x="1507"/>
        <item x="559"/>
        <item x="1386"/>
        <item x="1781"/>
        <item x="355"/>
        <item x="1833"/>
        <item x="527"/>
        <item x="63"/>
        <item x="842"/>
        <item x="404"/>
        <item x="132"/>
        <item x="1512"/>
        <item x="1149"/>
        <item x="799"/>
        <item x="1669"/>
        <item x="99"/>
        <item x="1478"/>
        <item x="867"/>
        <item x="623"/>
        <item x="199"/>
        <item x="1118"/>
        <item x="1723"/>
        <item x="548"/>
        <item x="1002"/>
        <item x="1828"/>
        <item x="1612"/>
        <item x="1686"/>
        <item x="1841"/>
        <item x="1692"/>
        <item x="1395"/>
        <item x="1904"/>
        <item x="1253"/>
        <item x="1897"/>
        <item x="41"/>
        <item x="794"/>
        <item x="1742"/>
        <item x="1277"/>
        <item x="859"/>
        <item x="488"/>
        <item x="907"/>
        <item x="1387"/>
        <item x="1487"/>
        <item x="840"/>
        <item x="308"/>
        <item x="1711"/>
        <item x="826"/>
        <item x="1634"/>
        <item x="396"/>
        <item x="490"/>
        <item x="584"/>
        <item x="1169"/>
        <item x="910"/>
        <item x="1069"/>
        <item x="515"/>
        <item x="1168"/>
        <item x="1840"/>
        <item x="1018"/>
        <item x="311"/>
        <item x="452"/>
        <item x="363"/>
        <item x="1691"/>
        <item x="984"/>
        <item x="313"/>
        <item x="1372"/>
        <item x="77"/>
        <item x="1801"/>
        <item x="1586"/>
        <item x="8"/>
        <item x="353"/>
        <item x="721"/>
        <item x="1815"/>
        <item x="1040"/>
        <item x="1719"/>
        <item x="896"/>
        <item x="1086"/>
        <item x="1"/>
        <item x="858"/>
        <item x="1139"/>
        <item x="331"/>
        <item x="965"/>
        <item x="818"/>
        <item x="237"/>
        <item x="475"/>
        <item x="825"/>
        <item x="989"/>
        <item x="1315"/>
        <item x="1531"/>
        <item x="1450"/>
        <item x="1113"/>
        <item x="550"/>
        <item x="1667"/>
        <item x="1417"/>
        <item x="1146"/>
        <item x="126"/>
        <item x="1182"/>
        <item x="129"/>
        <item x="1358"/>
        <item x="1312"/>
        <item x="1700"/>
        <item x="847"/>
        <item x="468"/>
        <item x="968"/>
        <item x="1730"/>
        <item x="774"/>
        <item x="433"/>
        <item x="541"/>
        <item x="1046"/>
        <item x="884"/>
        <item x="162"/>
        <item x="813"/>
        <item x="899"/>
        <item x="1588"/>
        <item x="121"/>
        <item x="521"/>
        <item x="516"/>
        <item x="1465"/>
        <item x="351"/>
        <item x="1010"/>
        <item x="1862"/>
        <item x="52"/>
        <item x="1796"/>
        <item x="963"/>
        <item x="1130"/>
        <item x="1411"/>
        <item x="524"/>
        <item x="1543"/>
        <item x="1176"/>
        <item x="213"/>
        <item x="606"/>
        <item x="786"/>
        <item x="1954"/>
        <item x="903"/>
        <item x="1198"/>
        <item x="1344"/>
        <item x="451"/>
        <item x="636"/>
        <item x="275"/>
        <item x="1080"/>
        <item x="977"/>
        <item x="1300"/>
        <item x="1955"/>
        <item x="631"/>
        <item x="954"/>
        <item x="1787"/>
        <item x="453"/>
        <item x="171"/>
        <item x="1492"/>
        <item x="828"/>
        <item x="1794"/>
        <item x="316"/>
        <item x="56"/>
        <item x="1655"/>
        <item x="272"/>
        <item x="1852"/>
        <item x="1123"/>
        <item x="372"/>
        <item x="658"/>
        <item x="256"/>
        <item x="1076"/>
        <item x="810"/>
        <item x="1567"/>
        <item x="713"/>
        <item x="1329"/>
        <item x="1338"/>
        <item x="1075"/>
        <item x="579"/>
        <item x="1972"/>
        <item x="1196"/>
        <item x="49"/>
        <item x="1433"/>
        <item x="1407"/>
        <item x="1438"/>
        <item x="465"/>
        <item x="152"/>
        <item x="1460"/>
        <item x="1947"/>
        <item x="158"/>
        <item x="1162"/>
        <item x="1163"/>
        <item x="54"/>
        <item x="1063"/>
        <item x="785"/>
        <item x="371"/>
        <item x="1779"/>
        <item x="109"/>
        <item x="1751"/>
        <item x="24"/>
        <item x="1043"/>
        <item x="312"/>
        <item x="15"/>
        <item x="1119"/>
        <item x="1475"/>
        <item x="711"/>
        <item x="1571"/>
        <item x="1157"/>
        <item x="1260"/>
        <item x="685"/>
        <item x="111"/>
        <item x="1708"/>
        <item x="1234"/>
        <item x="1702"/>
        <item x="1799"/>
        <item x="140"/>
        <item x="1548"/>
        <item x="1160"/>
        <item x="1892"/>
        <item x="1675"/>
        <item x="149"/>
        <item x="187"/>
        <item x="4"/>
        <item x="854"/>
        <item x="985"/>
        <item x="517"/>
        <item x="668"/>
        <item x="137"/>
        <item x="1510"/>
        <item x="1235"/>
        <item x="644"/>
        <item x="1568"/>
        <item x="1138"/>
        <item x="717"/>
        <item x="1771"/>
        <item x="1836"/>
        <item x="298"/>
        <item x="390"/>
        <item x="916"/>
        <item x="1539"/>
        <item x="1881"/>
        <item x="1577"/>
        <item x="32"/>
        <item x="1748"/>
        <item x="897"/>
        <item x="480"/>
        <item x="1644"/>
        <item x="1519"/>
        <item x="731"/>
        <item x="1964"/>
        <item x="804"/>
        <item x="216"/>
        <item x="113"/>
        <item x="1289"/>
        <item x="1205"/>
        <item x="1824"/>
        <item x="156"/>
        <item x="1846"/>
        <item x="891"/>
        <item x="1607"/>
        <item x="757"/>
        <item x="1774"/>
        <item x="1343"/>
        <item x="957"/>
        <item x="1791"/>
        <item x="285"/>
        <item x="1775"/>
        <item x="868"/>
        <item x="1525"/>
        <item x="1597"/>
        <item x="1318"/>
        <item x="1269"/>
        <item x="81"/>
        <item x="273"/>
        <item x="1865"/>
        <item x="508"/>
        <item x="23"/>
        <item x="959"/>
        <item x="1294"/>
        <item x="879"/>
        <item x="401"/>
        <item x="1247"/>
        <item x="446"/>
        <item x="724"/>
        <item x="1590"/>
        <item x="844"/>
        <item x="1074"/>
        <item x="1359"/>
        <item x="722"/>
        <item x="1081"/>
        <item x="1255"/>
        <item x="1907"/>
        <item x="1552"/>
        <item x="1437"/>
        <item x="86"/>
        <item x="1135"/>
        <item x="1717"/>
        <item x="1720"/>
        <item x="1874"/>
        <item x="186"/>
        <item x="1272"/>
        <item x="147"/>
        <item x="792"/>
        <item x="1382"/>
        <item x="261"/>
        <item x="5"/>
        <item x="1028"/>
        <item x="1616"/>
        <item x="55"/>
        <item x="403"/>
        <item x="317"/>
        <item x="538"/>
        <item x="1589"/>
        <item x="352"/>
        <item x="1766"/>
        <item x="1394"/>
        <item x="569"/>
        <item x="635"/>
        <item x="885"/>
        <item x="727"/>
        <item x="605"/>
        <item x="1832"/>
        <item x="473"/>
        <item x="47"/>
        <item x="1389"/>
        <item x="1098"/>
        <item x="1103"/>
        <item x="1496"/>
        <item x="1811"/>
        <item x="481"/>
        <item x="354"/>
        <item x="925"/>
        <item x="1153"/>
        <item x="1959"/>
        <item x="800"/>
        <item x="459"/>
        <item x="120"/>
        <item x="83"/>
        <item x="1780"/>
        <item x="1946"/>
        <item x="1022"/>
        <item x="1328"/>
        <item x="1685"/>
        <item x="1860"/>
        <item x="1001"/>
        <item x="33"/>
        <item x="554"/>
        <item x="1230"/>
        <item x="1159"/>
        <item x="37"/>
        <item x="341"/>
        <item x="874"/>
        <item x="133"/>
        <item x="1311"/>
        <item x="1944"/>
        <item x="914"/>
        <item x="716"/>
        <item x="507"/>
        <item x="91"/>
        <item x="580"/>
        <item x="802"/>
        <item x="1131"/>
        <item x="1388"/>
        <item x="1688"/>
        <item x="1111"/>
        <item x="1309"/>
        <item x="1151"/>
        <item x="544"/>
        <item x="1810"/>
        <item x="1847"/>
        <item x="1445"/>
        <item x="1466"/>
        <item x="1680"/>
        <item x="737"/>
        <item x="267"/>
        <item x="1724"/>
        <item x="1961"/>
        <item x="725"/>
        <item x="440"/>
        <item x="1674"/>
        <item x="815"/>
        <item x="330"/>
        <item x="766"/>
        <item x="1861"/>
        <item x="594"/>
        <item x="1582"/>
        <item x="655"/>
        <item x="878"/>
        <item x="604"/>
        <item x="1390"/>
        <item x="271"/>
        <item x="370"/>
        <item x="1807"/>
        <item x="50"/>
        <item x="268"/>
        <item x="1573"/>
        <item x="1240"/>
        <item x="1619"/>
        <item x="1937"/>
        <item x="428"/>
        <item x="917"/>
        <item x="1604"/>
        <item x="1172"/>
        <item x="1745"/>
        <item x="14"/>
        <item x="734"/>
        <item x="882"/>
        <item x="997"/>
        <item x="212"/>
        <item x="1706"/>
        <item x="1949"/>
        <item x="25"/>
        <item x="1194"/>
        <item x="1467"/>
        <item x="1718"/>
        <item x="918"/>
        <item x="1844"/>
        <item x="258"/>
        <item x="1435"/>
        <item x="382"/>
        <item x="78"/>
        <item x="809"/>
        <item x="1410"/>
        <item x="1102"/>
        <item x="990"/>
        <item x="1291"/>
        <item x="1756"/>
        <item x="1337"/>
        <item x="1285"/>
        <item x="1505"/>
        <item x="1777"/>
        <item x="210"/>
        <item x="1489"/>
        <item x="1430"/>
        <item x="1005"/>
        <item x="1653"/>
        <item x="1271"/>
        <item x="1050"/>
        <item x="1257"/>
        <item x="193"/>
        <item x="941"/>
        <item x="1186"/>
        <item x="251"/>
        <item x="1638"/>
        <item x="1193"/>
        <item x="735"/>
        <item x="1346"/>
        <item x="1533"/>
        <item x="69"/>
        <item x="1792"/>
        <item x="302"/>
        <item x="1307"/>
        <item x="1268"/>
        <item x="1866"/>
        <item x="233"/>
        <item x="1930"/>
        <item x="1360"/>
        <item x="929"/>
        <item x="598"/>
        <item x="593"/>
        <item x="714"/>
        <item x="1922"/>
        <item x="1060"/>
        <item x="971"/>
        <item x="998"/>
        <item x="43"/>
        <item x="979"/>
        <item x="1834"/>
        <item x="1441"/>
        <item x="39"/>
        <item x="427"/>
        <item x="1636"/>
        <item x="1440"/>
        <item x="1459"/>
        <item x="16"/>
        <item x="1882"/>
        <item x="1820"/>
        <item x="487"/>
        <item x="1738"/>
        <item x="224"/>
        <item x="1884"/>
        <item x="1238"/>
        <item x="1112"/>
        <item x="108"/>
        <item x="114"/>
        <item x="1696"/>
        <item x="613"/>
        <item x="59"/>
        <item x="701"/>
        <item x="362"/>
        <item x="190"/>
        <item x="1707"/>
        <item x="1228"/>
        <item x="779"/>
        <item x="1784"/>
        <item x="1373"/>
        <item x="926"/>
        <item x="1641"/>
        <item x="175"/>
        <item x="1011"/>
        <item x="357"/>
        <item x="1281"/>
        <item x="1970"/>
        <item x="904"/>
        <item x="474"/>
        <item x="795"/>
        <item x="1154"/>
        <item x="103"/>
        <item x="1042"/>
        <item x="585"/>
        <item x="1345"/>
        <item x="742"/>
        <item x="1585"/>
        <item x="202"/>
        <item x="883"/>
        <item x="902"/>
        <item x="1661"/>
        <item x="29"/>
        <item x="368"/>
        <item x="1443"/>
        <item x="1654"/>
        <item x="994"/>
        <item x="296"/>
        <item x="223"/>
        <item x="334"/>
        <item x="1943"/>
        <item x="18"/>
        <item x="622"/>
        <item x="817"/>
        <item x="1649"/>
        <item x="231"/>
        <item x="1593"/>
        <item x="1726"/>
        <item x="1893"/>
        <item x="835"/>
        <item x="1003"/>
        <item x="669"/>
        <item x="900"/>
        <item x="1542"/>
        <item x="291"/>
        <item x="966"/>
        <item x="523"/>
        <item x="228"/>
        <item x="762"/>
        <item x="1124"/>
        <item x="1231"/>
        <item x="811"/>
        <item x="1926"/>
        <item x="1508"/>
        <item x="494"/>
        <item x="1697"/>
        <item x="1911"/>
        <item x="545"/>
        <item x="1825"/>
        <item x="574"/>
        <item x="1681"/>
        <item x="1093"/>
        <item x="1967"/>
        <item x="901"/>
        <item x="391"/>
        <item x="502"/>
        <item x="760"/>
        <item x="1286"/>
        <item x="1392"/>
        <item x="611"/>
        <item x="823"/>
        <item x="1678"/>
        <item x="365"/>
        <item x="1902"/>
        <item x="1361"/>
        <item x="242"/>
        <item x="1275"/>
        <item x="657"/>
        <item x="1089"/>
        <item x="607"/>
        <item x="686"/>
        <item x="1004"/>
        <item x="1295"/>
        <item x="1096"/>
        <item x="969"/>
        <item x="1393"/>
        <item x="637"/>
        <item x="1213"/>
        <item x="1635"/>
        <item x="1952"/>
        <item x="326"/>
        <item x="1979"/>
        <item x="64"/>
        <item x="647"/>
        <item x="1741"/>
        <item x="71"/>
        <item x="886"/>
        <item x="366"/>
        <item x="1439"/>
        <item x="1013"/>
        <item x="319"/>
        <item x="683"/>
        <item x="1340"/>
        <item x="1480"/>
        <item x="402"/>
        <item x="1576"/>
        <item x="1564"/>
        <item x="1326"/>
        <item x="784"/>
        <item x="1293"/>
        <item x="93"/>
        <item x="254"/>
        <item x="232"/>
        <item x="1156"/>
        <item x="467"/>
        <item x="1609"/>
        <item x="962"/>
        <item x="1547"/>
        <item x="953"/>
        <item x="621"/>
        <item x="1421"/>
        <item x="1736"/>
        <item x="1116"/>
        <item x="848"/>
        <item x="1509"/>
        <item x="1662"/>
        <item x="1409"/>
        <item x="1829"/>
        <item x="1494"/>
        <item x="596"/>
        <item x="839"/>
        <item x="857"/>
        <item x="1854"/>
        <item x="1760"/>
        <item x="1365"/>
        <item x="1747"/>
        <item x="335"/>
        <item x="1316"/>
        <item x="1481"/>
        <item x="359"/>
        <item x="1398"/>
        <item x="718"/>
        <item x="1767"/>
        <item x="1414"/>
        <item x="860"/>
        <item x="1620"/>
        <item x="300"/>
        <item x="72"/>
        <item x="1521"/>
        <item x="769"/>
        <item x="546"/>
        <item x="208"/>
        <item x="890"/>
        <item x="547"/>
        <item x="105"/>
        <item x="565"/>
        <item x="1566"/>
        <item x="222"/>
        <item x="148"/>
        <item x="1677"/>
        <item x="889"/>
        <item x="830"/>
        <item x="1805"/>
        <item x="820"/>
        <item x="564"/>
        <item x="207"/>
        <item x="373"/>
        <item x="1062"/>
        <item x="1472"/>
        <item x="793"/>
        <item x="135"/>
        <item x="1170"/>
        <item x="195"/>
        <item x="1134"/>
        <item x="519"/>
        <item x="410"/>
        <item x="1940"/>
        <item x="221"/>
        <item x="780"/>
        <item x="1918"/>
        <item x="1656"/>
        <item x="1233"/>
        <item x="79"/>
        <item x="1302"/>
        <item x="1537"/>
        <item x="960"/>
        <item x="1303"/>
        <item x="1225"/>
        <item x="122"/>
        <item x="617"/>
        <item x="1242"/>
        <item x="1971"/>
        <item x="230"/>
        <item x="1457"/>
        <item x="684"/>
        <item x="245"/>
        <item x="1265"/>
        <item x="234"/>
        <item x="1032"/>
        <item x="226"/>
        <item x="586"/>
        <item x="1072"/>
        <item x="1936"/>
        <item x="602"/>
        <item x="778"/>
        <item x="123"/>
        <item x="681"/>
        <item x="342"/>
        <item x="1243"/>
        <item x="1273"/>
        <item x="1250"/>
        <item x="429"/>
        <item x="614"/>
        <item x="1921"/>
        <item x="1763"/>
        <item x="498"/>
        <item x="449"/>
        <item x="182"/>
        <item x="1812"/>
        <item x="1158"/>
        <item x="630"/>
        <item x="660"/>
        <item x="705"/>
        <item x="1248"/>
        <item x="201"/>
        <item x="755"/>
        <item x="1808"/>
        <item x="12"/>
        <item x="454"/>
        <item x="1455"/>
        <item x="853"/>
        <item x="659"/>
        <item x="841"/>
        <item x="445"/>
        <item x="74"/>
        <item x="104"/>
        <item x="790"/>
        <item x="1211"/>
        <item x="650"/>
        <item x="107"/>
        <item x="1885"/>
        <item x="301"/>
        <item x="1814"/>
        <item x="921"/>
        <item x="1630"/>
        <item x="167"/>
        <item x="513"/>
        <item x="44"/>
        <item x="375"/>
        <item x="173"/>
        <item x="1015"/>
        <item x="1610"/>
        <item x="1034"/>
        <item x="1804"/>
        <item x="773"/>
        <item x="118"/>
        <item x="263"/>
        <item x="791"/>
        <item x="434"/>
        <item x="138"/>
        <item x="1436"/>
        <item x="961"/>
        <item x="856"/>
        <item x="943"/>
        <item x="1737"/>
        <item x="377"/>
        <item x="1925"/>
        <item x="177"/>
        <item x="1910"/>
        <item x="688"/>
        <item x="1817"/>
        <item x="1975"/>
        <item x="866"/>
        <item x="188"/>
        <item x="1374"/>
        <item x="478"/>
        <item x="833"/>
        <item x="235"/>
        <item x="1853"/>
        <item x="739"/>
        <item x="1732"/>
        <item x="1444"/>
        <item x="244"/>
        <item x="509"/>
        <item x="1845"/>
        <item x="573"/>
        <item x="1325"/>
        <item x="1274"/>
        <item x="1932"/>
        <item x="116"/>
        <item x="539"/>
        <item x="1529"/>
        <item x="946"/>
        <item x="620"/>
        <item x="736"/>
        <item x="1873"/>
        <item x="9"/>
        <item x="1357"/>
        <item x="1114"/>
        <item x="744"/>
        <item x="253"/>
        <item x="1087"/>
        <item x="1469"/>
        <item x="1776"/>
        <item x="1758"/>
        <item x="1917"/>
        <item x="797"/>
        <item x="1863"/>
        <item x="248"/>
        <item x="556"/>
        <item x="1371"/>
        <item x="972"/>
        <item x="895"/>
        <item x="666"/>
        <item x="1560"/>
        <item x="1203"/>
        <item x="872"/>
        <item x="656"/>
        <item x="751"/>
        <item x="1565"/>
        <item x="1142"/>
        <item x="1945"/>
        <item x="752"/>
        <item x="1115"/>
        <item x="1929"/>
        <item x="1000"/>
        <item x="1419"/>
        <item x="1728"/>
        <item x="1624"/>
        <item x="1049"/>
        <item x="1216"/>
        <item x="447"/>
        <item x="1877"/>
        <item x="1689"/>
        <item x="1554"/>
        <item x="746"/>
        <item x="1408"/>
        <item x="740"/>
        <item x="567"/>
        <item x="1819"/>
        <item x="124"/>
        <item x="1895"/>
        <item x="1574"/>
        <item x="1486"/>
        <item x="892"/>
        <item x="758"/>
        <item x="1915"/>
        <item x="1229"/>
        <item x="1027"/>
        <item x="1299"/>
        <item x="205"/>
        <item x="1948"/>
        <item x="1461"/>
        <item x="1687"/>
        <item x="1595"/>
        <item x="1876"/>
        <item x="922"/>
        <item x="1879"/>
        <item x="665"/>
        <item x="408"/>
        <item x="1239"/>
        <item x="932"/>
        <item x="1599"/>
        <item x="397"/>
        <item x="376"/>
        <item x="610"/>
        <item x="871"/>
        <item x="1304"/>
        <item x="1356"/>
        <item x="84"/>
        <item x="1366"/>
        <item x="945"/>
        <item x="1821"/>
        <item x="136"/>
        <item x="1806"/>
        <item x="1351"/>
        <item x="1017"/>
        <item x="384"/>
        <item x="1155"/>
        <item x="1070"/>
        <item x="139"/>
        <item x="767"/>
        <item x="1406"/>
        <item x="119"/>
        <item x="153"/>
        <item x="88"/>
        <item x="1342"/>
        <item x="209"/>
        <item x="1901"/>
        <item x="1559"/>
        <item x="306"/>
        <item x="360"/>
        <item x="646"/>
        <item x="1166"/>
        <item x="1363"/>
        <item x="870"/>
        <item x="532"/>
        <item x="1615"/>
        <item x="924"/>
        <item x="643"/>
        <item x="531"/>
        <item x="1412"/>
        <item x="1526"/>
        <item x="1701"/>
        <item x="1352"/>
        <item x="53"/>
        <item x="1188"/>
        <item x="777"/>
        <item x="1401"/>
        <item x="1071"/>
        <item x="1092"/>
        <item x="1038"/>
        <item x="1935"/>
        <item x="1051"/>
        <item x="1136"/>
        <item x="506"/>
        <item x="328"/>
        <item x="1319"/>
        <item x="1682"/>
        <item x="141"/>
        <item x="1858"/>
        <item x="280"/>
        <item x="1306"/>
        <item x="1204"/>
        <item x="1739"/>
        <item x="699"/>
        <item x="395"/>
        <item x="676"/>
        <item x="881"/>
        <item x="1227"/>
        <item x="1851"/>
        <item x="469"/>
        <item x="1007"/>
        <item x="1220"/>
        <item x="948"/>
        <item x="422"/>
        <item x="1021"/>
        <item x="1207"/>
        <item x="988"/>
        <item x="482"/>
        <item x="1557"/>
        <item x="951"/>
        <item x="1137"/>
        <item x="1473"/>
        <item x="260"/>
        <item x="414"/>
        <item x="1178"/>
        <item x="1296"/>
        <item x="1019"/>
        <item x="1447"/>
        <item x="497"/>
        <item x="1859"/>
        <item x="7"/>
        <item x="457"/>
        <item x="1704"/>
        <item x="700"/>
        <item x="1449"/>
        <item x="1734"/>
        <item x="367"/>
        <item x="1727"/>
        <item x="1033"/>
        <item x="98"/>
        <item x="380"/>
        <item x="1575"/>
        <item x="1966"/>
        <item x="20"/>
        <item x="60"/>
        <item x="125"/>
        <item x="624"/>
        <item x="1598"/>
        <item x="27"/>
        <item x="421"/>
        <item x="927"/>
        <item x="1264"/>
        <item x="1377"/>
        <item x="1077"/>
        <item x="595"/>
        <item x="949"/>
        <item x="1713"/>
        <item x="1968"/>
        <item x="675"/>
        <item x="625"/>
        <item x="204"/>
        <item x="1434"/>
        <item x="364"/>
        <item x="511"/>
        <item x="225"/>
        <item x="768"/>
        <item x="1173"/>
        <item x="379"/>
        <item x="1292"/>
        <item x="46"/>
        <item x="1470"/>
        <item x="869"/>
        <item x="1722"/>
        <item x="1703"/>
        <item x="51"/>
        <item x="1618"/>
        <item x="240"/>
        <item x="358"/>
        <item x="940"/>
        <item x="417"/>
        <item x="1602"/>
        <item x="1464"/>
        <item x="1788"/>
        <item x="1501"/>
        <item x="1175"/>
        <item x="217"/>
        <item x="1889"/>
        <item x="1237"/>
        <item x="1368"/>
        <item x="442"/>
        <item x="1664"/>
        <item x="1633"/>
        <item x="1482"/>
        <item x="1298"/>
        <item x="566"/>
        <item x="1287"/>
        <item x="211"/>
        <item x="1045"/>
        <item x="1725"/>
        <item x="17"/>
        <item x="543"/>
        <item x="821"/>
        <item x="110"/>
        <item x="578"/>
        <item x="1284"/>
        <item x="1488"/>
        <item x="970"/>
        <item x="612"/>
        <item x="278"/>
        <item x="552"/>
        <item x="1331"/>
        <item x="652"/>
        <item x="1500"/>
        <item x="663"/>
        <item x="796"/>
        <item x="1065"/>
        <item x="472"/>
        <item x="3"/>
        <item x="458"/>
        <item x="1399"/>
        <item x="386"/>
        <item x="1251"/>
        <item x="1900"/>
        <item x="1484"/>
        <item x="1830"/>
        <item x="19"/>
        <item x="662"/>
        <item x="1642"/>
        <item x="26"/>
        <item x="781"/>
        <item x="555"/>
        <item x="1148"/>
        <item x="466"/>
        <item x="169"/>
        <item x="350"/>
        <item x="581"/>
        <item x="1757"/>
        <item x="852"/>
        <item x="1693"/>
        <item x="1477"/>
        <item x="1147"/>
        <item x="816"/>
        <item x="1569"/>
        <item x="1665"/>
        <item x="1297"/>
        <item x="1165"/>
        <item x="608"/>
        <item x="471"/>
        <item x="1909"/>
        <item x="981"/>
        <item x="1024"/>
        <item x="1596"/>
        <item x="1650"/>
        <item x="1082"/>
        <item x="1161"/>
        <item x="1270"/>
        <item x="322"/>
        <item x="1097"/>
        <item x="389"/>
        <item x="130"/>
        <item x="1535"/>
        <item x="1020"/>
        <item x="1673"/>
        <item x="62"/>
        <item x="305"/>
        <item x="836"/>
        <item x="1712"/>
        <item x="1743"/>
        <item x="1924"/>
        <item x="1643"/>
        <item x="1177"/>
        <item x="1190"/>
        <item x="184"/>
        <item x="679"/>
        <item x="1716"/>
        <item x="905"/>
        <item x="92"/>
        <item x="1838"/>
        <item x="1181"/>
        <item x="1453"/>
        <item x="1705"/>
        <item x="1896"/>
        <item x="1647"/>
        <item x="1463"/>
        <item x="1402"/>
        <item x="1217"/>
        <item x="1334"/>
        <item x="937"/>
        <item x="808"/>
        <item x="437"/>
        <item x="303"/>
        <item x="276"/>
        <item x="443"/>
        <item x="1109"/>
        <item x="1428"/>
        <item x="1179"/>
        <item x="1668"/>
        <item x="1446"/>
        <item x="1354"/>
        <item x="1789"/>
        <item x="1210"/>
        <item x="219"/>
        <item x="829"/>
        <item x="1942"/>
        <item x="1497"/>
        <item x="915"/>
        <item x="485"/>
        <item x="743"/>
        <item x="553"/>
        <item x="1520"/>
        <item x="1872"/>
        <item x="483"/>
        <item x="227"/>
        <item x="1206"/>
        <item x="40"/>
        <item x="477"/>
        <item x="1379"/>
        <item x="772"/>
        <item x="1301"/>
        <item x="185"/>
        <item x="938"/>
        <item x="1721"/>
        <item x="670"/>
        <item x="923"/>
        <item x="1171"/>
        <item x="906"/>
        <item x="950"/>
        <item x="514"/>
        <item x="1752"/>
        <item x="806"/>
        <item x="394"/>
        <item x="931"/>
        <item x="343"/>
        <item x="241"/>
        <item x="1545"/>
        <item x="265"/>
        <item x="504"/>
        <item x="385"/>
        <item x="1561"/>
        <item x="1245"/>
        <item x="909"/>
        <item x="1831"/>
        <item x="837"/>
        <item x="973"/>
        <item x="1458"/>
        <item x="57"/>
        <item x="1474"/>
        <item x="115"/>
        <item x="1694"/>
        <item x="1262"/>
        <item x="875"/>
        <item x="1321"/>
        <item x="327"/>
        <item x="1528"/>
        <item x="898"/>
        <item x="975"/>
        <item x="164"/>
        <item x="155"/>
        <item x="696"/>
        <item x="178"/>
        <item x="1546"/>
        <item x="754"/>
        <item x="1036"/>
        <item x="1132"/>
        <item x="1244"/>
        <item x="1652"/>
        <item x="1822"/>
        <item x="560"/>
        <item x="290"/>
        <item x="1493"/>
        <item x="542"/>
        <item x="682"/>
        <item x="476"/>
        <item x="782"/>
        <item x="626"/>
        <item x="145"/>
        <item x="803"/>
        <item x="499"/>
        <item x="1454"/>
        <item x="344"/>
        <item x="236"/>
        <item x="667"/>
        <item x="163"/>
        <item x="741"/>
        <item x="1939"/>
        <item x="1527"/>
        <item x="157"/>
        <item x="1468"/>
        <item x="356"/>
        <item x="65"/>
        <item x="1530"/>
        <item x="986"/>
        <item x="1314"/>
        <item x="1857"/>
        <item x="1044"/>
        <item x="642"/>
        <item x="911"/>
        <item x="315"/>
        <item x="1383"/>
        <item x="112"/>
        <item x="68"/>
        <item x="1769"/>
        <item x="1059"/>
        <item x="978"/>
        <item x="154"/>
        <item x="1849"/>
        <item x="1816"/>
        <item x="294"/>
        <item x="831"/>
        <item x="894"/>
        <item x="76"/>
        <item x="1313"/>
        <item x="1570"/>
        <item x="1183"/>
        <item x="1219"/>
        <item x="843"/>
        <item x="1370"/>
        <item x="1957"/>
        <item x="238"/>
        <item x="491"/>
        <item x="1353"/>
        <item x="893"/>
        <item x="759"/>
        <item x="1310"/>
        <item x="694"/>
        <item x="415"/>
        <item x="629"/>
        <item x="1283"/>
        <item x="627"/>
        <item x="1191"/>
        <item x="501"/>
        <item x="264"/>
        <item x="862"/>
        <item x="822"/>
        <item x="320"/>
        <item x="1052"/>
        <item x="191"/>
        <item x="619"/>
        <item x="146"/>
        <item x="1350"/>
        <item x="172"/>
        <item x="1538"/>
        <item x="1141"/>
        <item x="587"/>
        <item x="444"/>
        <item x="1715"/>
        <item x="505"/>
        <item x="1856"/>
        <item x="1659"/>
        <item x="1735"/>
        <item x="378"/>
        <item x="633"/>
        <item x="161"/>
        <item x="687"/>
        <item x="11"/>
        <item x="287"/>
        <item x="383"/>
        <item x="1256"/>
        <item x="942"/>
        <item x="952"/>
        <item x="615"/>
        <item x="1973"/>
        <item x="704"/>
        <item x="1106"/>
        <item x="572"/>
        <item x="405"/>
        <item x="648"/>
        <item x="1117"/>
        <item x="1802"/>
        <item x="1795"/>
        <item x="194"/>
        <item x="1920"/>
        <item x="310"/>
        <item x="277"/>
        <item x="239"/>
        <item x="798"/>
        <item x="1322"/>
        <item x="789"/>
        <item x="257"/>
        <item x="775"/>
        <item x="1905"/>
        <item x="151"/>
        <item x="1202"/>
        <item x="1079"/>
        <item x="1956"/>
        <item x="134"/>
        <item x="928"/>
        <item x="641"/>
        <item x="1842"/>
        <item x="1657"/>
        <item x="1549"/>
        <item x="58"/>
        <item x="1209"/>
        <item x="1919"/>
        <item x="824"/>
        <item x="192"/>
        <item x="324"/>
        <item x="1584"/>
        <item x="82"/>
        <item x="1324"/>
        <item x="557"/>
        <item x="1671"/>
        <item x="1899"/>
        <item x="1826"/>
        <item x="180"/>
        <item x="85"/>
        <item x="1613"/>
        <item x="1563"/>
        <item x="281"/>
        <item x="336"/>
        <item x="412"/>
        <item x="577"/>
        <item x="1818"/>
        <item x="1698"/>
        <item x="706"/>
        <item x="999"/>
        <item x="374"/>
        <item x="1121"/>
        <item x="1091"/>
        <item x="6"/>
        <item x="880"/>
        <item x="1259"/>
        <item x="1562"/>
        <item x="1786"/>
        <item x="436"/>
        <item x="995"/>
        <item x="75"/>
        <item x="1639"/>
        <item x="653"/>
        <item x="695"/>
        <item x="1066"/>
        <item x="1249"/>
        <item x="1009"/>
        <item x="1339"/>
        <item x="1099"/>
        <item x="616"/>
        <item x="406"/>
        <item x="1591"/>
        <item x="712"/>
        <item x="1006"/>
        <item x="864"/>
        <item x="1476"/>
        <item x="270"/>
        <item x="529"/>
        <item x="106"/>
        <item x="1916"/>
        <item x="1744"/>
        <item x="67"/>
        <item x="1813"/>
        <item x="1031"/>
        <item x="1511"/>
        <item x="671"/>
        <item x="1679"/>
        <item x="1035"/>
        <item x="1764"/>
        <item x="369"/>
        <item x="582"/>
        <item x="599"/>
        <item x="674"/>
        <item x="426"/>
        <item x="1107"/>
        <item x="827"/>
        <item x="983"/>
        <item x="764"/>
        <item x="1976"/>
        <item x="1258"/>
        <item x="387"/>
        <item x="441"/>
        <item x="812"/>
        <item x="143"/>
        <item x="1514"/>
        <item x="0"/>
        <item x="345"/>
        <item x="289"/>
        <item x="1855"/>
        <item x="1456"/>
        <item x="908"/>
        <item x="1962"/>
        <item x="220"/>
        <item x="996"/>
        <item x="332"/>
        <item x="1898"/>
        <item x="1515"/>
        <item x="262"/>
        <item x="1369"/>
        <item x="61"/>
        <item x="1376"/>
        <item x="144"/>
        <item x="709"/>
        <item x="314"/>
        <item x="1502"/>
        <item x="1837"/>
        <item x="1073"/>
        <item x="1129"/>
        <item x="269"/>
        <item x="865"/>
        <item x="1490"/>
        <item x="1651"/>
        <item x="1886"/>
        <item x="1714"/>
        <item x="407"/>
        <item x="1783"/>
        <item x="1888"/>
        <item x="1869"/>
        <item x="1887"/>
        <item x="1197"/>
        <item x="1690"/>
        <item x="845"/>
        <item x="1601"/>
        <item x="80"/>
        <item x="1848"/>
        <item x="1144"/>
        <item x="1666"/>
        <item x="1208"/>
        <item x="36"/>
        <item x="1506"/>
        <item x="1327"/>
        <item x="489"/>
        <item x="90"/>
        <item x="392"/>
        <item x="689"/>
        <item x="100"/>
        <item x="215"/>
        <item x="919"/>
        <item x="600"/>
        <item x="255"/>
        <item x="266"/>
        <item x="913"/>
        <item x="1544"/>
        <item x="1479"/>
        <item x="1355"/>
        <item x="575"/>
        <item x="1785"/>
        <item x="430"/>
        <item x="1088"/>
        <item x="1914"/>
        <item x="603"/>
        <item x="1290"/>
        <item x="1025"/>
        <item x="183"/>
        <item x="307"/>
        <item x="1039"/>
        <item x="1236"/>
        <item x="1868"/>
        <item x="206"/>
        <item x="1608"/>
        <item x="1057"/>
        <item x="1058"/>
        <item x="1626"/>
        <item x="1555"/>
        <item x="1627"/>
        <item x="747"/>
        <item x="1431"/>
        <item x="1333"/>
        <item x="295"/>
        <item x="534"/>
        <item x="94"/>
        <item x="1827"/>
        <item x="1648"/>
        <item x="1120"/>
        <item x="1279"/>
        <item x="1625"/>
        <item x="935"/>
        <item x="424"/>
        <item x="166"/>
        <item x="1797"/>
        <item x="1755"/>
        <item x="763"/>
        <item x="318"/>
        <item x="888"/>
        <item x="495"/>
        <item x="601"/>
        <item x="284"/>
        <item x="1067"/>
        <item x="1646"/>
        <item x="1053"/>
        <item x="1765"/>
        <item x="591"/>
        <item x="788"/>
        <item x="1710"/>
        <item x="1803"/>
        <item x="492"/>
        <item x="1462"/>
        <item x="1556"/>
        <item x="1451"/>
        <item x="850"/>
        <item x="189"/>
        <item x="628"/>
        <item x="1400"/>
        <item x="993"/>
        <item x="1913"/>
        <item x="1523"/>
        <item x="1014"/>
        <item x="165"/>
        <item x="1041"/>
        <item x="1553"/>
        <item x="493"/>
        <item x="1614"/>
        <item x="1397"/>
        <item x="1875"/>
        <item x="1773"/>
        <item x="479"/>
        <item x="102"/>
        <item x="745"/>
        <item x="304"/>
        <item x="976"/>
        <item x="1733"/>
        <item x="877"/>
        <item x="592"/>
        <item x="1185"/>
        <item x="381"/>
        <item x="1308"/>
        <item x="337"/>
        <item x="651"/>
        <item x="1695"/>
        <item x="431"/>
        <item x="1629"/>
        <item x="450"/>
        <item x="991"/>
        <item x="551"/>
        <item x="1809"/>
        <item x="1731"/>
        <item x="34"/>
        <item x="321"/>
        <item x="1030"/>
        <item x="1699"/>
        <item x="753"/>
        <item x="66"/>
        <item x="664"/>
        <item x="1980"/>
        <item x="460"/>
        <item x="801"/>
        <item x="160"/>
        <item x="771"/>
        <item x="455"/>
        <item x="1974"/>
        <item x="710"/>
        <item x="846"/>
        <item x="73"/>
        <item x="1761"/>
        <item x="912"/>
        <item x="1600"/>
        <item x="570"/>
        <item x="855"/>
        <item x="715"/>
        <item x="1224"/>
        <item x="38"/>
        <item x="361"/>
        <item x="1215"/>
        <item x="1906"/>
        <item x="638"/>
        <item x="1778"/>
        <item x="30"/>
        <item x="128"/>
        <item x="1498"/>
        <item x="339"/>
        <item x="645"/>
        <item x="533"/>
        <item x="323"/>
        <item x="1429"/>
        <item x="461"/>
        <item x="1640"/>
        <item x="618"/>
        <item x="765"/>
        <item x="512"/>
        <item x="1375"/>
        <item x="1416"/>
        <item x="1426"/>
        <item x="1405"/>
        <item x="1578"/>
        <item x="1323"/>
        <item x="571"/>
        <item x="1282"/>
        <item x="849"/>
        <item x="1870"/>
        <item x="936"/>
        <item x="338"/>
        <item x="733"/>
        <item x="48"/>
        <item x="1332"/>
        <item x="661"/>
        <item x="1432"/>
        <item x="214"/>
        <item x="127"/>
        <item x="1864"/>
        <item x="980"/>
        <item x="1420"/>
        <item x="528"/>
        <item x="101"/>
        <item x="563"/>
        <item x="1101"/>
        <item x="558"/>
        <item x="1348"/>
        <item x="1012"/>
        <item x="348"/>
        <item x="832"/>
        <item x="21"/>
        <item x="1280"/>
        <item x="720"/>
        <item x="486"/>
        <item x="229"/>
        <item x="463"/>
        <item x="1517"/>
        <item x="1026"/>
        <item x="1362"/>
        <item x="409"/>
        <item x="1579"/>
        <item x="1254"/>
        <item x="947"/>
        <item x="97"/>
        <item x="247"/>
        <item x="1384"/>
        <item x="1047"/>
        <item x="761"/>
        <item x="770"/>
        <item x="1336"/>
        <item x="1793"/>
        <item x="1413"/>
        <item x="411"/>
        <item x="1934"/>
        <item x="748"/>
        <item x="1754"/>
        <item x="536"/>
        <item x="1938"/>
        <item x="340"/>
        <item x="456"/>
        <item x="1524"/>
        <item x="1513"/>
        <item x="325"/>
        <item x="1931"/>
        <item x="982"/>
        <item x="693"/>
        <item x="1391"/>
        <item x="1023"/>
        <item x="590"/>
        <item x="535"/>
        <item x="1709"/>
        <item x="484"/>
        <item x="639"/>
        <item x="863"/>
        <item x="462"/>
        <item x="1823"/>
        <item x="1772"/>
        <item x="1594"/>
        <item x="1672"/>
        <item x="887"/>
        <item x="1367"/>
        <item x="1637"/>
        <item x="1622"/>
        <item x="1448"/>
        <item x="1867"/>
        <item x="728"/>
        <item x="876"/>
        <item x="89"/>
        <item x="955"/>
        <item x="349"/>
        <item x="1631"/>
        <item x="1663"/>
        <item x="1263"/>
        <item x="964"/>
        <item x="399"/>
        <item x="702"/>
        <item x="1083"/>
        <item x="708"/>
        <item x="1278"/>
        <item x="672"/>
        <item x="838"/>
        <item x="1683"/>
        <item x="1037"/>
        <item x="1347"/>
        <item x="420"/>
        <item x="526"/>
        <item x="1583"/>
        <item x="200"/>
        <item x="1125"/>
        <item x="28"/>
        <item x="974"/>
        <item x="203"/>
        <item x="1164"/>
        <item x="1078"/>
        <item x="956"/>
        <item x="1770"/>
        <item x="783"/>
        <item x="346"/>
        <item x="1305"/>
        <item x="1054"/>
        <item x="1835"/>
        <item x="1222"/>
        <item x="1923"/>
        <item x="1536"/>
        <item x="1843"/>
        <item x="1645"/>
        <item x="1912"/>
        <item x="179"/>
        <item x="1084"/>
        <item x="992"/>
        <item x="1381"/>
        <item x="1200"/>
        <item x="274"/>
        <item x="438"/>
        <item x="1442"/>
        <item x="583"/>
        <item x="1094"/>
        <item x="1403"/>
        <item x="1670"/>
        <item x="1977"/>
        <item x="649"/>
        <item x="1108"/>
        <item x="1261"/>
        <item x="292"/>
        <item x="1969"/>
        <item x="1750"/>
        <item x="1105"/>
        <item x="673"/>
        <item x="1485"/>
        <item x="87"/>
        <item x="13"/>
        <item x="1762"/>
        <item x="1195"/>
        <item x="654"/>
        <item x="1267"/>
        <item x="1126"/>
        <item x="1104"/>
        <item x="435"/>
        <item x="297"/>
        <item x="588"/>
        <item x="934"/>
        <item x="1581"/>
        <item x="939"/>
        <item x="730"/>
        <item x="1729"/>
        <item x="448"/>
        <item x="1422"/>
        <item x="419"/>
        <item x="967"/>
        <item x="1427"/>
        <item x="1127"/>
        <item x="1491"/>
        <item x="589"/>
        <item x="1632"/>
        <item x="1516"/>
        <item t="default"/>
      </items>
    </pivotField>
    <pivotField showAll="0"/>
    <pivotField numFmtId="16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0"/>
        <item x="1"/>
        <item t="default"/>
      </items>
    </pivotField>
    <pivotField showAll="0">
      <items count="4">
        <item x="2"/>
        <item x="0"/>
        <item x="1"/>
        <item t="default"/>
      </items>
    </pivotField>
    <pivotField showAll="0">
      <items count="7">
        <item h="1" sd="0" x="0"/>
        <item h="1" sd="0" x="1"/>
        <item h="1" sd="0" x="2"/>
        <item h="1" sd="0" x="3"/>
        <item sd="0" x="4"/>
        <item h="1" sd="0" x="5"/>
        <item t="default"/>
      </items>
    </pivotField>
    <pivotField axis="axisRow" showAll="0">
      <items count="9">
        <item sd="0" x="0"/>
        <item sd="0" x="1"/>
        <item sd="0" x="2"/>
        <item sd="0" x="3"/>
        <item sd="0" x="4"/>
        <item sd="0" x="5"/>
        <item sd="0" x="6"/>
        <item sd="0" x="7"/>
        <item t="default"/>
      </items>
    </pivotField>
  </pivotFields>
  <rowFields count="1">
    <field x="27"/>
  </rowFields>
  <rowItems count="6">
    <i>
      <x v="1"/>
    </i>
    <i>
      <x v="2"/>
    </i>
    <i>
      <x v="3"/>
    </i>
    <i>
      <x v="4"/>
    </i>
    <i>
      <x v="5"/>
    </i>
    <i>
      <x v="6"/>
    </i>
  </rowItems>
  <colItems count="1">
    <i/>
  </colItems>
  <dataFields count="1">
    <dataField name="Cummulative yearwise Loan Amount " fld="19" showDataAs="runTotal" baseField="27" baseItem="0" numFmtId="165"/>
  </dataFields>
  <formats count="6">
    <format dxfId="66">
      <pivotArea outline="0" collapsedLevelsAreSubtotals="1" fieldPosition="0"/>
    </format>
    <format dxfId="65">
      <pivotArea type="all" dataOnly="0" outline="0" fieldPosition="0"/>
    </format>
    <format dxfId="64">
      <pivotArea outline="0" collapsedLevelsAreSubtotals="1" fieldPosition="0"/>
    </format>
    <format dxfId="63">
      <pivotArea field="27" type="button" dataOnly="0" labelOnly="1" outline="0" axis="axisRow" fieldPosition="0"/>
    </format>
    <format dxfId="62">
      <pivotArea dataOnly="0" labelOnly="1" fieldPosition="0">
        <references count="1">
          <reference field="27" count="6">
            <x v="1"/>
            <x v="2"/>
            <x v="3"/>
            <x v="4"/>
            <x v="5"/>
            <x v="6"/>
          </reference>
        </references>
      </pivotArea>
    </format>
    <format dxfId="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74B8AC-9B0A-468B-BCCD-C72000E7EE57}" name="PivotTable3" cacheId="0" applyNumberFormats="0" applyBorderFormats="0" applyFontFormats="0" applyPatternFormats="0" applyAlignmentFormats="0" applyWidthHeightFormats="1" dataCaption="Values" updatedVersion="7" minRefreshableVersion="3" asteriskTotals="1" useAutoFormatting="1" itemPrintTitles="1" createdVersion="7" indent="0" outline="1" outlineData="1" multipleFieldFilters="0">
  <location ref="I11:I12" firstHeaderRow="1" firstDataRow="1" firstDataCol="0"/>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dataField="1" showAll="0"/>
    <pivotField numFmtId="165" showAll="0"/>
    <pivotField showAll="0"/>
    <pivotField numFmtId="164" showAll="0">
      <items count="15">
        <item x="0"/>
        <item x="1"/>
        <item x="2"/>
        <item x="3"/>
        <item x="4"/>
        <item x="5"/>
        <item x="6"/>
        <item x="7"/>
        <item x="8"/>
        <item x="9"/>
        <item x="10"/>
        <item x="11"/>
        <item x="12"/>
        <item x="13"/>
        <item t="default"/>
      </items>
    </pivotField>
    <pivotField showAll="0"/>
    <pivotField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Items count="1">
    <i/>
  </rowItems>
  <colItems count="1">
    <i/>
  </colItems>
  <dataFields count="1">
    <dataField name="Sum of Total_Loan_Amount" fld="19" baseField="0" baseItem="0"/>
  </dataFields>
  <formats count="3">
    <format dxfId="69">
      <pivotArea type="all" dataOnly="0" outline="0" fieldPosition="0"/>
    </format>
    <format dxfId="68">
      <pivotArea outline="0" collapsedLevelsAreSubtotals="1" fieldPosition="0"/>
    </format>
    <format dxfId="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C8962B-7425-4F26-9253-42E2900EED04}" name="PivotTable2" cacheId="0" applyNumberFormats="0" applyBorderFormats="0" applyFontFormats="0" applyPatternFormats="0" applyAlignmentFormats="0" applyWidthHeightFormats="1" dataCaption="Values" updatedVersion="7" minRefreshableVersion="3" asteriskTotals="1" useAutoFormatting="1" itemPrintTitles="1" createdVersion="7" indent="0" outline="1" outlineData="1" multipleFieldFilters="0">
  <location ref="H11:H12" firstHeaderRow="1" firstDataRow="1" firstDataCol="0"/>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dataField="1" showAll="0"/>
    <pivotField showAll="0"/>
    <pivotField numFmtId="165" showAll="0"/>
    <pivotField showAll="0"/>
    <pivotField numFmtId="164" showAll="0">
      <items count="15">
        <item x="0"/>
        <item x="1"/>
        <item x="2"/>
        <item x="3"/>
        <item x="4"/>
        <item x="5"/>
        <item x="6"/>
        <item x="7"/>
        <item x="8"/>
        <item x="9"/>
        <item x="10"/>
        <item x="11"/>
        <item x="12"/>
        <item x="13"/>
        <item t="default"/>
      </items>
    </pivotField>
    <pivotField showAll="0"/>
    <pivotField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Items count="1">
    <i/>
  </rowItems>
  <colItems count="1">
    <i/>
  </colItems>
  <dataFields count="1">
    <dataField name="Total Count" fld="18" subtotal="count" baseField="0" baseItem="59965440"/>
  </dataFields>
  <formats count="3">
    <format dxfId="72">
      <pivotArea type="all" dataOnly="0" outline="0" fieldPosition="0"/>
    </format>
    <format dxfId="71">
      <pivotArea outline="0" collapsedLevelsAreSubtotals="1" fieldPosition="0"/>
    </format>
    <format dxfId="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AB946F8-BFA1-428D-A75A-8A8B05AF6C0A}" name="PivotTable6" cacheId="0" applyNumberFormats="0" applyBorderFormats="0" applyFontFormats="0" applyPatternFormats="0" applyAlignmentFormats="0" applyWidthHeightFormats="1" dataCaption="Values" updatedVersion="7" minRefreshableVersion="3" asteriskTotals="1" useAutoFormatting="1" itemPrintTitles="1" createdVersion="7" indent="0" outline="1" outlineData="1" multipleFieldFilters="0">
  <location ref="K11:K12" firstHeaderRow="1" firstDataRow="1" firstDataCol="0"/>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dataField="1" numFmtId="165" showAll="0"/>
    <pivotField showAll="0"/>
    <pivotField numFmtId="165" showAll="0"/>
    <pivotField showAll="0"/>
    <pivotField numFmtId="10" showAll="0"/>
    <pivotField showAll="0">
      <items count="7">
        <item x="3"/>
        <item x="4"/>
        <item x="0"/>
        <item x="1"/>
        <item x="2"/>
        <item x="5"/>
        <item t="default"/>
      </items>
    </pivotField>
    <pivotField showAll="0"/>
    <pivotField showAll="0"/>
    <pivotField showAll="0"/>
    <pivotField showAll="0"/>
    <pivotField showAll="0"/>
    <pivotField showAll="0"/>
    <pivotField showAll="0"/>
    <pivotField numFmtId="165" showAll="0"/>
    <pivotField showAll="0"/>
    <pivotField numFmtId="164" showAll="0">
      <items count="15">
        <item x="0"/>
        <item x="1"/>
        <item x="2"/>
        <item x="3"/>
        <item x="4"/>
        <item x="5"/>
        <item x="6"/>
        <item x="7"/>
        <item x="8"/>
        <item x="9"/>
        <item x="10"/>
        <item x="11"/>
        <item x="12"/>
        <item x="13"/>
        <item t="default"/>
      </items>
    </pivotField>
    <pivotField showAll="0"/>
    <pivotField showAll="0">
      <items count="3">
        <item x="0"/>
        <item x="1"/>
        <item t="default"/>
      </items>
    </pivotField>
    <pivotField showAll="0">
      <items count="4">
        <item x="2"/>
        <item x="0"/>
        <item x="1"/>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Items count="1">
    <i/>
  </rowItems>
  <colItems count="1">
    <i/>
  </colItems>
  <dataFields count="1">
    <dataField name="Average Annual_Income" fld="7" subtotal="average" baseField="0" baseItem="59965440"/>
  </dataFields>
  <formats count="4">
    <format dxfId="76">
      <pivotArea outline="0" collapsedLevelsAreSubtotals="1" fieldPosition="0"/>
    </format>
    <format dxfId="75">
      <pivotArea type="all" dataOnly="0" outline="0" fieldPosition="0"/>
    </format>
    <format dxfId="74">
      <pivotArea outline="0" collapsedLevelsAreSubtotals="1" fieldPosition="0"/>
    </format>
    <format dxfId="7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92812D-ECB7-4520-970B-85653F897916}" name="PivotTable16" cacheId="0" applyNumberFormats="0" applyBorderFormats="0" applyFontFormats="0" applyPatternFormats="0" applyAlignmentFormats="0" applyWidthHeightFormats="1" dataCaption="Values" updatedVersion="7" minRefreshableVersion="3" asteriskTotals="1" useAutoFormatting="1" rowGrandTotals="0" colGrandTotals="0" itemPrintTitles="1" createdVersion="7" indent="0" outline="1" outlineData="1" multipleFieldFilters="0" chartFormat="1">
  <location ref="H42:K49" firstHeaderRow="1" firstDataRow="2" firstDataCol="1"/>
  <pivotFields count="28">
    <pivotField showAll="0"/>
    <pivotField showAll="0"/>
    <pivotField showAll="0">
      <items count="45">
        <item x="42"/>
        <item x="32"/>
        <item x="10"/>
        <item x="9"/>
        <item x="5"/>
        <item x="11"/>
        <item x="19"/>
        <item x="4"/>
        <item x="26"/>
        <item x="41"/>
        <item x="3"/>
        <item x="0"/>
        <item x="12"/>
        <item x="1"/>
        <item x="15"/>
        <item x="30"/>
        <item x="2"/>
        <item x="24"/>
        <item x="38"/>
        <item x="21"/>
        <item x="28"/>
        <item x="43"/>
        <item x="20"/>
        <item x="31"/>
        <item x="40"/>
        <item x="27"/>
        <item x="23"/>
        <item x="36"/>
        <item x="8"/>
        <item x="33"/>
        <item x="25"/>
        <item x="37"/>
        <item x="6"/>
        <item x="17"/>
        <item x="13"/>
        <item x="18"/>
        <item x="29"/>
        <item x="35"/>
        <item x="34"/>
        <item x="7"/>
        <item x="14"/>
        <item x="22"/>
        <item x="39"/>
        <item x="16"/>
        <item t="default"/>
      </items>
    </pivotField>
    <pivotField showAll="0">
      <items count="3">
        <item x="0"/>
        <item x="1"/>
        <item t="default"/>
      </items>
    </pivotField>
    <pivotField showAll="0"/>
    <pivotField showAll="0"/>
    <pivotField showAll="0"/>
    <pivotField numFmtId="165" showAll="0"/>
    <pivotField showAll="0"/>
    <pivotField numFmtId="165" showAll="0"/>
    <pivotField showAll="0"/>
    <pivotField numFmtId="10" showAll="0"/>
    <pivotField axis="axisRow" dataField="1" showAll="0">
      <items count="7">
        <item x="3"/>
        <item x="4"/>
        <item x="0"/>
        <item x="1"/>
        <item x="2"/>
        <item x="5"/>
        <item t="default"/>
      </items>
    </pivotField>
    <pivotField showAll="0"/>
    <pivotField showAll="0"/>
    <pivotField showAll="0"/>
    <pivotField showAll="0"/>
    <pivotField showAll="0"/>
    <pivotField showAll="0"/>
    <pivotField showAll="0"/>
    <pivotField numFmtId="165" showAll="0"/>
    <pivotField showAll="0">
      <items count="92">
        <item x="57"/>
        <item x="6"/>
        <item x="27"/>
        <item x="19"/>
        <item x="86"/>
        <item x="52"/>
        <item x="17"/>
        <item x="85"/>
        <item x="63"/>
        <item x="35"/>
        <item x="64"/>
        <item x="81"/>
        <item x="18"/>
        <item x="1"/>
        <item x="44"/>
        <item x="61"/>
        <item x="0"/>
        <item x="89"/>
        <item x="58"/>
        <item x="54"/>
        <item x="42"/>
        <item x="5"/>
        <item x="53"/>
        <item x="74"/>
        <item x="26"/>
        <item x="20"/>
        <item x="16"/>
        <item x="8"/>
        <item x="59"/>
        <item x="10"/>
        <item x="31"/>
        <item x="88"/>
        <item x="75"/>
        <item x="49"/>
        <item x="33"/>
        <item x="38"/>
        <item x="83"/>
        <item x="32"/>
        <item x="11"/>
        <item x="67"/>
        <item x="4"/>
        <item x="90"/>
        <item x="60"/>
        <item x="73"/>
        <item x="28"/>
        <item x="69"/>
        <item x="72"/>
        <item x="68"/>
        <item x="2"/>
        <item x="12"/>
        <item x="47"/>
        <item x="25"/>
        <item x="9"/>
        <item x="37"/>
        <item x="76"/>
        <item x="15"/>
        <item x="82"/>
        <item x="41"/>
        <item x="50"/>
        <item x="78"/>
        <item x="29"/>
        <item x="13"/>
        <item x="39"/>
        <item x="48"/>
        <item x="56"/>
        <item x="62"/>
        <item x="23"/>
        <item x="46"/>
        <item x="14"/>
        <item x="66"/>
        <item x="71"/>
        <item x="77"/>
        <item x="84"/>
        <item x="87"/>
        <item x="24"/>
        <item x="65"/>
        <item x="36"/>
        <item x="45"/>
        <item x="79"/>
        <item x="43"/>
        <item x="55"/>
        <item x="40"/>
        <item x="51"/>
        <item x="30"/>
        <item x="34"/>
        <item x="7"/>
        <item x="22"/>
        <item x="3"/>
        <item x="21"/>
        <item x="70"/>
        <item x="80"/>
        <item t="default"/>
      </items>
    </pivotField>
    <pivotField numFmtId="16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0"/>
        <item x="1"/>
        <item t="default"/>
      </items>
    </pivotField>
    <pivotField axis="axisCol" showAll="0" sortType="descending">
      <items count="4">
        <item x="1"/>
        <item x="0"/>
        <item x="2"/>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12"/>
  </rowFields>
  <rowItems count="6">
    <i>
      <x/>
    </i>
    <i>
      <x v="1"/>
    </i>
    <i>
      <x v="2"/>
    </i>
    <i>
      <x v="3"/>
    </i>
    <i>
      <x v="4"/>
    </i>
    <i>
      <x v="5"/>
    </i>
  </rowItems>
  <colFields count="1">
    <field x="25"/>
  </colFields>
  <colItems count="3">
    <i>
      <x/>
    </i>
    <i>
      <x v="1"/>
    </i>
    <i>
      <x v="2"/>
    </i>
  </colItems>
  <dataFields count="1">
    <dataField name="Count of Loan_Purpose" fld="12" subtotal="count" baseField="0" baseItem="0"/>
  </dataFields>
  <formats count="8">
    <format dxfId="84">
      <pivotArea type="all" dataOnly="0" outline="0" fieldPosition="0"/>
    </format>
    <format dxfId="83">
      <pivotArea outline="0" collapsedLevelsAreSubtotals="1" fieldPosition="0"/>
    </format>
    <format dxfId="82">
      <pivotArea type="origin" dataOnly="0" labelOnly="1" outline="0" fieldPosition="0"/>
    </format>
    <format dxfId="81">
      <pivotArea field="25" type="button" dataOnly="0" labelOnly="1" outline="0" axis="axisCol" fieldPosition="0"/>
    </format>
    <format dxfId="80">
      <pivotArea type="topRight" dataOnly="0" labelOnly="1" outline="0" fieldPosition="0"/>
    </format>
    <format dxfId="79">
      <pivotArea field="12" type="button" dataOnly="0" labelOnly="1" outline="0" axis="axisRow" fieldPosition="0"/>
    </format>
    <format dxfId="78">
      <pivotArea dataOnly="0" labelOnly="1" fieldPosition="0">
        <references count="1">
          <reference field="12" count="0"/>
        </references>
      </pivotArea>
    </format>
    <format dxfId="77">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fault_Status" xr10:uid="{0CA77057-FC0C-4D9F-9C84-A1C33B5F8DAB}" sourceName="Default_Status">
  <pivotTables>
    <pivotTable tabId="7" name="PivotTable7"/>
    <pivotTable tabId="7" name="PivotTable16"/>
    <pivotTable tabId="7" name="PivotTable18"/>
    <pivotTable tabId="7" name="PivotTable19"/>
    <pivotTable tabId="7" name="PivotTable2"/>
    <pivotTable tabId="7" name="PivotTable21"/>
    <pivotTable tabId="7" name="PivotTable24"/>
    <pivotTable tabId="7" name="PivotTable3"/>
    <pivotTable tabId="7" name="PivotTable5"/>
    <pivotTable tabId="7" name="PivotTable6"/>
  </pivotTables>
  <data>
    <tabular pivotCacheId="60781908">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0834638-B1E5-4DC0-91B8-1020B31A67B5}" sourceName="Gender">
  <pivotTables>
    <pivotTable tabId="7" name="PivotTable7"/>
    <pivotTable tabId="7" name="PivotTable16"/>
    <pivotTable tabId="7" name="PivotTable18"/>
    <pivotTable tabId="7" name="PivotTable19"/>
    <pivotTable tabId="7" name="PivotTable2"/>
    <pivotTable tabId="7" name="PivotTable21"/>
    <pivotTable tabId="7" name="PivotTable24"/>
    <pivotTable tabId="7" name="PivotTable3"/>
    <pivotTable tabId="7" name="PivotTable5"/>
    <pivotTable tabId="7" name="PivotTable6"/>
  </pivotTables>
  <data>
    <tabular pivotCacheId="60781908">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category" xr10:uid="{AF8593B3-CCA3-41EF-A520-C7FA074A63B1}" sourceName="Risk_category">
  <pivotTables>
    <pivotTable tabId="7" name="PivotTable7"/>
    <pivotTable tabId="7" name="PivotTable16"/>
    <pivotTable tabId="7" name="PivotTable18"/>
    <pivotTable tabId="7" name="PivotTable19"/>
    <pivotTable tabId="7" name="PivotTable2"/>
    <pivotTable tabId="7" name="PivotTable21"/>
    <pivotTable tabId="7" name="PivotTable24"/>
    <pivotTable tabId="7" name="PivotTable3"/>
    <pivotTable tabId="7" name="PivotTable5"/>
    <pivotTable tabId="7" name="PivotTable6"/>
  </pivotTables>
  <data>
    <tabular pivotCacheId="60781908">
      <items count="3">
        <i x="2" s="1"/>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Purpose" xr10:uid="{C8101217-DA2F-48C9-869C-EA9D417B3AE2}" sourceName="Loan_Purpose">
  <pivotTables>
    <pivotTable tabId="7" name="PivotTable7"/>
    <pivotTable tabId="7" name="PivotTable16"/>
    <pivotTable tabId="7" name="PivotTable18"/>
    <pivotTable tabId="7" name="PivotTable19"/>
    <pivotTable tabId="7" name="PivotTable2"/>
    <pivotTable tabId="7" name="PivotTable21"/>
    <pivotTable tabId="7" name="PivotTable24"/>
    <pivotTable tabId="7" name="PivotTable3"/>
    <pivotTable tabId="7" name="PivotTable5"/>
    <pivotTable tabId="7" name="PivotTable6"/>
  </pivotTables>
  <data>
    <tabular pivotCacheId="60781908">
      <items count="6">
        <i x="3" s="1"/>
        <i x="4" s="1"/>
        <i x="0" s="1"/>
        <i x="1" s="1"/>
        <i x="2" s="1"/>
        <i x="5"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6F76BF54-A162-41D2-8EF6-6E182297AFB7}" sourceName="Years">
  <pivotTables>
    <pivotTable tabId="7" name="PivotTable21"/>
    <pivotTable tabId="7" name="PivotTable16"/>
    <pivotTable tabId="7" name="PivotTable18"/>
    <pivotTable tabId="7" name="PivotTable19"/>
    <pivotTable tabId="7" name="PivotTable24"/>
    <pivotTable tabId="7" name="PivotTable3"/>
    <pivotTable tabId="7" name="PivotTable5"/>
    <pivotTable tabId="7" name="PivotTable6"/>
    <pivotTable tabId="7" name="PivotTable7"/>
    <pivotTable tabId="7" name="PivotTable2"/>
  </pivotTables>
  <data>
    <tabular pivotCacheId="60781908">
      <items count="8">
        <i x="1" s="1"/>
        <i x="2" s="1"/>
        <i x="3" s="1"/>
        <i x="4" s="1"/>
        <i x="5" s="1"/>
        <i x="6" s="1"/>
        <i x="0" s="1" nd="1"/>
        <i x="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fault_Status" xr10:uid="{475E1BF3-DBE7-4215-8010-679D22A7ADCB}" cache="Slicer_Default_Status" caption="Default_Status" style="SlicerStyleLight1" rowHeight="234950"/>
  <slicer name="Gender" xr10:uid="{61CBA8F7-BF14-468D-ADC3-97A64D27D571}" cache="Slicer_Gender" caption="Gender" style="SlicerStyleLight1" rowHeight="234950"/>
  <slicer name="Risk_category" xr10:uid="{EB8DF9D4-69C4-4FBE-B6C4-0463E8D790E4}" cache="Slicer_Risk_category" caption="Risk_category" style="SlicerStyleLight1" rowHeight="234950"/>
  <slicer name="Loan_Purpose" xr10:uid="{58FA1BFD-D40B-4B1A-A822-CF06826837BF}" cache="Slicer_Loan_Purpose" caption="Loan_Purpose" style="SlicerStyleLight1" rowHeight="234950"/>
  <slicer name="Years" xr10:uid="{FE18A30C-622C-446F-8D01-2B38A9AB472C}" cache="Slicer_Years" caption="Years"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fault_Status 2" xr10:uid="{40AFAD09-B490-4220-9904-0F12771089F0}" cache="Slicer_Default_Status" caption="Default_Status" columnCount="2" showCaption="0" rowHeight="234950"/>
  <slicer name="Gender 1" xr10:uid="{5E46A9C2-574F-4CEB-B8E8-25EA0BFA320B}" cache="Slicer_Gender" caption="Gender" columnCount="2" showCaption="0" rowHeight="234950"/>
  <slicer name="Risk_category 1" xr10:uid="{D1DAE892-28A4-4FFD-A648-1042F45EEFF6}" cache="Slicer_Risk_category" caption="Risk_category" showCaption="0" rowHeight="234950"/>
  <slicer name="Loan_Purpose 1" xr10:uid="{15FA26A8-C852-4366-AE7A-2FCECA300E76}" cache="Slicer_Loan_Purpose" caption="Loan_Purpose" columnCount="2" showCaption="0" rowHeight="234950"/>
  <slicer name="Years 1" xr10:uid="{1324E7EF-9726-4271-8913-443E4F0EA92B}" cache="Slicer_Years" caption="Years" columnCount="6"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957E8D-CFE4-49AB-84C0-B9BEDB5A2767}" name="Table1" displayName="Table1" ref="C7:AB2007" totalsRowShown="0" headerRowDxfId="29" headerRowBorderDxfId="28" tableBorderDxfId="27" totalsRowBorderDxfId="26">
  <autoFilter ref="C7:AB2007" xr:uid="{A9957E8D-CFE4-49AB-84C0-B9BEDB5A2767}"/>
  <tableColumns count="26">
    <tableColumn id="1" xr3:uid="{0DCF1AB3-18D2-43DC-B76C-7E87CA12ED8A}" name="Customer_ID" dataDxfId="25"/>
    <tableColumn id="2" xr3:uid="{2EDBC2D5-BC22-4ED1-B113-04F0FCCB8B0E}" name="Name" dataDxfId="24"/>
    <tableColumn id="3" xr3:uid="{9FE9892F-6C54-48D2-B296-329D7AA078B6}" name="Age" dataDxfId="23"/>
    <tableColumn id="4" xr3:uid="{869CC972-44DE-4087-A8F4-A34FD6E07CDC}" name="Gender" dataDxfId="22"/>
    <tableColumn id="5" xr3:uid="{B2B83ACC-8EA2-49FD-A98F-29283D00176E}" name="Marital_Status" dataDxfId="21"/>
    <tableColumn id="6" xr3:uid="{372FB1F1-37BC-41A3-B756-A6851DE88628}" name="Education" dataDxfId="20"/>
    <tableColumn id="7" xr3:uid="{671AA28E-3E9F-4890-B3F8-4DA13AED3D35}" name="Employment_Status" dataDxfId="19"/>
    <tableColumn id="8" xr3:uid="{5B86F499-E250-411A-9AB3-7AA0CAEB50FC}" name="Annual_Income" dataDxfId="18"/>
    <tableColumn id="9" xr3:uid="{9ADD63EA-DF72-4032-B135-A81D75C4C322}" name="Credit_Score" dataDxfId="17"/>
    <tableColumn id="10" xr3:uid="{CFB49AA5-78B6-49FE-ADCB-C647573C0EED}" name="Loan_Amount" dataDxfId="16"/>
    <tableColumn id="11" xr3:uid="{D1DA586B-8A48-4E4F-8522-374B47F2F12A}" name="Loan_Term_Months" dataDxfId="15"/>
    <tableColumn id="12" xr3:uid="{3328312E-D1AF-4865-A9DA-113B171C3C45}" name="Interest_Rate" dataDxfId="14" dataCellStyle="Percent"/>
    <tableColumn id="13" xr3:uid="{4CE8C54D-2A97-411F-BD0B-8647899A275D}" name="Loan_Purpose" dataDxfId="13"/>
    <tableColumn id="14" xr3:uid="{F7E44BD0-8A55-483A-8A3F-12EA4CD2B008}" name="Property_Ownership" dataDxfId="12"/>
    <tableColumn id="15" xr3:uid="{430C9701-A687-42E5-8FBB-1105B9B166AB}" name="Residence_Years" dataDxfId="11"/>
    <tableColumn id="16" xr3:uid="{0B8A40E0-4EA3-4003-8B4A-3B80EF4F0956}" name="Dependents" dataDxfId="10"/>
    <tableColumn id="17" xr3:uid="{1AFB589A-71E7-4A9D-9CE1-C362D3C15CA7}" name="Bank_Account" dataDxfId="9"/>
    <tableColumn id="18" xr3:uid="{FF0F869C-1974-49BF-92EC-9E70680573D4}" name="Credit_Card" dataDxfId="8"/>
    <tableColumn id="19" xr3:uid="{6C153B5D-D87A-49C6-9894-0C57457353A3}" name="Existing_Loans_Count" dataDxfId="7"/>
    <tableColumn id="20" xr3:uid="{BF795318-C2AF-495F-8E78-15CE11ECFE75}" name="Total_Loan_Amount" dataDxfId="6"/>
    <tableColumn id="21" xr3:uid="{3DC2EA0F-EDF7-4CC8-808E-1E777C89F0D9}" name="Monthly_Debt" dataDxfId="5"/>
    <tableColumn id="22" xr3:uid="{066D0015-24F9-4B3B-B319-6887C108B50F}" name="Debt_to_Income_Ratio" dataDxfId="4"/>
    <tableColumn id="23" xr3:uid="{A33C8A3D-17C3-4741-B012-5FF91C20AE3F}" name="Loan_Application_Date" dataDxfId="3"/>
    <tableColumn id="24" xr3:uid="{3AEA4A25-1089-4BE3-B4A9-CB4815AC8BEF}" name="Loan_Approval_Status" dataDxfId="2"/>
    <tableColumn id="25" xr3:uid="{6EF9E9EF-8748-4E65-911E-0B5ECA588953}" name="Default_Status" dataDxfId="1"/>
    <tableColumn id="26" xr3:uid="{C3022265-CBA7-413B-83E8-39E4BC7711C3}" name="Risk_category" dataDxfId="0">
      <calculatedColumnFormula array="1">_xlfn.IFS(K8&gt;650,"LOW",K8&gt;=550,"MEDIUM",K8&lt;550,"HIGH")</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3.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2F7ED-330B-4863-906A-DF09EE28DFB7}">
  <sheetPr codeName="Sheet5">
    <pageSetUpPr fitToPage="1"/>
  </sheetPr>
  <dimension ref="A1:J53"/>
  <sheetViews>
    <sheetView showGridLines="0" topLeftCell="A2" workbookViewId="0">
      <selection activeCell="J15" sqref="F15:J29"/>
    </sheetView>
  </sheetViews>
  <sheetFormatPr defaultRowHeight="14.4" x14ac:dyDescent="0.3"/>
  <cols>
    <col min="6" max="6" width="12.6640625" bestFit="1" customWidth="1"/>
    <col min="7" max="7" width="32.88671875" bestFit="1" customWidth="1"/>
    <col min="8" max="8" width="22.44140625" bestFit="1" customWidth="1"/>
    <col min="9" max="9" width="22" bestFit="1" customWidth="1"/>
    <col min="10" max="10" width="28.21875" bestFit="1" customWidth="1"/>
  </cols>
  <sheetData>
    <row r="1" spans="1:10" ht="15" thickBot="1" x14ac:dyDescent="0.35"/>
    <row r="2" spans="1:10" ht="14.4" customHeight="1" x14ac:dyDescent="0.3">
      <c r="A2" s="65" t="s">
        <v>4046</v>
      </c>
      <c r="B2" s="66"/>
      <c r="C2" s="66"/>
      <c r="D2" s="67"/>
    </row>
    <row r="3" spans="1:10" ht="14.4" customHeight="1" x14ac:dyDescent="0.3">
      <c r="A3" s="68"/>
      <c r="B3" s="69"/>
      <c r="C3" s="69"/>
      <c r="D3" s="70"/>
    </row>
    <row r="4" spans="1:10" ht="14.4" customHeight="1" x14ac:dyDescent="0.3">
      <c r="A4" s="68"/>
      <c r="B4" s="69"/>
      <c r="C4" s="69"/>
      <c r="D4" s="70"/>
    </row>
    <row r="5" spans="1:10" ht="14.4" customHeight="1" thickBot="1" x14ac:dyDescent="0.35">
      <c r="A5" s="71"/>
      <c r="B5" s="72"/>
      <c r="C5" s="72"/>
      <c r="D5" s="73"/>
      <c r="F5" s="62" t="str">
        <f>Pivot_Analysis!H15</f>
        <v>KPI</v>
      </c>
      <c r="G5" s="62"/>
      <c r="H5" s="62"/>
      <c r="I5" s="62"/>
      <c r="J5" s="62"/>
    </row>
    <row r="6" spans="1:10" x14ac:dyDescent="0.3">
      <c r="F6" s="58" t="str">
        <f>Pivot_Analysis!H11</f>
        <v>Total Count</v>
      </c>
      <c r="G6" s="58" t="str">
        <f>Pivot_Analysis!I11</f>
        <v>Sum of Total_Loan_Amount</v>
      </c>
      <c r="H6" s="58" t="str">
        <f>Pivot_Analysis!J11</f>
        <v>Average Credit_Score</v>
      </c>
      <c r="I6" s="58" t="str">
        <f>Pivot_Analysis!K11</f>
        <v>Average Annual_Income</v>
      </c>
      <c r="J6" s="58" t="str">
        <f>Pivot_Analysis!L11</f>
        <v>Average Debt_to_Income_Ratio</v>
      </c>
    </row>
    <row r="7" spans="1:10" x14ac:dyDescent="0.3">
      <c r="F7" s="59">
        <f>Pivot_Analysis!H12</f>
        <v>2000</v>
      </c>
      <c r="G7" s="60">
        <f>Pivot_Analysis!I12</f>
        <v>199472825</v>
      </c>
      <c r="H7" s="59">
        <f>Pivot_Analysis!J12</f>
        <v>575.67449999999997</v>
      </c>
      <c r="I7" s="60">
        <f>Pivot_Analysis!K12</f>
        <v>84959.494500000001</v>
      </c>
      <c r="J7" s="61">
        <f>Pivot_Analysis!L12</f>
        <v>0.55827500000000141</v>
      </c>
    </row>
    <row r="11" spans="1:10" x14ac:dyDescent="0.3">
      <c r="F11" s="63" t="str">
        <f>Pivot_Analysis!H31</f>
        <v>Default Ratio</v>
      </c>
      <c r="G11" s="64"/>
    </row>
    <row r="12" spans="1:10" x14ac:dyDescent="0.3">
      <c r="F12" s="10" t="str">
        <f>Pivot_Analysis!H32</f>
        <v>Row Labels</v>
      </c>
      <c r="G12" s="10" t="str">
        <f>Pivot_Analysis!I32</f>
        <v>Default</v>
      </c>
    </row>
    <row r="13" spans="1:10" x14ac:dyDescent="0.3">
      <c r="F13" s="1" t="str">
        <f>Pivot_Analysis!H33</f>
        <v>No</v>
      </c>
      <c r="G13" s="11">
        <f>Pivot_Analysis!I33</f>
        <v>1622</v>
      </c>
    </row>
    <row r="14" spans="1:10" x14ac:dyDescent="0.3">
      <c r="F14" s="1" t="str">
        <f>Pivot_Analysis!H34</f>
        <v>Yes</v>
      </c>
      <c r="G14" s="11">
        <f>Pivot_Analysis!I34</f>
        <v>378</v>
      </c>
    </row>
    <row r="18" spans="6:9" x14ac:dyDescent="0.3">
      <c r="F18" s="63" t="str">
        <f>Pivot_Analysis!H41</f>
        <v>Loan default count by Purpose and Risk Category</v>
      </c>
      <c r="G18" s="74"/>
      <c r="H18" s="74"/>
      <c r="I18" s="64"/>
    </row>
    <row r="19" spans="6:9" x14ac:dyDescent="0.3">
      <c r="F19" s="10" t="str">
        <f>Pivot_Analysis!H55</f>
        <v>Row Labels</v>
      </c>
      <c r="G19" s="10" t="str">
        <f>Pivot_Analysis!I55</f>
        <v>MEDIUM</v>
      </c>
      <c r="H19" s="10" t="str">
        <f>Pivot_Analysis!J55</f>
        <v>LOW</v>
      </c>
      <c r="I19" s="10" t="str">
        <f>Pivot_Analysis!K55</f>
        <v>HIGH</v>
      </c>
    </row>
    <row r="20" spans="6:9" x14ac:dyDescent="0.3">
      <c r="F20" s="1" t="str">
        <f>Pivot_Analysis!H56</f>
        <v>Business</v>
      </c>
      <c r="G20" s="1">
        <f>Pivot_Analysis!I56</f>
        <v>49</v>
      </c>
      <c r="H20" s="1">
        <f>Pivot_Analysis!J56</f>
        <v>123</v>
      </c>
      <c r="I20" s="1">
        <f>Pivot_Analysis!K56</f>
        <v>138</v>
      </c>
    </row>
    <row r="21" spans="6:9" x14ac:dyDescent="0.3">
      <c r="F21" s="1" t="str">
        <f>Pivot_Analysis!H57</f>
        <v>Car</v>
      </c>
      <c r="G21" s="1">
        <f>Pivot_Analysis!I57</f>
        <v>67</v>
      </c>
      <c r="H21" s="1">
        <f>Pivot_Analysis!J57</f>
        <v>127</v>
      </c>
      <c r="I21" s="1">
        <f>Pivot_Analysis!K57</f>
        <v>159</v>
      </c>
    </row>
    <row r="22" spans="6:9" x14ac:dyDescent="0.3">
      <c r="F22" s="1" t="str">
        <f>Pivot_Analysis!H58</f>
        <v>Education</v>
      </c>
      <c r="G22" s="1">
        <f>Pivot_Analysis!I58</f>
        <v>65</v>
      </c>
      <c r="H22" s="1">
        <f>Pivot_Analysis!J58</f>
        <v>135</v>
      </c>
      <c r="I22" s="1">
        <f>Pivot_Analysis!K58</f>
        <v>145</v>
      </c>
    </row>
    <row r="23" spans="6:9" x14ac:dyDescent="0.3">
      <c r="F23" s="1" t="str">
        <f>Pivot_Analysis!H59</f>
        <v>Home</v>
      </c>
      <c r="G23" s="1">
        <f>Pivot_Analysis!I59</f>
        <v>68</v>
      </c>
      <c r="H23" s="1">
        <f>Pivot_Analysis!J59</f>
        <v>114</v>
      </c>
      <c r="I23" s="1">
        <f>Pivot_Analysis!K59</f>
        <v>148</v>
      </c>
    </row>
    <row r="24" spans="6:9" x14ac:dyDescent="0.3">
      <c r="F24" s="1" t="str">
        <f>Pivot_Analysis!H60</f>
        <v>Medical</v>
      </c>
      <c r="G24" s="1">
        <f>Pivot_Analysis!I60</f>
        <v>56</v>
      </c>
      <c r="H24" s="1">
        <f>Pivot_Analysis!J60</f>
        <v>117</v>
      </c>
      <c r="I24" s="1">
        <f>Pivot_Analysis!K60</f>
        <v>155</v>
      </c>
    </row>
    <row r="25" spans="6:9" x14ac:dyDescent="0.3">
      <c r="F25" s="1" t="str">
        <f>Pivot_Analysis!H61</f>
        <v>Personal</v>
      </c>
      <c r="G25" s="1">
        <f>Pivot_Analysis!I61</f>
        <v>68</v>
      </c>
      <c r="H25" s="1">
        <f>Pivot_Analysis!J61</f>
        <v>111</v>
      </c>
      <c r="I25" s="1">
        <f>Pivot_Analysis!K61</f>
        <v>155</v>
      </c>
    </row>
    <row r="29" spans="6:9" x14ac:dyDescent="0.3">
      <c r="F29" s="62" t="str">
        <f>Pivot_Analysis!H81</f>
        <v>LOAN PORTFOLIO GROWTH</v>
      </c>
      <c r="G29" s="62"/>
    </row>
    <row r="30" spans="6:9" x14ac:dyDescent="0.3">
      <c r="F30" s="10" t="str">
        <f>Pivot_Analysis!H82</f>
        <v>Row Labels</v>
      </c>
      <c r="G30" s="10" t="str">
        <f>Pivot_Analysis!I82</f>
        <v xml:space="preserve">Cummulative yearwise Loan Amount </v>
      </c>
    </row>
    <row r="31" spans="6:9" x14ac:dyDescent="0.3">
      <c r="F31" s="1" t="str">
        <f>Pivot_Analysis!H83</f>
        <v>2020</v>
      </c>
      <c r="G31" s="7">
        <f>Pivot_Analysis!I83</f>
        <v>16776584</v>
      </c>
    </row>
    <row r="32" spans="6:9" x14ac:dyDescent="0.3">
      <c r="F32" s="1" t="str">
        <f>Pivot_Analysis!H84</f>
        <v>2021</v>
      </c>
      <c r="G32" s="7">
        <f>Pivot_Analysis!I84</f>
        <v>58667520</v>
      </c>
    </row>
    <row r="33" spans="6:8" x14ac:dyDescent="0.3">
      <c r="F33" s="1" t="str">
        <f>Pivot_Analysis!H85</f>
        <v>2022</v>
      </c>
      <c r="G33" s="7">
        <f>Pivot_Analysis!I85</f>
        <v>98065037</v>
      </c>
    </row>
    <row r="34" spans="6:8" x14ac:dyDescent="0.3">
      <c r="F34" s="1" t="str">
        <f>Pivot_Analysis!H86</f>
        <v>2023</v>
      </c>
      <c r="G34" s="7">
        <f>Pivot_Analysis!I86</f>
        <v>138910830</v>
      </c>
    </row>
    <row r="35" spans="6:8" x14ac:dyDescent="0.3">
      <c r="F35" s="1" t="str">
        <f>Pivot_Analysis!H87</f>
        <v>2024</v>
      </c>
      <c r="G35" s="7">
        <f>Pivot_Analysis!I87</f>
        <v>178524259</v>
      </c>
    </row>
    <row r="36" spans="6:8" x14ac:dyDescent="0.3">
      <c r="F36" s="1" t="str">
        <f>Pivot_Analysis!H88</f>
        <v>2025</v>
      </c>
      <c r="G36" s="7">
        <f>Pivot_Analysis!I88</f>
        <v>199472825</v>
      </c>
    </row>
    <row r="40" spans="6:8" x14ac:dyDescent="0.3">
      <c r="F40" s="62" t="str">
        <f>Pivot_Analysis!H106</f>
        <v>Risk category wise loan defaults</v>
      </c>
      <c r="G40" s="62"/>
    </row>
    <row r="41" spans="6:8" x14ac:dyDescent="0.3">
      <c r="F41" s="10" t="str">
        <f>Pivot_Analysis!H107</f>
        <v>Row Labels</v>
      </c>
      <c r="G41" s="10" t="str">
        <f>Pivot_Analysis!I107</f>
        <v>Count of Default_Status</v>
      </c>
    </row>
    <row r="42" spans="6:8" x14ac:dyDescent="0.3">
      <c r="F42" s="1" t="str">
        <f>Pivot_Analysis!H108</f>
        <v>HIGH</v>
      </c>
      <c r="G42" s="6">
        <f>Pivot_Analysis!I108</f>
        <v>0.45</v>
      </c>
    </row>
    <row r="43" spans="6:8" x14ac:dyDescent="0.3">
      <c r="F43" s="1" t="str">
        <f>Pivot_Analysis!H109</f>
        <v>LOW</v>
      </c>
      <c r="G43" s="6">
        <f>Pivot_Analysis!I109</f>
        <v>0.36349999999999999</v>
      </c>
    </row>
    <row r="44" spans="6:8" x14ac:dyDescent="0.3">
      <c r="F44" s="1" t="str">
        <f>Pivot_Analysis!H110</f>
        <v>MEDIUM</v>
      </c>
      <c r="G44" s="6">
        <f>Pivot_Analysis!I110</f>
        <v>0.1865</v>
      </c>
    </row>
    <row r="48" spans="6:8" x14ac:dyDescent="0.3">
      <c r="F48" s="62" t="str">
        <f>Pivot_Analysis!H128</f>
        <v>Employment status by Loan Amount by Default Rate</v>
      </c>
      <c r="G48" s="62"/>
      <c r="H48" s="62"/>
    </row>
    <row r="49" spans="6:8" x14ac:dyDescent="0.3">
      <c r="F49" s="10" t="str">
        <f>Pivot_Analysis!H129</f>
        <v>Row Labels</v>
      </c>
      <c r="G49" s="10" t="str">
        <f>Pivot_Analysis!I129</f>
        <v>Total Loan Amount</v>
      </c>
      <c r="H49" s="10" t="str">
        <f>Pivot_Analysis!J129</f>
        <v>Default status count</v>
      </c>
    </row>
    <row r="50" spans="6:8" x14ac:dyDescent="0.3">
      <c r="F50" s="1" t="str">
        <f>Pivot_Analysis!H130</f>
        <v>Employed</v>
      </c>
      <c r="G50" s="1">
        <f>Pivot_Analysis!I130</f>
        <v>50089844</v>
      </c>
      <c r="H50" s="1">
        <f>Pivot_Analysis!J130</f>
        <v>0.253</v>
      </c>
    </row>
    <row r="51" spans="6:8" x14ac:dyDescent="0.3">
      <c r="F51" s="1" t="str">
        <f>Pivot_Analysis!H131</f>
        <v>Retired</v>
      </c>
      <c r="G51" s="1">
        <f>Pivot_Analysis!I131</f>
        <v>48940591</v>
      </c>
      <c r="H51" s="1">
        <f>Pivot_Analysis!J131</f>
        <v>0.24349999999999999</v>
      </c>
    </row>
    <row r="52" spans="6:8" x14ac:dyDescent="0.3">
      <c r="F52" s="1" t="str">
        <f>Pivot_Analysis!H132</f>
        <v>Self-employed</v>
      </c>
      <c r="G52" s="1">
        <f>Pivot_Analysis!I132</f>
        <v>53820859</v>
      </c>
      <c r="H52" s="1">
        <f>Pivot_Analysis!J132</f>
        <v>0.26250000000000001</v>
      </c>
    </row>
    <row r="53" spans="6:8" x14ac:dyDescent="0.3">
      <c r="F53" s="1" t="str">
        <f>Pivot_Analysis!H133</f>
        <v>Unemployed</v>
      </c>
      <c r="G53" s="1">
        <f>Pivot_Analysis!I133</f>
        <v>46621531</v>
      </c>
      <c r="H53" s="1">
        <f>Pivot_Analysis!J133</f>
        <v>0.24099999999999999</v>
      </c>
    </row>
  </sheetData>
  <mergeCells count="7">
    <mergeCell ref="F48:H48"/>
    <mergeCell ref="F11:G11"/>
    <mergeCell ref="A2:D5"/>
    <mergeCell ref="F5:J5"/>
    <mergeCell ref="F18:I18"/>
    <mergeCell ref="F29:G29"/>
    <mergeCell ref="F40:G40"/>
  </mergeCells>
  <pageMargins left="0.7" right="0.7" top="0.75" bottom="0.75" header="0.3" footer="0.3"/>
  <pageSetup paperSize="9" scale="6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02511-6A7B-4CF4-9473-A3C69950BDED}">
  <sheetPr codeName="Sheet3"/>
  <dimension ref="B2:E9"/>
  <sheetViews>
    <sheetView showGridLines="0" topLeftCell="A12" zoomScale="85" zoomScaleNormal="85" workbookViewId="0"/>
  </sheetViews>
  <sheetFormatPr defaultRowHeight="14.4" x14ac:dyDescent="0.3"/>
  <cols>
    <col min="1" max="16384" width="8.88671875" style="55"/>
  </cols>
  <sheetData>
    <row r="2" spans="2:5" ht="15" thickBot="1" x14ac:dyDescent="0.35"/>
    <row r="3" spans="2:5" x14ac:dyDescent="0.3">
      <c r="B3" s="75" t="s">
        <v>4045</v>
      </c>
      <c r="C3" s="76"/>
      <c r="D3" s="76"/>
      <c r="E3" s="77"/>
    </row>
    <row r="4" spans="2:5" ht="14.4" customHeight="1" x14ac:dyDescent="0.3">
      <c r="B4" s="78"/>
      <c r="C4" s="79"/>
      <c r="D4" s="79"/>
      <c r="E4" s="80"/>
    </row>
    <row r="5" spans="2:5" ht="14.4" customHeight="1" thickBot="1" x14ac:dyDescent="0.35">
      <c r="B5" s="81"/>
      <c r="C5" s="82"/>
      <c r="D5" s="82"/>
      <c r="E5" s="83"/>
    </row>
    <row r="6" spans="2:5" ht="14.4" customHeight="1" x14ac:dyDescent="0.3">
      <c r="B6" s="56"/>
      <c r="C6" s="56"/>
      <c r="D6" s="56"/>
      <c r="E6" s="56"/>
    </row>
    <row r="7" spans="2:5" ht="14.4" customHeight="1" x14ac:dyDescent="0.3">
      <c r="B7" s="57"/>
      <c r="C7" s="57"/>
      <c r="D7" s="57"/>
      <c r="E7" s="57"/>
    </row>
    <row r="8" spans="2:5" ht="14.4" customHeight="1" x14ac:dyDescent="0.3">
      <c r="B8" s="57"/>
      <c r="C8" s="57"/>
      <c r="D8" s="57"/>
      <c r="E8" s="57"/>
    </row>
    <row r="9" spans="2:5" ht="14.4" customHeight="1" x14ac:dyDescent="0.3">
      <c r="B9" s="57"/>
      <c r="C9" s="57"/>
      <c r="D9" s="57"/>
      <c r="E9" s="57"/>
    </row>
  </sheetData>
  <mergeCells count="1">
    <mergeCell ref="B3:E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6ACD4-1D8F-4AD5-B6C2-741A0E9EDBDA}">
  <sheetPr codeName="Sheet1"/>
  <dimension ref="B3:Q139"/>
  <sheetViews>
    <sheetView showGridLines="0" topLeftCell="C93" zoomScale="53" zoomScaleNormal="85" workbookViewId="0">
      <selection activeCell="L168" sqref="L168"/>
    </sheetView>
  </sheetViews>
  <sheetFormatPr defaultRowHeight="14.4" x14ac:dyDescent="0.3"/>
  <cols>
    <col min="8" max="8" width="11" bestFit="1" customWidth="1"/>
    <col min="9" max="9" width="18.77734375" bestFit="1" customWidth="1"/>
    <col min="10" max="10" width="19.6640625" bestFit="1" customWidth="1"/>
    <col min="11" max="11" width="22.33203125" bestFit="1" customWidth="1"/>
    <col min="12" max="12" width="28.88671875" bestFit="1" customWidth="1"/>
    <col min="13" max="13" width="2" bestFit="1" customWidth="1"/>
    <col min="14" max="14" width="10.33203125" bestFit="1" customWidth="1"/>
    <col min="15" max="15" width="25.88671875" bestFit="1" customWidth="1"/>
    <col min="16" max="16" width="26.21875" bestFit="1" customWidth="1"/>
    <col min="17" max="17" width="9.88671875" bestFit="1" customWidth="1"/>
    <col min="18" max="18" width="10.77734375" bestFit="1" customWidth="1"/>
    <col min="19" max="51" width="15.5546875" bestFit="1" customWidth="1"/>
    <col min="52" max="52" width="10.77734375" bestFit="1" customWidth="1"/>
    <col min="53" max="98" width="15.5546875" bestFit="1" customWidth="1"/>
    <col min="99" max="99" width="10.77734375" bestFit="1" customWidth="1"/>
  </cols>
  <sheetData>
    <row r="3" spans="2:17" ht="14.4" customHeight="1" x14ac:dyDescent="0.3">
      <c r="B3" s="96" t="s">
        <v>4044</v>
      </c>
      <c r="C3" s="96"/>
      <c r="D3" s="96"/>
      <c r="E3" s="96"/>
    </row>
    <row r="4" spans="2:17" ht="14.4" customHeight="1" x14ac:dyDescent="0.3">
      <c r="B4" s="96"/>
      <c r="C4" s="96"/>
      <c r="D4" s="96"/>
      <c r="E4" s="96"/>
    </row>
    <row r="5" spans="2:17" ht="14.4" customHeight="1" x14ac:dyDescent="0.3">
      <c r="B5" s="96"/>
      <c r="C5" s="96"/>
      <c r="D5" s="96"/>
      <c r="E5" s="96"/>
    </row>
    <row r="6" spans="2:17" ht="14.4" customHeight="1" x14ac:dyDescent="0.3">
      <c r="B6" s="54"/>
      <c r="C6" s="54"/>
      <c r="D6" s="54"/>
      <c r="E6" s="54"/>
    </row>
    <row r="7" spans="2:17" ht="14.4" customHeight="1" x14ac:dyDescent="0.3">
      <c r="B7" s="54"/>
      <c r="C7" s="54"/>
      <c r="D7" s="54"/>
      <c r="E7" s="54"/>
    </row>
    <row r="8" spans="2:17" ht="14.4" customHeight="1" thickBot="1" x14ac:dyDescent="0.35">
      <c r="B8" s="54"/>
      <c r="C8" s="54"/>
      <c r="D8" s="54"/>
      <c r="E8" s="54"/>
    </row>
    <row r="9" spans="2:17" ht="15" thickBot="1" x14ac:dyDescent="0.35">
      <c r="H9" s="87" t="s">
        <v>4035</v>
      </c>
      <c r="I9" s="88"/>
      <c r="J9" s="88"/>
      <c r="K9" s="88"/>
      <c r="L9" s="88"/>
      <c r="M9" s="88"/>
      <c r="N9" s="88"/>
      <c r="O9" s="88"/>
      <c r="P9" s="88"/>
      <c r="Q9" s="89"/>
    </row>
    <row r="11" spans="2:17" x14ac:dyDescent="0.3">
      <c r="H11" s="1" t="s">
        <v>4043</v>
      </c>
      <c r="I11" s="1" t="s">
        <v>4020</v>
      </c>
      <c r="J11" s="1" t="s">
        <v>4042</v>
      </c>
      <c r="K11" s="1" t="s">
        <v>4041</v>
      </c>
      <c r="L11" s="1" t="s">
        <v>4040</v>
      </c>
    </row>
    <row r="12" spans="2:17" x14ac:dyDescent="0.3">
      <c r="H12" s="19">
        <v>2000</v>
      </c>
      <c r="I12" s="19">
        <v>199472825</v>
      </c>
      <c r="J12" s="18">
        <v>575.67449999999997</v>
      </c>
      <c r="K12" s="18">
        <v>84959.494500000001</v>
      </c>
      <c r="L12" s="11">
        <v>0.55827500000000141</v>
      </c>
    </row>
    <row r="13" spans="2:17" x14ac:dyDescent="0.3">
      <c r="H13" s="22"/>
      <c r="I13" s="23"/>
      <c r="J13" s="23"/>
      <c r="K13" s="23"/>
    </row>
    <row r="14" spans="2:17" x14ac:dyDescent="0.3">
      <c r="H14" s="24"/>
      <c r="I14" s="25"/>
      <c r="J14" s="25"/>
      <c r="K14" s="25"/>
    </row>
    <row r="15" spans="2:17" x14ac:dyDescent="0.3">
      <c r="H15" s="86" t="s">
        <v>4035</v>
      </c>
      <c r="I15" s="86"/>
      <c r="J15" s="86"/>
      <c r="K15" s="86"/>
      <c r="L15" s="86"/>
    </row>
    <row r="16" spans="2:17" x14ac:dyDescent="0.3">
      <c r="H16" s="10" t="str">
        <f t="shared" ref="H16:L17" si="0">H11</f>
        <v>Total Count</v>
      </c>
      <c r="I16" s="10" t="str">
        <f t="shared" si="0"/>
        <v>Sum of Total_Loan_Amount</v>
      </c>
      <c r="J16" s="10" t="str">
        <f t="shared" si="0"/>
        <v>Average Credit_Score</v>
      </c>
      <c r="K16" s="10" t="str">
        <f t="shared" si="0"/>
        <v>Average Annual_Income</v>
      </c>
      <c r="L16" s="10" t="str">
        <f t="shared" si="0"/>
        <v>Average Debt_to_Income_Ratio</v>
      </c>
    </row>
    <row r="17" spans="8:17" x14ac:dyDescent="0.3">
      <c r="H17" s="17">
        <f t="shared" si="0"/>
        <v>2000</v>
      </c>
      <c r="I17" s="7">
        <f t="shared" si="0"/>
        <v>199472825</v>
      </c>
      <c r="J17" s="17">
        <f t="shared" si="0"/>
        <v>575.67449999999997</v>
      </c>
      <c r="K17" s="34">
        <f t="shared" si="0"/>
        <v>84959.494500000001</v>
      </c>
      <c r="L17" s="11">
        <f t="shared" si="0"/>
        <v>0.55827500000000141</v>
      </c>
    </row>
    <row r="18" spans="8:17" x14ac:dyDescent="0.3">
      <c r="H18" s="50"/>
      <c r="I18" s="51"/>
      <c r="J18" s="52"/>
      <c r="K18" s="53"/>
      <c r="L18" s="50"/>
    </row>
    <row r="19" spans="8:17" x14ac:dyDescent="0.3">
      <c r="H19" s="50"/>
      <c r="I19" s="51"/>
      <c r="J19" s="52"/>
      <c r="K19" s="53"/>
      <c r="L19" s="50"/>
    </row>
    <row r="20" spans="8:17" x14ac:dyDescent="0.3">
      <c r="H20" s="50"/>
      <c r="I20" s="51"/>
      <c r="J20" s="52"/>
      <c r="K20" s="53"/>
      <c r="L20" s="50"/>
    </row>
    <row r="21" spans="8:17" ht="15" thickBot="1" x14ac:dyDescent="0.35">
      <c r="H21" s="50"/>
      <c r="I21" s="51"/>
      <c r="J21" s="52"/>
      <c r="K21" s="53"/>
      <c r="L21" s="50"/>
    </row>
    <row r="22" spans="8:17" ht="15" thickBot="1" x14ac:dyDescent="0.35">
      <c r="H22" s="87" t="s">
        <v>4049</v>
      </c>
      <c r="I22" s="88"/>
      <c r="J22" s="88"/>
      <c r="K22" s="88"/>
      <c r="L22" s="88"/>
      <c r="M22" s="88"/>
      <c r="N22" s="88"/>
      <c r="O22" s="88"/>
      <c r="P22" s="88"/>
      <c r="Q22" s="89"/>
    </row>
    <row r="25" spans="8:17" x14ac:dyDescent="0.3">
      <c r="H25" s="100" t="s">
        <v>4049</v>
      </c>
      <c r="I25" s="101"/>
      <c r="J25" s="20"/>
    </row>
    <row r="26" spans="8:17" x14ac:dyDescent="0.3">
      <c r="H26" s="13" t="s">
        <v>4021</v>
      </c>
      <c r="I26" s="1" t="s">
        <v>4039</v>
      </c>
    </row>
    <row r="27" spans="8:17" x14ac:dyDescent="0.3">
      <c r="H27" s="14" t="s">
        <v>33</v>
      </c>
      <c r="I27" s="15">
        <v>1622</v>
      </c>
    </row>
    <row r="28" spans="8:17" x14ac:dyDescent="0.3">
      <c r="H28" s="14" t="s">
        <v>31</v>
      </c>
      <c r="I28" s="15">
        <v>378</v>
      </c>
    </row>
    <row r="30" spans="8:17" x14ac:dyDescent="0.3">
      <c r="H30" s="3"/>
      <c r="I30" s="9"/>
    </row>
    <row r="31" spans="8:17" x14ac:dyDescent="0.3">
      <c r="H31" s="86" t="str">
        <f t="shared" ref="H31" si="1">$H$25</f>
        <v>Default Ratio</v>
      </c>
      <c r="I31" s="86"/>
    </row>
    <row r="32" spans="8:17" x14ac:dyDescent="0.3">
      <c r="H32" s="10" t="str">
        <f t="shared" ref="H32:I34" si="2">H26</f>
        <v>Row Labels</v>
      </c>
      <c r="I32" s="10" t="str">
        <f t="shared" si="2"/>
        <v>Default</v>
      </c>
    </row>
    <row r="33" spans="8:17" x14ac:dyDescent="0.3">
      <c r="H33" s="1" t="str">
        <f t="shared" si="2"/>
        <v>No</v>
      </c>
      <c r="I33" s="12">
        <f t="shared" si="2"/>
        <v>1622</v>
      </c>
    </row>
    <row r="34" spans="8:17" x14ac:dyDescent="0.3">
      <c r="H34" s="1" t="str">
        <f t="shared" si="2"/>
        <v>Yes</v>
      </c>
      <c r="I34" s="12">
        <f t="shared" si="2"/>
        <v>378</v>
      </c>
    </row>
    <row r="35" spans="8:17" s="21" customFormat="1" x14ac:dyDescent="0.3"/>
    <row r="36" spans="8:17" s="21" customFormat="1" x14ac:dyDescent="0.3"/>
    <row r="37" spans="8:17" s="21" customFormat="1" ht="15" thickBot="1" x14ac:dyDescent="0.35"/>
    <row r="38" spans="8:17" s="21" customFormat="1" ht="15" thickBot="1" x14ac:dyDescent="0.35">
      <c r="H38" s="87" t="s">
        <v>4048</v>
      </c>
      <c r="I38" s="88"/>
      <c r="J38" s="88"/>
      <c r="K38" s="88"/>
      <c r="L38" s="88"/>
      <c r="M38" s="88"/>
      <c r="N38" s="88"/>
      <c r="O38" s="88"/>
      <c r="P38" s="88"/>
      <c r="Q38" s="89"/>
    </row>
    <row r="41" spans="8:17" x14ac:dyDescent="0.3">
      <c r="H41" s="86" t="s">
        <v>4048</v>
      </c>
      <c r="I41" s="86"/>
      <c r="J41" s="86"/>
      <c r="K41" s="86"/>
      <c r="L41" s="20"/>
    </row>
    <row r="42" spans="8:17" x14ac:dyDescent="0.3">
      <c r="H42" s="13" t="s">
        <v>4037</v>
      </c>
      <c r="I42" s="13" t="s">
        <v>4028</v>
      </c>
      <c r="J42" s="1"/>
      <c r="K42" s="1"/>
    </row>
    <row r="43" spans="8:17" x14ac:dyDescent="0.3">
      <c r="H43" s="13" t="s">
        <v>4021</v>
      </c>
      <c r="I43" s="1" t="s">
        <v>4032</v>
      </c>
      <c r="J43" s="1" t="s">
        <v>4033</v>
      </c>
      <c r="K43" s="1" t="s">
        <v>4031</v>
      </c>
    </row>
    <row r="44" spans="8:17" x14ac:dyDescent="0.3">
      <c r="H44" s="14" t="s">
        <v>37</v>
      </c>
      <c r="I44" s="15">
        <v>49</v>
      </c>
      <c r="J44" s="15">
        <v>123</v>
      </c>
      <c r="K44" s="15">
        <v>138</v>
      </c>
    </row>
    <row r="45" spans="8:17" x14ac:dyDescent="0.3">
      <c r="H45" s="14" t="s">
        <v>52</v>
      </c>
      <c r="I45" s="15">
        <v>67</v>
      </c>
      <c r="J45" s="15">
        <v>127</v>
      </c>
      <c r="K45" s="15">
        <v>159</v>
      </c>
    </row>
    <row r="46" spans="8:17" x14ac:dyDescent="0.3">
      <c r="H46" s="14" t="s">
        <v>5</v>
      </c>
      <c r="I46" s="15">
        <v>65</v>
      </c>
      <c r="J46" s="15">
        <v>135</v>
      </c>
      <c r="K46" s="15">
        <v>145</v>
      </c>
    </row>
    <row r="47" spans="8:17" x14ac:dyDescent="0.3">
      <c r="H47" s="14" t="s">
        <v>41</v>
      </c>
      <c r="I47" s="15">
        <v>68</v>
      </c>
      <c r="J47" s="15">
        <v>114</v>
      </c>
      <c r="K47" s="15">
        <v>148</v>
      </c>
    </row>
    <row r="48" spans="8:17" x14ac:dyDescent="0.3">
      <c r="H48" s="14" t="s">
        <v>46</v>
      </c>
      <c r="I48" s="15">
        <v>56</v>
      </c>
      <c r="J48" s="15">
        <v>117</v>
      </c>
      <c r="K48" s="15">
        <v>155</v>
      </c>
    </row>
    <row r="49" spans="8:11" x14ac:dyDescent="0.3">
      <c r="H49" s="14" t="s">
        <v>63</v>
      </c>
      <c r="I49" s="15">
        <v>68</v>
      </c>
      <c r="J49" s="15">
        <v>111</v>
      </c>
      <c r="K49" s="15">
        <v>155</v>
      </c>
    </row>
    <row r="54" spans="8:11" x14ac:dyDescent="0.3">
      <c r="H54" s="97" t="str">
        <f>'Data Analysis'!$F$18</f>
        <v>Loan default count by Purpose and Risk Category</v>
      </c>
      <c r="I54" s="98"/>
      <c r="J54" s="98"/>
      <c r="K54" s="99"/>
    </row>
    <row r="55" spans="8:11" x14ac:dyDescent="0.3">
      <c r="H55" s="28" t="str">
        <f t="shared" ref="H55:K61" si="3">H43</f>
        <v>Row Labels</v>
      </c>
      <c r="I55" s="28" t="str">
        <f t="shared" si="3"/>
        <v>MEDIUM</v>
      </c>
      <c r="J55" s="28" t="str">
        <f t="shared" si="3"/>
        <v>LOW</v>
      </c>
      <c r="K55" s="28" t="str">
        <f t="shared" si="3"/>
        <v>HIGH</v>
      </c>
    </row>
    <row r="56" spans="8:11" x14ac:dyDescent="0.3">
      <c r="H56" s="29" t="str">
        <f t="shared" si="3"/>
        <v>Business</v>
      </c>
      <c r="I56" s="29">
        <f t="shared" si="3"/>
        <v>49</v>
      </c>
      <c r="J56" s="29">
        <f t="shared" si="3"/>
        <v>123</v>
      </c>
      <c r="K56" s="28">
        <f t="shared" si="3"/>
        <v>138</v>
      </c>
    </row>
    <row r="57" spans="8:11" x14ac:dyDescent="0.3">
      <c r="H57" s="29" t="str">
        <f t="shared" si="3"/>
        <v>Car</v>
      </c>
      <c r="I57" s="29">
        <f t="shared" si="3"/>
        <v>67</v>
      </c>
      <c r="J57" s="30">
        <f t="shared" si="3"/>
        <v>127</v>
      </c>
      <c r="K57" s="30">
        <f t="shared" si="3"/>
        <v>159</v>
      </c>
    </row>
    <row r="58" spans="8:11" x14ac:dyDescent="0.3">
      <c r="H58" s="29" t="str">
        <f t="shared" si="3"/>
        <v>Education</v>
      </c>
      <c r="I58" s="29">
        <f t="shared" si="3"/>
        <v>65</v>
      </c>
      <c r="J58" s="31">
        <f t="shared" si="3"/>
        <v>135</v>
      </c>
      <c r="K58" s="31">
        <f t="shared" si="3"/>
        <v>145</v>
      </c>
    </row>
    <row r="59" spans="8:11" x14ac:dyDescent="0.3">
      <c r="H59" s="29" t="str">
        <f t="shared" si="3"/>
        <v>Home</v>
      </c>
      <c r="I59" s="29">
        <f t="shared" si="3"/>
        <v>68</v>
      </c>
      <c r="J59" s="31">
        <f t="shared" si="3"/>
        <v>114</v>
      </c>
      <c r="K59" s="31">
        <f t="shared" si="3"/>
        <v>148</v>
      </c>
    </row>
    <row r="60" spans="8:11" x14ac:dyDescent="0.3">
      <c r="H60" s="29" t="str">
        <f t="shared" si="3"/>
        <v>Medical</v>
      </c>
      <c r="I60" s="29">
        <f t="shared" si="3"/>
        <v>56</v>
      </c>
      <c r="J60" s="31">
        <f t="shared" si="3"/>
        <v>117</v>
      </c>
      <c r="K60" s="31">
        <f t="shared" si="3"/>
        <v>155</v>
      </c>
    </row>
    <row r="61" spans="8:11" x14ac:dyDescent="0.3">
      <c r="H61" s="29" t="str">
        <f t="shared" si="3"/>
        <v>Personal</v>
      </c>
      <c r="I61" s="29">
        <f t="shared" si="3"/>
        <v>68</v>
      </c>
      <c r="J61" s="30">
        <f t="shared" si="3"/>
        <v>111</v>
      </c>
      <c r="K61" s="30">
        <f t="shared" si="3"/>
        <v>155</v>
      </c>
    </row>
    <row r="62" spans="8:11" x14ac:dyDescent="0.3">
      <c r="J62" s="2"/>
      <c r="K62" s="2"/>
    </row>
    <row r="63" spans="8:11" x14ac:dyDescent="0.3">
      <c r="J63" s="2"/>
      <c r="K63" s="2"/>
    </row>
    <row r="64" spans="8:11" x14ac:dyDescent="0.3">
      <c r="J64" s="2"/>
      <c r="K64" s="2"/>
    </row>
    <row r="65" spans="8:17" x14ac:dyDescent="0.3">
      <c r="J65" s="2"/>
      <c r="K65" s="2"/>
    </row>
    <row r="66" spans="8:17" ht="15" thickBot="1" x14ac:dyDescent="0.35">
      <c r="J66" s="2"/>
      <c r="K66" s="2"/>
    </row>
    <row r="67" spans="8:17" ht="15" thickBot="1" x14ac:dyDescent="0.35">
      <c r="H67" s="87" t="s">
        <v>4038</v>
      </c>
      <c r="I67" s="88"/>
      <c r="J67" s="88"/>
      <c r="K67" s="88"/>
      <c r="L67" s="88"/>
      <c r="M67" s="88"/>
      <c r="N67" s="88"/>
      <c r="O67" s="88"/>
      <c r="P67" s="88"/>
      <c r="Q67" s="89"/>
    </row>
    <row r="68" spans="8:17" x14ac:dyDescent="0.3">
      <c r="J68" s="2"/>
      <c r="K68" s="2"/>
    </row>
    <row r="69" spans="8:17" x14ac:dyDescent="0.3">
      <c r="J69" s="2"/>
      <c r="K69" s="2"/>
    </row>
    <row r="70" spans="8:17" x14ac:dyDescent="0.3">
      <c r="H70" s="86" t="s">
        <v>4038</v>
      </c>
      <c r="I70" s="86"/>
    </row>
    <row r="71" spans="8:17" x14ac:dyDescent="0.3">
      <c r="H71" s="13" t="s">
        <v>4021</v>
      </c>
      <c r="I71" s="1" t="s">
        <v>4047</v>
      </c>
    </row>
    <row r="72" spans="8:17" x14ac:dyDescent="0.3">
      <c r="H72" s="49" t="s">
        <v>4022</v>
      </c>
      <c r="I72" s="43">
        <v>16776584</v>
      </c>
    </row>
    <row r="73" spans="8:17" x14ac:dyDescent="0.3">
      <c r="H73" s="46" t="s">
        <v>4023</v>
      </c>
      <c r="I73" s="47">
        <v>58667520</v>
      </c>
    </row>
    <row r="74" spans="8:17" x14ac:dyDescent="0.3">
      <c r="H74" s="46" t="s">
        <v>4024</v>
      </c>
      <c r="I74" s="47">
        <v>98065037</v>
      </c>
    </row>
    <row r="75" spans="8:17" x14ac:dyDescent="0.3">
      <c r="H75" s="46" t="s">
        <v>4025</v>
      </c>
      <c r="I75" s="47">
        <v>138910830</v>
      </c>
    </row>
    <row r="76" spans="8:17" x14ac:dyDescent="0.3">
      <c r="H76" s="46" t="s">
        <v>4026</v>
      </c>
      <c r="I76" s="47">
        <v>178524259</v>
      </c>
    </row>
    <row r="77" spans="8:17" x14ac:dyDescent="0.3">
      <c r="H77" s="48" t="s">
        <v>4027</v>
      </c>
      <c r="I77" s="39">
        <v>199472825</v>
      </c>
    </row>
    <row r="81" spans="8:17" ht="18" x14ac:dyDescent="0.3">
      <c r="H81" s="94" t="str">
        <f t="shared" ref="H81" si="4">H70</f>
        <v>LOAN PORTFOLIO GROWTH</v>
      </c>
      <c r="I81" s="94"/>
      <c r="J81" s="20"/>
    </row>
    <row r="82" spans="8:17" x14ac:dyDescent="0.3">
      <c r="H82" s="1" t="str">
        <f t="shared" ref="H82:I88" si="5">H71</f>
        <v>Row Labels</v>
      </c>
      <c r="I82" s="1" t="str">
        <f t="shared" si="5"/>
        <v xml:space="preserve">Cummulative yearwise Loan Amount </v>
      </c>
    </row>
    <row r="83" spans="8:17" x14ac:dyDescent="0.3">
      <c r="H83" s="14" t="str">
        <f t="shared" si="5"/>
        <v>2020</v>
      </c>
      <c r="I83" s="7">
        <f t="shared" si="5"/>
        <v>16776584</v>
      </c>
    </row>
    <row r="84" spans="8:17" x14ac:dyDescent="0.3">
      <c r="H84" s="14" t="str">
        <f t="shared" si="5"/>
        <v>2021</v>
      </c>
      <c r="I84" s="7">
        <f t="shared" si="5"/>
        <v>58667520</v>
      </c>
    </row>
    <row r="85" spans="8:17" x14ac:dyDescent="0.3">
      <c r="H85" s="14" t="str">
        <f t="shared" si="5"/>
        <v>2022</v>
      </c>
      <c r="I85" s="7">
        <f t="shared" si="5"/>
        <v>98065037</v>
      </c>
    </row>
    <row r="86" spans="8:17" x14ac:dyDescent="0.3">
      <c r="H86" s="14" t="str">
        <f t="shared" si="5"/>
        <v>2023</v>
      </c>
      <c r="I86" s="7">
        <f t="shared" si="5"/>
        <v>138910830</v>
      </c>
    </row>
    <row r="87" spans="8:17" x14ac:dyDescent="0.3">
      <c r="H87" s="14" t="str">
        <f t="shared" si="5"/>
        <v>2024</v>
      </c>
      <c r="I87" s="7">
        <f t="shared" si="5"/>
        <v>178524259</v>
      </c>
    </row>
    <row r="88" spans="8:17" x14ac:dyDescent="0.3">
      <c r="H88" s="14" t="str">
        <f t="shared" si="5"/>
        <v>2025</v>
      </c>
      <c r="I88" s="7">
        <f t="shared" si="5"/>
        <v>199472825</v>
      </c>
    </row>
    <row r="92" spans="8:17" ht="15" thickBot="1" x14ac:dyDescent="0.35"/>
    <row r="93" spans="8:17" ht="15" thickBot="1" x14ac:dyDescent="0.35">
      <c r="H93" s="87" t="str">
        <f t="shared" ref="H93" si="6">$H$97</f>
        <v>Risk category wise loan defaults</v>
      </c>
      <c r="I93" s="88"/>
      <c r="J93" s="88"/>
      <c r="K93" s="88"/>
      <c r="L93" s="88"/>
      <c r="M93" s="88"/>
      <c r="N93" s="88"/>
      <c r="O93" s="88"/>
      <c r="P93" s="88"/>
      <c r="Q93" s="89"/>
    </row>
    <row r="95" spans="8:17" ht="18" x14ac:dyDescent="0.3">
      <c r="H95" s="95"/>
      <c r="I95" s="95"/>
    </row>
    <row r="96" spans="8:17" x14ac:dyDescent="0.3">
      <c r="H96" s="13" t="s">
        <v>24</v>
      </c>
      <c r="I96" s="1" t="s">
        <v>4036</v>
      </c>
    </row>
    <row r="97" spans="8:9" ht="19.2" x14ac:dyDescent="0.3">
      <c r="H97" s="84" t="s">
        <v>4050</v>
      </c>
      <c r="I97" s="85"/>
    </row>
    <row r="98" spans="8:9" x14ac:dyDescent="0.3">
      <c r="H98" s="13" t="s">
        <v>4021</v>
      </c>
      <c r="I98" s="1" t="s">
        <v>4029</v>
      </c>
    </row>
    <row r="99" spans="8:9" x14ac:dyDescent="0.3">
      <c r="H99" s="14" t="s">
        <v>4031</v>
      </c>
      <c r="I99" s="16">
        <v>0.45</v>
      </c>
    </row>
    <row r="100" spans="8:9" x14ac:dyDescent="0.3">
      <c r="H100" s="14" t="s">
        <v>4033</v>
      </c>
      <c r="I100" s="16">
        <v>0.36349999999999999</v>
      </c>
    </row>
    <row r="101" spans="8:9" x14ac:dyDescent="0.3">
      <c r="H101" s="14" t="s">
        <v>4032</v>
      </c>
      <c r="I101" s="16">
        <v>0.1865</v>
      </c>
    </row>
    <row r="106" spans="8:9" x14ac:dyDescent="0.3">
      <c r="H106" s="86" t="str">
        <f t="shared" ref="H106" si="7">$H$97</f>
        <v>Risk category wise loan defaults</v>
      </c>
      <c r="I106" s="86"/>
    </row>
    <row r="107" spans="8:9" x14ac:dyDescent="0.3">
      <c r="H107" s="1" t="str">
        <f t="shared" ref="H107:I110" si="8">H98</f>
        <v>Row Labels</v>
      </c>
      <c r="I107" s="1" t="str">
        <f t="shared" si="8"/>
        <v>Count of Default_Status</v>
      </c>
    </row>
    <row r="108" spans="8:9" x14ac:dyDescent="0.3">
      <c r="H108" s="1" t="str">
        <f t="shared" si="8"/>
        <v>HIGH</v>
      </c>
      <c r="I108" s="6">
        <f t="shared" si="8"/>
        <v>0.45</v>
      </c>
    </row>
    <row r="109" spans="8:9" x14ac:dyDescent="0.3">
      <c r="H109" s="1" t="str">
        <f t="shared" si="8"/>
        <v>LOW</v>
      </c>
      <c r="I109" s="6">
        <f t="shared" si="8"/>
        <v>0.36349999999999999</v>
      </c>
    </row>
    <row r="110" spans="8:9" x14ac:dyDescent="0.3">
      <c r="H110" s="1" t="str">
        <f t="shared" si="8"/>
        <v>MEDIUM</v>
      </c>
      <c r="I110" s="6">
        <f t="shared" si="8"/>
        <v>0.1865</v>
      </c>
    </row>
    <row r="114" spans="8:17" ht="15" thickBot="1" x14ac:dyDescent="0.35"/>
    <row r="115" spans="8:17" ht="16.2" thickBot="1" x14ac:dyDescent="0.35">
      <c r="H115" s="90" t="s">
        <v>4051</v>
      </c>
      <c r="I115" s="91"/>
      <c r="J115" s="91"/>
      <c r="K115" s="91"/>
      <c r="L115" s="91"/>
      <c r="M115" s="91"/>
      <c r="N115" s="91"/>
      <c r="O115" s="91"/>
      <c r="P115" s="91"/>
      <c r="Q115" s="92"/>
    </row>
    <row r="119" spans="8:17" ht="19.2" x14ac:dyDescent="0.3">
      <c r="H119" s="93" t="s">
        <v>4051</v>
      </c>
      <c r="I119" s="93"/>
      <c r="J119" s="93"/>
    </row>
    <row r="120" spans="8:17" x14ac:dyDescent="0.3">
      <c r="H120" s="13" t="s">
        <v>4021</v>
      </c>
      <c r="I120" s="1" t="s">
        <v>4053</v>
      </c>
      <c r="J120" s="1" t="s">
        <v>4052</v>
      </c>
    </row>
    <row r="121" spans="8:17" x14ac:dyDescent="0.3">
      <c r="H121" s="14" t="s">
        <v>40</v>
      </c>
      <c r="I121" s="15">
        <v>50089844</v>
      </c>
      <c r="J121" s="16">
        <v>0.253</v>
      </c>
    </row>
    <row r="122" spans="8:17" x14ac:dyDescent="0.3">
      <c r="H122" s="14" t="s">
        <v>57</v>
      </c>
      <c r="I122" s="15">
        <v>48940591</v>
      </c>
      <c r="J122" s="16">
        <v>0.24349999999999999</v>
      </c>
    </row>
    <row r="123" spans="8:17" x14ac:dyDescent="0.3">
      <c r="H123" s="14" t="s">
        <v>59</v>
      </c>
      <c r="I123" s="15">
        <v>53820859</v>
      </c>
      <c r="J123" s="16">
        <v>0.26250000000000001</v>
      </c>
    </row>
    <row r="124" spans="8:17" x14ac:dyDescent="0.3">
      <c r="H124" s="14" t="s">
        <v>29</v>
      </c>
      <c r="I124" s="15">
        <v>46621531</v>
      </c>
      <c r="J124" s="16">
        <v>0.24099999999999999</v>
      </c>
    </row>
    <row r="128" spans="8:17" x14ac:dyDescent="0.3">
      <c r="H128" s="86" t="str">
        <f t="shared" ref="H128" si="9">$H$119</f>
        <v>Employment status by Loan Amount by Default Rate</v>
      </c>
      <c r="I128" s="86"/>
      <c r="J128" s="86"/>
      <c r="K128" s="32"/>
    </row>
    <row r="129" spans="8:17" x14ac:dyDescent="0.3">
      <c r="H129" s="1" t="str">
        <f t="shared" ref="H129:J133" si="10">H120</f>
        <v>Row Labels</v>
      </c>
      <c r="I129" s="1" t="str">
        <f t="shared" si="10"/>
        <v>Total Loan Amount</v>
      </c>
      <c r="J129" s="1" t="str">
        <f t="shared" si="10"/>
        <v>Default status count</v>
      </c>
    </row>
    <row r="130" spans="8:17" x14ac:dyDescent="0.3">
      <c r="H130" s="1" t="str">
        <f t="shared" si="10"/>
        <v>Employed</v>
      </c>
      <c r="I130" s="1">
        <f t="shared" si="10"/>
        <v>50089844</v>
      </c>
      <c r="J130" s="6">
        <f t="shared" si="10"/>
        <v>0.253</v>
      </c>
    </row>
    <row r="131" spans="8:17" x14ac:dyDescent="0.3">
      <c r="H131" s="1" t="str">
        <f t="shared" si="10"/>
        <v>Retired</v>
      </c>
      <c r="I131" s="1">
        <f t="shared" si="10"/>
        <v>48940591</v>
      </c>
      <c r="J131" s="6">
        <f t="shared" si="10"/>
        <v>0.24349999999999999</v>
      </c>
    </row>
    <row r="132" spans="8:17" x14ac:dyDescent="0.3">
      <c r="H132" s="1" t="str">
        <f t="shared" si="10"/>
        <v>Self-employed</v>
      </c>
      <c r="I132" s="1">
        <f t="shared" si="10"/>
        <v>53820859</v>
      </c>
      <c r="J132" s="6">
        <f t="shared" si="10"/>
        <v>0.26250000000000001</v>
      </c>
    </row>
    <row r="133" spans="8:17" x14ac:dyDescent="0.3">
      <c r="H133" s="1" t="str">
        <f t="shared" si="10"/>
        <v>Unemployed</v>
      </c>
      <c r="I133" s="1">
        <f t="shared" si="10"/>
        <v>46621531</v>
      </c>
      <c r="J133" s="6">
        <f t="shared" si="10"/>
        <v>0.24099999999999999</v>
      </c>
    </row>
    <row r="138" spans="8:17" ht="15" thickBot="1" x14ac:dyDescent="0.35"/>
    <row r="139" spans="8:17" ht="16.2" thickBot="1" x14ac:dyDescent="0.35">
      <c r="H139" s="90" t="s">
        <v>4054</v>
      </c>
      <c r="I139" s="91"/>
      <c r="J139" s="91"/>
      <c r="K139" s="91"/>
      <c r="L139" s="91"/>
      <c r="M139" s="91"/>
      <c r="N139" s="91"/>
      <c r="O139" s="91"/>
      <c r="P139" s="91"/>
      <c r="Q139" s="92"/>
    </row>
  </sheetData>
  <mergeCells count="20">
    <mergeCell ref="H81:I81"/>
    <mergeCell ref="H95:I95"/>
    <mergeCell ref="B3:E5"/>
    <mergeCell ref="H54:K54"/>
    <mergeCell ref="H70:I70"/>
    <mergeCell ref="H31:I31"/>
    <mergeCell ref="H41:K41"/>
    <mergeCell ref="H15:L15"/>
    <mergeCell ref="H25:I25"/>
    <mergeCell ref="H38:Q38"/>
    <mergeCell ref="H22:Q22"/>
    <mergeCell ref="H67:Q67"/>
    <mergeCell ref="H9:Q9"/>
    <mergeCell ref="H97:I97"/>
    <mergeCell ref="H106:I106"/>
    <mergeCell ref="H93:Q93"/>
    <mergeCell ref="H115:Q115"/>
    <mergeCell ref="H139:Q139"/>
    <mergeCell ref="H128:J128"/>
    <mergeCell ref="H119:J119"/>
  </mergeCells>
  <pageMargins left="0.7" right="0.7" top="0.75" bottom="0.75" header="0.3" footer="0.3"/>
  <pageSetup paperSize="9" orientation="portrait" r:id="rId11"/>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CFC20-F73B-482C-96CB-0E2DE20FB704}">
  <sheetPr codeName="Sheet2"/>
  <dimension ref="C2:AB2007"/>
  <sheetViews>
    <sheetView showGridLines="0" zoomScale="50" zoomScaleNormal="50" workbookViewId="0">
      <selection activeCell="G67" sqref="G67"/>
    </sheetView>
  </sheetViews>
  <sheetFormatPr defaultRowHeight="14.4" x14ac:dyDescent="0.3"/>
  <cols>
    <col min="3" max="3" width="13.88671875" bestFit="1" customWidth="1"/>
    <col min="4" max="4" width="24.77734375" bestFit="1" customWidth="1"/>
    <col min="5" max="5" width="6.21875" bestFit="1" customWidth="1"/>
    <col min="6" max="6" width="9.109375" bestFit="1" customWidth="1"/>
    <col min="7" max="7" width="15.109375" bestFit="1" customWidth="1"/>
    <col min="8" max="8" width="11.77734375" bestFit="1" customWidth="1"/>
    <col min="9" max="9" width="19.88671875" customWidth="1"/>
    <col min="10" max="10" width="16.21875" style="8" customWidth="1"/>
    <col min="11" max="11" width="13.6640625" bestFit="1" customWidth="1"/>
    <col min="12" max="12" width="14.88671875" style="8" customWidth="1"/>
    <col min="13" max="13" width="19.88671875" bestFit="1" customWidth="1"/>
    <col min="14" max="14" width="14.33203125" bestFit="1" customWidth="1"/>
    <col min="15" max="15" width="14.88671875" customWidth="1"/>
    <col min="16" max="16" width="20.21875" customWidth="1"/>
    <col min="17" max="17" width="17" bestFit="1" customWidth="1"/>
    <col min="18" max="18" width="13" customWidth="1"/>
    <col min="19" max="19" width="15.109375" customWidth="1"/>
    <col min="20" max="20" width="12.88671875" bestFit="1" customWidth="1"/>
    <col min="21" max="21" width="21.21875" bestFit="1" customWidth="1"/>
    <col min="22" max="22" width="20.109375" bestFit="1" customWidth="1"/>
    <col min="23" max="23" width="15.109375" style="8" customWidth="1"/>
    <col min="24" max="24" width="22.5546875" bestFit="1" customWidth="1"/>
    <col min="25" max="25" width="22.44140625" style="5" bestFit="1" customWidth="1"/>
    <col min="26" max="26" width="21.88671875" customWidth="1"/>
    <col min="27" max="27" width="15.33203125" bestFit="1" customWidth="1"/>
    <col min="28" max="28" width="14.5546875" bestFit="1" customWidth="1"/>
  </cols>
  <sheetData>
    <row r="2" spans="3:28" ht="14.4" customHeight="1" x14ac:dyDescent="0.3">
      <c r="F2" s="103" t="s">
        <v>4034</v>
      </c>
      <c r="G2" s="103"/>
      <c r="H2" s="103"/>
      <c r="I2" s="103"/>
    </row>
    <row r="3" spans="3:28" ht="14.4" customHeight="1" x14ac:dyDescent="0.3">
      <c r="F3" s="103"/>
      <c r="G3" s="103"/>
      <c r="H3" s="103"/>
      <c r="I3" s="103"/>
    </row>
    <row r="6" spans="3:28" ht="21" x14ac:dyDescent="0.4">
      <c r="C6" s="102" t="s">
        <v>4034</v>
      </c>
      <c r="D6" s="102"/>
      <c r="E6" s="102"/>
      <c r="F6" s="102"/>
      <c r="G6" s="102"/>
      <c r="H6" s="102"/>
      <c r="I6" s="102"/>
      <c r="J6" s="102"/>
      <c r="K6" s="102"/>
      <c r="L6" s="102"/>
      <c r="M6" s="102"/>
      <c r="N6" s="102"/>
      <c r="O6" s="102"/>
      <c r="P6" s="102"/>
      <c r="Q6" s="102"/>
      <c r="R6" s="102"/>
      <c r="S6" s="102"/>
      <c r="T6" s="102"/>
      <c r="U6" s="102"/>
      <c r="V6" s="102"/>
      <c r="W6" s="102"/>
      <c r="X6" s="102"/>
      <c r="Y6" s="102"/>
      <c r="Z6" s="102"/>
      <c r="AA6" s="102"/>
      <c r="AB6" s="102"/>
    </row>
    <row r="7" spans="3:28" x14ac:dyDescent="0.3">
      <c r="C7" s="37" t="s">
        <v>0</v>
      </c>
      <c r="D7" s="38" t="s">
        <v>1</v>
      </c>
      <c r="E7" s="38" t="s">
        <v>2</v>
      </c>
      <c r="F7" s="38" t="s">
        <v>3</v>
      </c>
      <c r="G7" s="38" t="s">
        <v>4</v>
      </c>
      <c r="H7" s="38" t="s">
        <v>5</v>
      </c>
      <c r="I7" s="38" t="s">
        <v>6</v>
      </c>
      <c r="J7" s="39" t="s">
        <v>7</v>
      </c>
      <c r="K7" s="38" t="s">
        <v>8</v>
      </c>
      <c r="L7" s="39" t="s">
        <v>9</v>
      </c>
      <c r="M7" s="38" t="s">
        <v>10</v>
      </c>
      <c r="N7" s="38" t="s">
        <v>11</v>
      </c>
      <c r="O7" s="38" t="s">
        <v>12</v>
      </c>
      <c r="P7" s="38" t="s">
        <v>13</v>
      </c>
      <c r="Q7" s="38" t="s">
        <v>14</v>
      </c>
      <c r="R7" s="38" t="s">
        <v>15</v>
      </c>
      <c r="S7" s="38" t="s">
        <v>16</v>
      </c>
      <c r="T7" s="38" t="s">
        <v>17</v>
      </c>
      <c r="U7" s="38" t="s">
        <v>18</v>
      </c>
      <c r="V7" s="38" t="s">
        <v>19</v>
      </c>
      <c r="W7" s="39" t="s">
        <v>20</v>
      </c>
      <c r="X7" s="38" t="s">
        <v>21</v>
      </c>
      <c r="Y7" s="40" t="s">
        <v>22</v>
      </c>
      <c r="Z7" s="38" t="s">
        <v>23</v>
      </c>
      <c r="AA7" s="38" t="s">
        <v>24</v>
      </c>
      <c r="AB7" s="41" t="s">
        <v>4030</v>
      </c>
    </row>
    <row r="8" spans="3:28" x14ac:dyDescent="0.3">
      <c r="C8" s="35" t="s">
        <v>2434</v>
      </c>
      <c r="D8" s="1" t="s">
        <v>464</v>
      </c>
      <c r="E8" s="1">
        <v>32</v>
      </c>
      <c r="F8" s="1" t="s">
        <v>44</v>
      </c>
      <c r="G8" s="1" t="s">
        <v>35</v>
      </c>
      <c r="H8" s="1" t="s">
        <v>61</v>
      </c>
      <c r="I8" s="1" t="s">
        <v>57</v>
      </c>
      <c r="J8" s="7">
        <v>48647</v>
      </c>
      <c r="K8" s="1">
        <v>849</v>
      </c>
      <c r="L8" s="7">
        <v>12419</v>
      </c>
      <c r="M8" s="1">
        <v>48</v>
      </c>
      <c r="N8" s="6">
        <v>0.151</v>
      </c>
      <c r="O8" s="1" t="s">
        <v>5</v>
      </c>
      <c r="P8" s="1" t="s">
        <v>47</v>
      </c>
      <c r="Q8" s="1">
        <v>29</v>
      </c>
      <c r="R8" s="1">
        <v>3</v>
      </c>
      <c r="S8" s="1" t="s">
        <v>31</v>
      </c>
      <c r="T8" s="1" t="s">
        <v>31</v>
      </c>
      <c r="U8" s="1">
        <v>2</v>
      </c>
      <c r="V8" s="1">
        <v>1676</v>
      </c>
      <c r="W8" s="7">
        <v>1653.91</v>
      </c>
      <c r="X8" s="1">
        <v>0.26</v>
      </c>
      <c r="Y8" s="4">
        <v>44748</v>
      </c>
      <c r="Z8" s="1" t="s">
        <v>38</v>
      </c>
      <c r="AA8" s="1" t="s">
        <v>33</v>
      </c>
      <c r="AB8" s="36" t="str" cm="1">
        <f t="array" ref="AB8">_xlfn.IFS(K8&gt;650,"LOW",K8&gt;=550,"MEDIUM",K8&lt;550,"HIGH")</f>
        <v>LOW</v>
      </c>
    </row>
    <row r="9" spans="3:28" x14ac:dyDescent="0.3">
      <c r="C9" s="35" t="s">
        <v>2578</v>
      </c>
      <c r="D9" s="1" t="s">
        <v>608</v>
      </c>
      <c r="E9" s="1">
        <v>34</v>
      </c>
      <c r="F9" s="1" t="s">
        <v>26</v>
      </c>
      <c r="G9" s="1" t="s">
        <v>27</v>
      </c>
      <c r="H9" s="1" t="s">
        <v>36</v>
      </c>
      <c r="I9" s="1" t="s">
        <v>59</v>
      </c>
      <c r="J9" s="7">
        <v>80752</v>
      </c>
      <c r="K9" s="1">
        <v>849</v>
      </c>
      <c r="L9" s="7">
        <v>7630</v>
      </c>
      <c r="M9" s="1">
        <v>24</v>
      </c>
      <c r="N9" s="6">
        <v>7.8200000000000006E-2</v>
      </c>
      <c r="O9" s="1" t="s">
        <v>41</v>
      </c>
      <c r="P9" s="1" t="s">
        <v>47</v>
      </c>
      <c r="Q9" s="1">
        <v>11</v>
      </c>
      <c r="R9" s="1">
        <v>3</v>
      </c>
      <c r="S9" s="1" t="s">
        <v>33</v>
      </c>
      <c r="T9" s="1" t="s">
        <v>31</v>
      </c>
      <c r="U9" s="1">
        <v>1</v>
      </c>
      <c r="V9" s="1">
        <v>149162</v>
      </c>
      <c r="W9" s="7">
        <v>403.87</v>
      </c>
      <c r="X9" s="1">
        <v>0.23</v>
      </c>
      <c r="Y9" s="4">
        <v>45173</v>
      </c>
      <c r="Z9" s="1" t="s">
        <v>32</v>
      </c>
      <c r="AA9" s="1" t="s">
        <v>31</v>
      </c>
      <c r="AB9" s="36" t="str" cm="1">
        <f t="array" ref="AB9">_xlfn.IFS(K9&gt;650,"LOW",K9&gt;=550,"MEDIUM",K9&lt;550,"HIGH")</f>
        <v>LOW</v>
      </c>
    </row>
    <row r="10" spans="3:28" x14ac:dyDescent="0.3">
      <c r="C10" s="35" t="s">
        <v>2776</v>
      </c>
      <c r="D10" s="1" t="s">
        <v>804</v>
      </c>
      <c r="E10" s="1">
        <v>37</v>
      </c>
      <c r="F10" s="1" t="s">
        <v>26</v>
      </c>
      <c r="G10" s="1" t="s">
        <v>27</v>
      </c>
      <c r="H10" s="1" t="s">
        <v>54</v>
      </c>
      <c r="I10" s="1" t="s">
        <v>40</v>
      </c>
      <c r="J10" s="7">
        <v>69853</v>
      </c>
      <c r="K10" s="1">
        <v>849</v>
      </c>
      <c r="L10" s="7">
        <v>10649</v>
      </c>
      <c r="M10" s="1">
        <v>48</v>
      </c>
      <c r="N10" s="6">
        <v>6.5099999999999991E-2</v>
      </c>
      <c r="O10" s="1" t="s">
        <v>41</v>
      </c>
      <c r="P10" s="1" t="s">
        <v>30</v>
      </c>
      <c r="Q10" s="1">
        <v>21</v>
      </c>
      <c r="R10" s="1">
        <v>1</v>
      </c>
      <c r="S10" s="1" t="s">
        <v>31</v>
      </c>
      <c r="T10" s="1" t="s">
        <v>33</v>
      </c>
      <c r="U10" s="1">
        <v>1</v>
      </c>
      <c r="V10" s="1">
        <v>143736</v>
      </c>
      <c r="W10" s="7">
        <v>149.16</v>
      </c>
      <c r="X10" s="1">
        <v>0.57999999999999996</v>
      </c>
      <c r="Y10" s="4">
        <v>44811</v>
      </c>
      <c r="Z10" s="1" t="s">
        <v>32</v>
      </c>
      <c r="AA10" s="1" t="s">
        <v>33</v>
      </c>
      <c r="AB10" s="36" t="str" cm="1">
        <f t="array" ref="AB10">_xlfn.IFS(K10&gt;650,"LOW",K10&gt;=550,"MEDIUM",K10&lt;550,"HIGH")</f>
        <v>LOW</v>
      </c>
    </row>
    <row r="11" spans="3:28" x14ac:dyDescent="0.3">
      <c r="C11" s="35" t="s">
        <v>2793</v>
      </c>
      <c r="D11" s="1" t="s">
        <v>821</v>
      </c>
      <c r="E11" s="1">
        <v>31</v>
      </c>
      <c r="F11" s="1" t="s">
        <v>44</v>
      </c>
      <c r="G11" s="1" t="s">
        <v>27</v>
      </c>
      <c r="H11" s="1" t="s">
        <v>54</v>
      </c>
      <c r="I11" s="1" t="s">
        <v>59</v>
      </c>
      <c r="J11" s="7">
        <v>146598</v>
      </c>
      <c r="K11" s="1">
        <v>849</v>
      </c>
      <c r="L11" s="7">
        <v>35364</v>
      </c>
      <c r="M11" s="1">
        <v>36</v>
      </c>
      <c r="N11" s="6">
        <v>0.12789999999999999</v>
      </c>
      <c r="O11" s="1" t="s">
        <v>46</v>
      </c>
      <c r="P11" s="1" t="s">
        <v>30</v>
      </c>
      <c r="Q11" s="1">
        <v>20</v>
      </c>
      <c r="R11" s="1">
        <v>2</v>
      </c>
      <c r="S11" s="1" t="s">
        <v>31</v>
      </c>
      <c r="T11" s="1" t="s">
        <v>33</v>
      </c>
      <c r="U11" s="1">
        <v>0</v>
      </c>
      <c r="V11" s="1">
        <v>102613</v>
      </c>
      <c r="W11" s="7">
        <v>1337.22</v>
      </c>
      <c r="X11" s="1">
        <v>0.97</v>
      </c>
      <c r="Y11" s="4">
        <v>44206</v>
      </c>
      <c r="Z11" s="1" t="s">
        <v>32</v>
      </c>
      <c r="AA11" s="1" t="s">
        <v>33</v>
      </c>
      <c r="AB11" s="36" t="str" cm="1">
        <f t="array" ref="AB11">_xlfn.IFS(K11&gt;650,"LOW",K11&gt;=550,"MEDIUM",K11&lt;550,"HIGH")</f>
        <v>LOW</v>
      </c>
    </row>
    <row r="12" spans="3:28" x14ac:dyDescent="0.3">
      <c r="C12" s="35" t="s">
        <v>3198</v>
      </c>
      <c r="D12" s="1" t="s">
        <v>1222</v>
      </c>
      <c r="E12" s="1">
        <v>28</v>
      </c>
      <c r="F12" s="1" t="s">
        <v>44</v>
      </c>
      <c r="G12" s="1" t="s">
        <v>56</v>
      </c>
      <c r="H12" s="1" t="s">
        <v>61</v>
      </c>
      <c r="I12" s="1" t="s">
        <v>29</v>
      </c>
      <c r="J12" s="7">
        <v>105374</v>
      </c>
      <c r="K12" s="1">
        <v>849</v>
      </c>
      <c r="L12" s="7">
        <v>12043</v>
      </c>
      <c r="M12" s="1">
        <v>12</v>
      </c>
      <c r="N12" s="6">
        <v>0.11169999999999999</v>
      </c>
      <c r="O12" s="1" t="s">
        <v>46</v>
      </c>
      <c r="P12" s="1" t="s">
        <v>50</v>
      </c>
      <c r="Q12" s="1">
        <v>28</v>
      </c>
      <c r="R12" s="1">
        <v>1</v>
      </c>
      <c r="S12" s="1" t="s">
        <v>33</v>
      </c>
      <c r="T12" s="1" t="s">
        <v>31</v>
      </c>
      <c r="U12" s="1">
        <v>0</v>
      </c>
      <c r="V12" s="1">
        <v>73111</v>
      </c>
      <c r="W12" s="7">
        <v>531.6</v>
      </c>
      <c r="X12" s="1">
        <v>0.5</v>
      </c>
      <c r="Y12" s="4">
        <v>44222</v>
      </c>
      <c r="Z12" s="1" t="s">
        <v>32</v>
      </c>
      <c r="AA12" s="1" t="s">
        <v>33</v>
      </c>
      <c r="AB12" s="36" t="str" cm="1">
        <f t="array" ref="AB12">_xlfn.IFS(K12&gt;650,"LOW",K12&gt;=550,"MEDIUM",K12&lt;550,"HIGH")</f>
        <v>LOW</v>
      </c>
    </row>
    <row r="13" spans="3:28" x14ac:dyDescent="0.3">
      <c r="C13" s="35" t="s">
        <v>3321</v>
      </c>
      <c r="D13" s="1" t="s">
        <v>1344</v>
      </c>
      <c r="E13" s="1">
        <v>25</v>
      </c>
      <c r="F13" s="1" t="s">
        <v>26</v>
      </c>
      <c r="G13" s="1" t="s">
        <v>45</v>
      </c>
      <c r="H13" s="1" t="s">
        <v>36</v>
      </c>
      <c r="I13" s="1" t="s">
        <v>57</v>
      </c>
      <c r="J13" s="7">
        <v>49059</v>
      </c>
      <c r="K13" s="1">
        <v>849</v>
      </c>
      <c r="L13" s="7">
        <v>24806</v>
      </c>
      <c r="M13" s="1">
        <v>60</v>
      </c>
      <c r="N13" s="6">
        <v>0.1061</v>
      </c>
      <c r="O13" s="1" t="s">
        <v>37</v>
      </c>
      <c r="P13" s="1" t="s">
        <v>30</v>
      </c>
      <c r="Q13" s="1">
        <v>16</v>
      </c>
      <c r="R13" s="1">
        <v>0</v>
      </c>
      <c r="S13" s="1" t="s">
        <v>33</v>
      </c>
      <c r="T13" s="1" t="s">
        <v>33</v>
      </c>
      <c r="U13" s="1">
        <v>2</v>
      </c>
      <c r="V13" s="1">
        <v>114751</v>
      </c>
      <c r="W13" s="7">
        <v>616.62</v>
      </c>
      <c r="X13" s="1">
        <v>0.31</v>
      </c>
      <c r="Y13" s="4">
        <v>45297</v>
      </c>
      <c r="Z13" s="1" t="s">
        <v>32</v>
      </c>
      <c r="AA13" s="1" t="s">
        <v>33</v>
      </c>
      <c r="AB13" s="36" t="str" cm="1">
        <f t="array" ref="AB13">_xlfn.IFS(K13&gt;650,"LOW",K13&gt;=550,"MEDIUM",K13&lt;550,"HIGH")</f>
        <v>LOW</v>
      </c>
    </row>
    <row r="14" spans="3:28" x14ac:dyDescent="0.3">
      <c r="C14" s="35" t="s">
        <v>3562</v>
      </c>
      <c r="D14" s="1" t="s">
        <v>1579</v>
      </c>
      <c r="E14" s="1">
        <v>53</v>
      </c>
      <c r="F14" s="1" t="s">
        <v>26</v>
      </c>
      <c r="G14" s="1" t="s">
        <v>35</v>
      </c>
      <c r="H14" s="1" t="s">
        <v>28</v>
      </c>
      <c r="I14" s="1" t="s">
        <v>57</v>
      </c>
      <c r="J14" s="7">
        <v>132333</v>
      </c>
      <c r="K14" s="1">
        <v>849</v>
      </c>
      <c r="L14" s="7">
        <v>10395</v>
      </c>
      <c r="M14" s="1">
        <v>48</v>
      </c>
      <c r="N14" s="6">
        <v>0.1101</v>
      </c>
      <c r="O14" s="1" t="s">
        <v>52</v>
      </c>
      <c r="P14" s="1" t="s">
        <v>47</v>
      </c>
      <c r="Q14" s="1">
        <v>8</v>
      </c>
      <c r="R14" s="1">
        <v>3</v>
      </c>
      <c r="S14" s="1" t="s">
        <v>33</v>
      </c>
      <c r="T14" s="1" t="s">
        <v>33</v>
      </c>
      <c r="U14" s="1">
        <v>2</v>
      </c>
      <c r="V14" s="1">
        <v>65032</v>
      </c>
      <c r="W14" s="7">
        <v>1613.99</v>
      </c>
      <c r="X14" s="1">
        <v>0.11</v>
      </c>
      <c r="Y14" s="4">
        <v>45565</v>
      </c>
      <c r="Z14" s="1" t="s">
        <v>32</v>
      </c>
      <c r="AA14" s="1" t="s">
        <v>33</v>
      </c>
      <c r="AB14" s="36" t="str" cm="1">
        <f t="array" ref="AB14">_xlfn.IFS(K14&gt;650,"LOW",K14&gt;=550,"MEDIUM",K14&lt;550,"HIGH")</f>
        <v>LOW</v>
      </c>
    </row>
    <row r="15" spans="3:28" x14ac:dyDescent="0.3">
      <c r="C15" s="35" t="s">
        <v>2261</v>
      </c>
      <c r="D15" s="1" t="s">
        <v>292</v>
      </c>
      <c r="E15" s="1">
        <v>60</v>
      </c>
      <c r="F15" s="1" t="s">
        <v>44</v>
      </c>
      <c r="G15" s="1" t="s">
        <v>35</v>
      </c>
      <c r="H15" s="1" t="s">
        <v>61</v>
      </c>
      <c r="I15" s="1" t="s">
        <v>59</v>
      </c>
      <c r="J15" s="7">
        <v>133689</v>
      </c>
      <c r="K15" s="1">
        <v>848</v>
      </c>
      <c r="L15" s="7">
        <v>17702</v>
      </c>
      <c r="M15" s="1">
        <v>60</v>
      </c>
      <c r="N15" s="6">
        <v>0.13589999999999999</v>
      </c>
      <c r="O15" s="1" t="s">
        <v>52</v>
      </c>
      <c r="P15" s="1" t="s">
        <v>50</v>
      </c>
      <c r="Q15" s="1">
        <v>9</v>
      </c>
      <c r="R15" s="1">
        <v>0</v>
      </c>
      <c r="S15" s="1" t="s">
        <v>33</v>
      </c>
      <c r="T15" s="1" t="s">
        <v>31</v>
      </c>
      <c r="U15" s="1">
        <v>0</v>
      </c>
      <c r="V15" s="1">
        <v>82164</v>
      </c>
      <c r="W15" s="7">
        <v>1244.56</v>
      </c>
      <c r="X15" s="1">
        <v>0.95</v>
      </c>
      <c r="Y15" s="4">
        <v>45508</v>
      </c>
      <c r="Z15" s="1" t="s">
        <v>32</v>
      </c>
      <c r="AA15" s="1" t="s">
        <v>33</v>
      </c>
      <c r="AB15" s="36" t="str" cm="1">
        <f t="array" ref="AB15">_xlfn.IFS(K15&gt;650,"LOW",K15&gt;=550,"MEDIUM",K15&lt;550,"HIGH")</f>
        <v>LOW</v>
      </c>
    </row>
    <row r="16" spans="3:28" x14ac:dyDescent="0.3">
      <c r="C16" s="35" t="s">
        <v>2686</v>
      </c>
      <c r="D16" s="1" t="s">
        <v>716</v>
      </c>
      <c r="E16" s="1">
        <v>49</v>
      </c>
      <c r="F16" s="1" t="s">
        <v>44</v>
      </c>
      <c r="G16" s="1" t="s">
        <v>56</v>
      </c>
      <c r="H16" s="1" t="s">
        <v>54</v>
      </c>
      <c r="I16" s="1" t="s">
        <v>57</v>
      </c>
      <c r="J16" s="7">
        <v>44309</v>
      </c>
      <c r="K16" s="1">
        <v>848</v>
      </c>
      <c r="L16" s="7">
        <v>43595</v>
      </c>
      <c r="M16" s="1">
        <v>12</v>
      </c>
      <c r="N16" s="6">
        <v>6.6199999999999995E-2</v>
      </c>
      <c r="O16" s="1" t="s">
        <v>37</v>
      </c>
      <c r="P16" s="1" t="s">
        <v>30</v>
      </c>
      <c r="Q16" s="1">
        <v>12</v>
      </c>
      <c r="R16" s="1">
        <v>3</v>
      </c>
      <c r="S16" s="1" t="s">
        <v>31</v>
      </c>
      <c r="T16" s="1" t="s">
        <v>33</v>
      </c>
      <c r="U16" s="1">
        <v>4</v>
      </c>
      <c r="V16" s="1">
        <v>45002</v>
      </c>
      <c r="W16" s="7">
        <v>396.63</v>
      </c>
      <c r="X16" s="1">
        <v>0.37</v>
      </c>
      <c r="Y16" s="4">
        <v>44362</v>
      </c>
      <c r="Z16" s="1" t="s">
        <v>32</v>
      </c>
      <c r="AA16" s="1" t="s">
        <v>33</v>
      </c>
      <c r="AB16" s="36" t="str" cm="1">
        <f t="array" ref="AB16">_xlfn.IFS(K16&gt;650,"LOW",K16&gt;=550,"MEDIUM",K16&lt;550,"HIGH")</f>
        <v>LOW</v>
      </c>
    </row>
    <row r="17" spans="3:28" x14ac:dyDescent="0.3">
      <c r="C17" s="35" t="s">
        <v>2928</v>
      </c>
      <c r="D17" s="1" t="s">
        <v>956</v>
      </c>
      <c r="E17" s="1">
        <v>25</v>
      </c>
      <c r="F17" s="1" t="s">
        <v>44</v>
      </c>
      <c r="G17" s="1" t="s">
        <v>56</v>
      </c>
      <c r="H17" s="1" t="s">
        <v>61</v>
      </c>
      <c r="I17" s="1" t="s">
        <v>59</v>
      </c>
      <c r="J17" s="7">
        <v>146777</v>
      </c>
      <c r="K17" s="1">
        <v>848</v>
      </c>
      <c r="L17" s="7">
        <v>47597</v>
      </c>
      <c r="M17" s="1">
        <v>12</v>
      </c>
      <c r="N17" s="6">
        <v>0.14369999999999999</v>
      </c>
      <c r="O17" s="1" t="s">
        <v>37</v>
      </c>
      <c r="P17" s="1" t="s">
        <v>50</v>
      </c>
      <c r="Q17" s="1">
        <v>16</v>
      </c>
      <c r="R17" s="1">
        <v>1</v>
      </c>
      <c r="S17" s="1" t="s">
        <v>31</v>
      </c>
      <c r="T17" s="1" t="s">
        <v>31</v>
      </c>
      <c r="U17" s="1">
        <v>3</v>
      </c>
      <c r="V17" s="1">
        <v>105385</v>
      </c>
      <c r="W17" s="7">
        <v>1088.32</v>
      </c>
      <c r="X17" s="1">
        <v>0.31</v>
      </c>
      <c r="Y17" s="4">
        <v>44621</v>
      </c>
      <c r="Z17" s="1" t="s">
        <v>38</v>
      </c>
      <c r="AA17" s="1" t="s">
        <v>33</v>
      </c>
      <c r="AB17" s="36" t="str" cm="1">
        <f t="array" ref="AB17">_xlfn.IFS(K17&gt;650,"LOW",K17&gt;=550,"MEDIUM",K17&lt;550,"HIGH")</f>
        <v>LOW</v>
      </c>
    </row>
    <row r="18" spans="3:28" x14ac:dyDescent="0.3">
      <c r="C18" s="35" t="s">
        <v>2161</v>
      </c>
      <c r="D18" s="1" t="s">
        <v>192</v>
      </c>
      <c r="E18" s="1">
        <v>24</v>
      </c>
      <c r="F18" s="1" t="s">
        <v>26</v>
      </c>
      <c r="G18" s="1" t="s">
        <v>56</v>
      </c>
      <c r="H18" s="1" t="s">
        <v>28</v>
      </c>
      <c r="I18" s="1" t="s">
        <v>59</v>
      </c>
      <c r="J18" s="7">
        <v>105178</v>
      </c>
      <c r="K18" s="1">
        <v>847</v>
      </c>
      <c r="L18" s="7">
        <v>15713</v>
      </c>
      <c r="M18" s="1">
        <v>60</v>
      </c>
      <c r="N18" s="6">
        <v>0.1052</v>
      </c>
      <c r="O18" s="1" t="s">
        <v>41</v>
      </c>
      <c r="P18" s="1" t="s">
        <v>50</v>
      </c>
      <c r="Q18" s="1">
        <v>5</v>
      </c>
      <c r="R18" s="1">
        <v>1</v>
      </c>
      <c r="S18" s="1" t="s">
        <v>33</v>
      </c>
      <c r="T18" s="1" t="s">
        <v>33</v>
      </c>
      <c r="U18" s="1">
        <v>0</v>
      </c>
      <c r="V18" s="1">
        <v>89484</v>
      </c>
      <c r="W18" s="7">
        <v>296.60000000000002</v>
      </c>
      <c r="X18" s="1">
        <v>0.62</v>
      </c>
      <c r="Y18" s="4">
        <v>44969</v>
      </c>
      <c r="Z18" s="1" t="s">
        <v>38</v>
      </c>
      <c r="AA18" s="1" t="s">
        <v>33</v>
      </c>
      <c r="AB18" s="36" t="str" cm="1">
        <f t="array" ref="AB18">_xlfn.IFS(K18&gt;650,"LOW",K18&gt;=550,"MEDIUM",K18&lt;550,"HIGH")</f>
        <v>LOW</v>
      </c>
    </row>
    <row r="19" spans="3:28" x14ac:dyDescent="0.3">
      <c r="C19" s="35" t="s">
        <v>2310</v>
      </c>
      <c r="D19" s="1" t="s">
        <v>341</v>
      </c>
      <c r="E19" s="1">
        <v>53</v>
      </c>
      <c r="F19" s="1" t="s">
        <v>26</v>
      </c>
      <c r="G19" s="1" t="s">
        <v>35</v>
      </c>
      <c r="H19" s="1" t="s">
        <v>61</v>
      </c>
      <c r="I19" s="1" t="s">
        <v>29</v>
      </c>
      <c r="J19" s="7">
        <v>59993</v>
      </c>
      <c r="K19" s="1">
        <v>847</v>
      </c>
      <c r="L19" s="7">
        <v>17997</v>
      </c>
      <c r="M19" s="1">
        <v>36</v>
      </c>
      <c r="N19" s="6">
        <v>0.10949999999999999</v>
      </c>
      <c r="O19" s="1" t="s">
        <v>37</v>
      </c>
      <c r="P19" s="1" t="s">
        <v>30</v>
      </c>
      <c r="Q19" s="1">
        <v>28</v>
      </c>
      <c r="R19" s="1">
        <v>2</v>
      </c>
      <c r="S19" s="1" t="s">
        <v>31</v>
      </c>
      <c r="T19" s="1" t="s">
        <v>31</v>
      </c>
      <c r="U19" s="1">
        <v>3</v>
      </c>
      <c r="V19" s="1">
        <v>175666</v>
      </c>
      <c r="W19" s="7">
        <v>1547.73</v>
      </c>
      <c r="X19" s="1">
        <v>0.39</v>
      </c>
      <c r="Y19" s="4">
        <v>44654</v>
      </c>
      <c r="Z19" s="1" t="s">
        <v>38</v>
      </c>
      <c r="AA19" s="1" t="s">
        <v>33</v>
      </c>
      <c r="AB19" s="36" t="str" cm="1">
        <f t="array" ref="AB19">_xlfn.IFS(K19&gt;650,"LOW",K19&gt;=550,"MEDIUM",K19&lt;550,"HIGH")</f>
        <v>LOW</v>
      </c>
    </row>
    <row r="20" spans="3:28" x14ac:dyDescent="0.3">
      <c r="C20" s="35" t="s">
        <v>2285</v>
      </c>
      <c r="D20" s="1" t="s">
        <v>316</v>
      </c>
      <c r="E20" s="1">
        <v>23</v>
      </c>
      <c r="F20" s="1" t="s">
        <v>26</v>
      </c>
      <c r="G20" s="1" t="s">
        <v>45</v>
      </c>
      <c r="H20" s="1" t="s">
        <v>28</v>
      </c>
      <c r="I20" s="1" t="s">
        <v>57</v>
      </c>
      <c r="J20" s="7">
        <v>31353</v>
      </c>
      <c r="K20" s="1">
        <v>846</v>
      </c>
      <c r="L20" s="7">
        <v>31868</v>
      </c>
      <c r="M20" s="1">
        <v>12</v>
      </c>
      <c r="N20" s="6">
        <v>9.2899999999999996E-2</v>
      </c>
      <c r="O20" s="1" t="s">
        <v>46</v>
      </c>
      <c r="P20" s="1" t="s">
        <v>47</v>
      </c>
      <c r="Q20" s="1">
        <v>25</v>
      </c>
      <c r="R20" s="1">
        <v>2</v>
      </c>
      <c r="S20" s="1" t="s">
        <v>33</v>
      </c>
      <c r="T20" s="1" t="s">
        <v>31</v>
      </c>
      <c r="U20" s="1">
        <v>4</v>
      </c>
      <c r="V20" s="1">
        <v>73834</v>
      </c>
      <c r="W20" s="7">
        <v>1001.76</v>
      </c>
      <c r="X20" s="1">
        <v>0.48</v>
      </c>
      <c r="Y20" s="4">
        <v>45630</v>
      </c>
      <c r="Z20" s="1" t="s">
        <v>38</v>
      </c>
      <c r="AA20" s="1" t="s">
        <v>33</v>
      </c>
      <c r="AB20" s="36" t="str" cm="1">
        <f t="array" ref="AB20">_xlfn.IFS(K20&gt;650,"LOW",K20&gt;=550,"MEDIUM",K20&lt;550,"HIGH")</f>
        <v>LOW</v>
      </c>
    </row>
    <row r="21" spans="3:28" x14ac:dyDescent="0.3">
      <c r="C21" s="35" t="s">
        <v>2929</v>
      </c>
      <c r="D21" s="1" t="s">
        <v>957</v>
      </c>
      <c r="E21" s="1">
        <v>26</v>
      </c>
      <c r="F21" s="1" t="s">
        <v>44</v>
      </c>
      <c r="G21" s="1" t="s">
        <v>45</v>
      </c>
      <c r="H21" s="1" t="s">
        <v>36</v>
      </c>
      <c r="I21" s="1" t="s">
        <v>57</v>
      </c>
      <c r="J21" s="7">
        <v>82637</v>
      </c>
      <c r="K21" s="1">
        <v>846</v>
      </c>
      <c r="L21" s="7">
        <v>5960</v>
      </c>
      <c r="M21" s="1">
        <v>48</v>
      </c>
      <c r="N21" s="6">
        <v>0.18340000000000001</v>
      </c>
      <c r="O21" s="1" t="s">
        <v>46</v>
      </c>
      <c r="P21" s="1" t="s">
        <v>47</v>
      </c>
      <c r="Q21" s="1">
        <v>22</v>
      </c>
      <c r="R21" s="1">
        <v>4</v>
      </c>
      <c r="S21" s="1" t="s">
        <v>31</v>
      </c>
      <c r="T21" s="1" t="s">
        <v>31</v>
      </c>
      <c r="U21" s="1">
        <v>1</v>
      </c>
      <c r="V21" s="1">
        <v>67907</v>
      </c>
      <c r="W21" s="7">
        <v>1974.2</v>
      </c>
      <c r="X21" s="1">
        <v>0.59</v>
      </c>
      <c r="Y21" s="4">
        <v>44997</v>
      </c>
      <c r="Z21" s="1" t="s">
        <v>32</v>
      </c>
      <c r="AA21" s="1" t="s">
        <v>33</v>
      </c>
      <c r="AB21" s="36" t="str" cm="1">
        <f t="array" ref="AB21">_xlfn.IFS(K21&gt;650,"LOW",K21&gt;=550,"MEDIUM",K21&lt;550,"HIGH")</f>
        <v>LOW</v>
      </c>
    </row>
    <row r="22" spans="3:28" x14ac:dyDescent="0.3">
      <c r="C22" s="35" t="s">
        <v>3425</v>
      </c>
      <c r="D22" s="1" t="s">
        <v>1445</v>
      </c>
      <c r="E22" s="1">
        <v>33</v>
      </c>
      <c r="F22" s="1" t="s">
        <v>26</v>
      </c>
      <c r="G22" s="1" t="s">
        <v>27</v>
      </c>
      <c r="H22" s="1" t="s">
        <v>54</v>
      </c>
      <c r="I22" s="1" t="s">
        <v>29</v>
      </c>
      <c r="J22" s="7">
        <v>96631</v>
      </c>
      <c r="K22" s="1">
        <v>846</v>
      </c>
      <c r="L22" s="7">
        <v>7984</v>
      </c>
      <c r="M22" s="1">
        <v>12</v>
      </c>
      <c r="N22" s="6">
        <v>0.1537</v>
      </c>
      <c r="O22" s="1" t="s">
        <v>46</v>
      </c>
      <c r="P22" s="1" t="s">
        <v>47</v>
      </c>
      <c r="Q22" s="1">
        <v>17</v>
      </c>
      <c r="R22" s="1">
        <v>0</v>
      </c>
      <c r="S22" s="1" t="s">
        <v>33</v>
      </c>
      <c r="T22" s="1" t="s">
        <v>33</v>
      </c>
      <c r="U22" s="1">
        <v>4</v>
      </c>
      <c r="V22" s="1">
        <v>135210</v>
      </c>
      <c r="W22" s="7">
        <v>705.72</v>
      </c>
      <c r="X22" s="1">
        <v>0.71</v>
      </c>
      <c r="Y22" s="4">
        <v>44815</v>
      </c>
      <c r="Z22" s="1" t="s">
        <v>38</v>
      </c>
      <c r="AA22" s="1" t="s">
        <v>33</v>
      </c>
      <c r="AB22" s="36" t="str" cm="1">
        <f t="array" ref="AB22">_xlfn.IFS(K22&gt;650,"LOW",K22&gt;=550,"MEDIUM",K22&lt;550,"HIGH")</f>
        <v>LOW</v>
      </c>
    </row>
    <row r="23" spans="3:28" x14ac:dyDescent="0.3">
      <c r="C23" s="35" t="s">
        <v>3499</v>
      </c>
      <c r="D23" s="1" t="s">
        <v>1516</v>
      </c>
      <c r="E23" s="1">
        <v>55</v>
      </c>
      <c r="F23" s="1" t="s">
        <v>44</v>
      </c>
      <c r="G23" s="1" t="s">
        <v>27</v>
      </c>
      <c r="H23" s="1" t="s">
        <v>28</v>
      </c>
      <c r="I23" s="1" t="s">
        <v>57</v>
      </c>
      <c r="J23" s="7">
        <v>31907</v>
      </c>
      <c r="K23" s="1">
        <v>846</v>
      </c>
      <c r="L23" s="7">
        <v>32145</v>
      </c>
      <c r="M23" s="1">
        <v>12</v>
      </c>
      <c r="N23" s="6">
        <v>0.16719999999999999</v>
      </c>
      <c r="O23" s="1" t="s">
        <v>46</v>
      </c>
      <c r="P23" s="1" t="s">
        <v>47</v>
      </c>
      <c r="Q23" s="1">
        <v>5</v>
      </c>
      <c r="R23" s="1">
        <v>2</v>
      </c>
      <c r="S23" s="1" t="s">
        <v>33</v>
      </c>
      <c r="T23" s="1" t="s">
        <v>31</v>
      </c>
      <c r="U23" s="1">
        <v>0</v>
      </c>
      <c r="V23" s="1">
        <v>5814</v>
      </c>
      <c r="W23" s="7">
        <v>508.1</v>
      </c>
      <c r="X23" s="1">
        <v>0.78</v>
      </c>
      <c r="Y23" s="4">
        <v>45095</v>
      </c>
      <c r="Z23" s="1" t="s">
        <v>38</v>
      </c>
      <c r="AA23" s="1" t="s">
        <v>33</v>
      </c>
      <c r="AB23" s="36" t="str" cm="1">
        <f t="array" ref="AB23">_xlfn.IFS(K23&gt;650,"LOW",K23&gt;=550,"MEDIUM",K23&lt;550,"HIGH")</f>
        <v>LOW</v>
      </c>
    </row>
    <row r="24" spans="3:28" x14ac:dyDescent="0.3">
      <c r="C24" s="35" t="s">
        <v>3823</v>
      </c>
      <c r="D24" s="1" t="s">
        <v>1829</v>
      </c>
      <c r="E24" s="1">
        <v>61</v>
      </c>
      <c r="F24" s="1" t="s">
        <v>26</v>
      </c>
      <c r="G24" s="1" t="s">
        <v>27</v>
      </c>
      <c r="H24" s="1" t="s">
        <v>61</v>
      </c>
      <c r="I24" s="1" t="s">
        <v>40</v>
      </c>
      <c r="J24" s="7">
        <v>118695</v>
      </c>
      <c r="K24" s="1">
        <v>846</v>
      </c>
      <c r="L24" s="7">
        <v>4192</v>
      </c>
      <c r="M24" s="1">
        <v>24</v>
      </c>
      <c r="N24" s="6">
        <v>0.11320000000000001</v>
      </c>
      <c r="O24" s="1" t="s">
        <v>5</v>
      </c>
      <c r="P24" s="1" t="s">
        <v>47</v>
      </c>
      <c r="Q24" s="1">
        <v>22</v>
      </c>
      <c r="R24" s="1">
        <v>1</v>
      </c>
      <c r="S24" s="1" t="s">
        <v>33</v>
      </c>
      <c r="T24" s="1" t="s">
        <v>31</v>
      </c>
      <c r="U24" s="1">
        <v>2</v>
      </c>
      <c r="V24" s="1">
        <v>43224</v>
      </c>
      <c r="W24" s="7">
        <v>767.8</v>
      </c>
      <c r="X24" s="1">
        <v>0.78</v>
      </c>
      <c r="Y24" s="4">
        <v>44918</v>
      </c>
      <c r="Z24" s="1" t="s">
        <v>38</v>
      </c>
      <c r="AA24" s="1" t="s">
        <v>33</v>
      </c>
      <c r="AB24" s="36" t="str" cm="1">
        <f t="array" ref="AB24">_xlfn.IFS(K24&gt;650,"LOW",K24&gt;=550,"MEDIUM",K24&lt;550,"HIGH")</f>
        <v>LOW</v>
      </c>
    </row>
    <row r="25" spans="3:28" x14ac:dyDescent="0.3">
      <c r="C25" s="35" t="s">
        <v>3850</v>
      </c>
      <c r="D25" s="1" t="s">
        <v>1856</v>
      </c>
      <c r="E25" s="1">
        <v>35</v>
      </c>
      <c r="F25" s="1" t="s">
        <v>44</v>
      </c>
      <c r="G25" s="1" t="s">
        <v>27</v>
      </c>
      <c r="H25" s="1" t="s">
        <v>61</v>
      </c>
      <c r="I25" s="1" t="s">
        <v>59</v>
      </c>
      <c r="J25" s="7">
        <v>135919</v>
      </c>
      <c r="K25" s="1">
        <v>846</v>
      </c>
      <c r="L25" s="7">
        <v>31921</v>
      </c>
      <c r="M25" s="1">
        <v>36</v>
      </c>
      <c r="N25" s="6">
        <v>6.1799999999999994E-2</v>
      </c>
      <c r="O25" s="1" t="s">
        <v>37</v>
      </c>
      <c r="P25" s="1" t="s">
        <v>30</v>
      </c>
      <c r="Q25" s="1">
        <v>13</v>
      </c>
      <c r="R25" s="1">
        <v>4</v>
      </c>
      <c r="S25" s="1" t="s">
        <v>33</v>
      </c>
      <c r="T25" s="1" t="s">
        <v>33</v>
      </c>
      <c r="U25" s="1">
        <v>0</v>
      </c>
      <c r="V25" s="1">
        <v>178282</v>
      </c>
      <c r="W25" s="7">
        <v>1321.21</v>
      </c>
      <c r="X25" s="1">
        <v>0.65</v>
      </c>
      <c r="Y25" s="4">
        <v>45249</v>
      </c>
      <c r="Z25" s="1" t="s">
        <v>38</v>
      </c>
      <c r="AA25" s="1" t="s">
        <v>31</v>
      </c>
      <c r="AB25" s="36" t="str" cm="1">
        <f t="array" ref="AB25">_xlfn.IFS(K25&gt;650,"LOW",K25&gt;=550,"MEDIUM",K25&lt;550,"HIGH")</f>
        <v>LOW</v>
      </c>
    </row>
    <row r="26" spans="3:28" x14ac:dyDescent="0.3">
      <c r="C26" s="35" t="s">
        <v>2054</v>
      </c>
      <c r="D26" s="1" t="s">
        <v>85</v>
      </c>
      <c r="E26" s="1">
        <v>64</v>
      </c>
      <c r="F26" s="1" t="s">
        <v>44</v>
      </c>
      <c r="G26" s="1" t="s">
        <v>45</v>
      </c>
      <c r="H26" s="1" t="s">
        <v>36</v>
      </c>
      <c r="I26" s="1" t="s">
        <v>40</v>
      </c>
      <c r="J26" s="7">
        <v>95645</v>
      </c>
      <c r="K26" s="1">
        <v>845</v>
      </c>
      <c r="L26" s="7">
        <v>37575</v>
      </c>
      <c r="M26" s="1">
        <v>48</v>
      </c>
      <c r="N26" s="6">
        <v>0.13919999999999999</v>
      </c>
      <c r="O26" s="1" t="s">
        <v>63</v>
      </c>
      <c r="P26" s="1" t="s">
        <v>30</v>
      </c>
      <c r="Q26" s="1">
        <v>27</v>
      </c>
      <c r="R26" s="1">
        <v>0</v>
      </c>
      <c r="S26" s="1" t="s">
        <v>31</v>
      </c>
      <c r="T26" s="1" t="s">
        <v>33</v>
      </c>
      <c r="U26" s="1">
        <v>4</v>
      </c>
      <c r="V26" s="1">
        <v>196684</v>
      </c>
      <c r="W26" s="7">
        <v>812.7</v>
      </c>
      <c r="X26" s="1">
        <v>0.36</v>
      </c>
      <c r="Y26" s="4">
        <v>45814</v>
      </c>
      <c r="Z26" s="1" t="s">
        <v>32</v>
      </c>
      <c r="AA26" s="1" t="s">
        <v>31</v>
      </c>
      <c r="AB26" s="36" t="str" cm="1">
        <f t="array" ref="AB26">_xlfn.IFS(K26&gt;650,"LOW",K26&gt;=550,"MEDIUM",K26&lt;550,"HIGH")</f>
        <v>LOW</v>
      </c>
    </row>
    <row r="27" spans="3:28" x14ac:dyDescent="0.3">
      <c r="C27" s="35" t="s">
        <v>2328</v>
      </c>
      <c r="D27" s="1" t="s">
        <v>359</v>
      </c>
      <c r="E27" s="1">
        <v>54</v>
      </c>
      <c r="F27" s="1" t="s">
        <v>44</v>
      </c>
      <c r="G27" s="1" t="s">
        <v>56</v>
      </c>
      <c r="H27" s="1" t="s">
        <v>61</v>
      </c>
      <c r="I27" s="1" t="s">
        <v>59</v>
      </c>
      <c r="J27" s="7">
        <v>127044</v>
      </c>
      <c r="K27" s="1">
        <v>845</v>
      </c>
      <c r="L27" s="7">
        <v>10432</v>
      </c>
      <c r="M27" s="1">
        <v>60</v>
      </c>
      <c r="N27" s="6">
        <v>9.2799999999999994E-2</v>
      </c>
      <c r="O27" s="1" t="s">
        <v>37</v>
      </c>
      <c r="P27" s="1" t="s">
        <v>50</v>
      </c>
      <c r="Q27" s="1">
        <v>22</v>
      </c>
      <c r="R27" s="1">
        <v>3</v>
      </c>
      <c r="S27" s="1" t="s">
        <v>33</v>
      </c>
      <c r="T27" s="1" t="s">
        <v>31</v>
      </c>
      <c r="U27" s="1">
        <v>1</v>
      </c>
      <c r="V27" s="1">
        <v>196301</v>
      </c>
      <c r="W27" s="7">
        <v>1347.74</v>
      </c>
      <c r="X27" s="1">
        <v>0.16</v>
      </c>
      <c r="Y27" s="4">
        <v>45116</v>
      </c>
      <c r="Z27" s="1" t="s">
        <v>32</v>
      </c>
      <c r="AA27" s="1" t="s">
        <v>33</v>
      </c>
      <c r="AB27" s="36" t="str" cm="1">
        <f t="array" ref="AB27">_xlfn.IFS(K27&gt;650,"LOW",K27&gt;=550,"MEDIUM",K27&lt;550,"HIGH")</f>
        <v>LOW</v>
      </c>
    </row>
    <row r="28" spans="3:28" x14ac:dyDescent="0.3">
      <c r="C28" s="35" t="s">
        <v>3848</v>
      </c>
      <c r="D28" s="1" t="s">
        <v>1854</v>
      </c>
      <c r="E28" s="1">
        <v>56</v>
      </c>
      <c r="F28" s="1" t="s">
        <v>44</v>
      </c>
      <c r="G28" s="1" t="s">
        <v>35</v>
      </c>
      <c r="H28" s="1" t="s">
        <v>36</v>
      </c>
      <c r="I28" s="1" t="s">
        <v>59</v>
      </c>
      <c r="J28" s="7">
        <v>75823</v>
      </c>
      <c r="K28" s="1">
        <v>845</v>
      </c>
      <c r="L28" s="7">
        <v>43000</v>
      </c>
      <c r="M28" s="1">
        <v>36</v>
      </c>
      <c r="N28" s="6">
        <v>0.17670000000000002</v>
      </c>
      <c r="O28" s="1" t="s">
        <v>46</v>
      </c>
      <c r="P28" s="1" t="s">
        <v>30</v>
      </c>
      <c r="Q28" s="1">
        <v>29</v>
      </c>
      <c r="R28" s="1">
        <v>1</v>
      </c>
      <c r="S28" s="1" t="s">
        <v>33</v>
      </c>
      <c r="T28" s="1" t="s">
        <v>31</v>
      </c>
      <c r="U28" s="1">
        <v>1</v>
      </c>
      <c r="V28" s="1">
        <v>101647</v>
      </c>
      <c r="W28" s="7">
        <v>1254.5999999999999</v>
      </c>
      <c r="X28" s="1">
        <v>0.26</v>
      </c>
      <c r="Y28" s="4">
        <v>44586</v>
      </c>
      <c r="Z28" s="1" t="s">
        <v>38</v>
      </c>
      <c r="AA28" s="1" t="s">
        <v>33</v>
      </c>
      <c r="AB28" s="36" t="str" cm="1">
        <f t="array" ref="AB28">_xlfn.IFS(K28&gt;650,"LOW",K28&gt;=550,"MEDIUM",K28&lt;550,"HIGH")</f>
        <v>LOW</v>
      </c>
    </row>
    <row r="29" spans="3:28" x14ac:dyDescent="0.3">
      <c r="C29" s="35" t="s">
        <v>2281</v>
      </c>
      <c r="D29" s="1" t="s">
        <v>312</v>
      </c>
      <c r="E29" s="1">
        <v>61</v>
      </c>
      <c r="F29" s="1" t="s">
        <v>44</v>
      </c>
      <c r="G29" s="1" t="s">
        <v>35</v>
      </c>
      <c r="H29" s="1" t="s">
        <v>61</v>
      </c>
      <c r="I29" s="1" t="s">
        <v>59</v>
      </c>
      <c r="J29" s="7">
        <v>142689</v>
      </c>
      <c r="K29" s="1">
        <v>844</v>
      </c>
      <c r="L29" s="7">
        <v>42473</v>
      </c>
      <c r="M29" s="1">
        <v>48</v>
      </c>
      <c r="N29" s="6">
        <v>5.3600000000000002E-2</v>
      </c>
      <c r="O29" s="1" t="s">
        <v>41</v>
      </c>
      <c r="P29" s="1" t="s">
        <v>30</v>
      </c>
      <c r="Q29" s="1">
        <v>24</v>
      </c>
      <c r="R29" s="1">
        <v>1</v>
      </c>
      <c r="S29" s="1" t="s">
        <v>33</v>
      </c>
      <c r="T29" s="1" t="s">
        <v>33</v>
      </c>
      <c r="U29" s="1">
        <v>1</v>
      </c>
      <c r="V29" s="1">
        <v>101892</v>
      </c>
      <c r="W29" s="7">
        <v>1868.44</v>
      </c>
      <c r="X29" s="1">
        <v>0.36</v>
      </c>
      <c r="Y29" s="4">
        <v>44044</v>
      </c>
      <c r="Z29" s="1" t="s">
        <v>38</v>
      </c>
      <c r="AA29" s="1" t="s">
        <v>33</v>
      </c>
      <c r="AB29" s="36" t="str" cm="1">
        <f t="array" ref="AB29">_xlfn.IFS(K29&gt;650,"LOW",K29&gt;=550,"MEDIUM",K29&lt;550,"HIGH")</f>
        <v>LOW</v>
      </c>
    </row>
    <row r="30" spans="3:28" x14ac:dyDescent="0.3">
      <c r="C30" s="35" t="s">
        <v>2331</v>
      </c>
      <c r="D30" s="1" t="s">
        <v>362</v>
      </c>
      <c r="E30" s="1">
        <v>53</v>
      </c>
      <c r="F30" s="1" t="s">
        <v>44</v>
      </c>
      <c r="G30" s="1" t="s">
        <v>56</v>
      </c>
      <c r="H30" s="1" t="s">
        <v>54</v>
      </c>
      <c r="I30" s="1" t="s">
        <v>29</v>
      </c>
      <c r="J30" s="7">
        <v>148406</v>
      </c>
      <c r="K30" s="1">
        <v>844</v>
      </c>
      <c r="L30" s="7">
        <v>46454</v>
      </c>
      <c r="M30" s="1">
        <v>24</v>
      </c>
      <c r="N30" s="6">
        <v>5.67E-2</v>
      </c>
      <c r="O30" s="1" t="s">
        <v>41</v>
      </c>
      <c r="P30" s="1" t="s">
        <v>47</v>
      </c>
      <c r="Q30" s="1">
        <v>17</v>
      </c>
      <c r="R30" s="1">
        <v>2</v>
      </c>
      <c r="S30" s="1" t="s">
        <v>33</v>
      </c>
      <c r="T30" s="1" t="s">
        <v>31</v>
      </c>
      <c r="U30" s="1">
        <v>0</v>
      </c>
      <c r="V30" s="1">
        <v>40725</v>
      </c>
      <c r="W30" s="7">
        <v>114.68</v>
      </c>
      <c r="X30" s="1">
        <v>0.22</v>
      </c>
      <c r="Y30" s="4">
        <v>45307</v>
      </c>
      <c r="Z30" s="1" t="s">
        <v>32</v>
      </c>
      <c r="AA30" s="1" t="s">
        <v>33</v>
      </c>
      <c r="AB30" s="36" t="str" cm="1">
        <f t="array" ref="AB30">_xlfn.IFS(K30&gt;650,"LOW",K30&gt;=550,"MEDIUM",K30&lt;550,"HIGH")</f>
        <v>LOW</v>
      </c>
    </row>
    <row r="31" spans="3:28" x14ac:dyDescent="0.3">
      <c r="C31" s="35" t="s">
        <v>2497</v>
      </c>
      <c r="D31" s="1" t="s">
        <v>527</v>
      </c>
      <c r="E31" s="1">
        <v>23</v>
      </c>
      <c r="F31" s="1" t="s">
        <v>26</v>
      </c>
      <c r="G31" s="1" t="s">
        <v>35</v>
      </c>
      <c r="H31" s="1" t="s">
        <v>54</v>
      </c>
      <c r="I31" s="1" t="s">
        <v>40</v>
      </c>
      <c r="J31" s="7">
        <v>139222</v>
      </c>
      <c r="K31" s="1">
        <v>844</v>
      </c>
      <c r="L31" s="7">
        <v>34276</v>
      </c>
      <c r="M31" s="1">
        <v>48</v>
      </c>
      <c r="N31" s="6">
        <v>0.17420000000000002</v>
      </c>
      <c r="O31" s="1" t="s">
        <v>5</v>
      </c>
      <c r="P31" s="1" t="s">
        <v>47</v>
      </c>
      <c r="Q31" s="1">
        <v>22</v>
      </c>
      <c r="R31" s="1">
        <v>3</v>
      </c>
      <c r="S31" s="1" t="s">
        <v>31</v>
      </c>
      <c r="T31" s="1" t="s">
        <v>31</v>
      </c>
      <c r="U31" s="1">
        <v>2</v>
      </c>
      <c r="V31" s="1">
        <v>182870</v>
      </c>
      <c r="W31" s="7">
        <v>590.24</v>
      </c>
      <c r="X31" s="1">
        <v>0.13</v>
      </c>
      <c r="Y31" s="4">
        <v>45343</v>
      </c>
      <c r="Z31" s="1" t="s">
        <v>32</v>
      </c>
      <c r="AA31" s="1" t="s">
        <v>33</v>
      </c>
      <c r="AB31" s="36" t="str" cm="1">
        <f t="array" ref="AB31">_xlfn.IFS(K31&gt;650,"LOW",K31&gt;=550,"MEDIUM",K31&lt;550,"HIGH")</f>
        <v>LOW</v>
      </c>
    </row>
    <row r="32" spans="3:28" x14ac:dyDescent="0.3">
      <c r="C32" s="35" t="s">
        <v>3154</v>
      </c>
      <c r="D32" s="1" t="s">
        <v>1178</v>
      </c>
      <c r="E32" s="1">
        <v>27</v>
      </c>
      <c r="F32" s="1" t="s">
        <v>26</v>
      </c>
      <c r="G32" s="1" t="s">
        <v>27</v>
      </c>
      <c r="H32" s="1" t="s">
        <v>54</v>
      </c>
      <c r="I32" s="1" t="s">
        <v>40</v>
      </c>
      <c r="J32" s="7">
        <v>79789</v>
      </c>
      <c r="K32" s="1">
        <v>844</v>
      </c>
      <c r="L32" s="7">
        <v>19922</v>
      </c>
      <c r="M32" s="1">
        <v>36</v>
      </c>
      <c r="N32" s="6">
        <v>0.18090000000000001</v>
      </c>
      <c r="O32" s="1" t="s">
        <v>63</v>
      </c>
      <c r="P32" s="1" t="s">
        <v>50</v>
      </c>
      <c r="Q32" s="1">
        <v>3</v>
      </c>
      <c r="R32" s="1">
        <v>0</v>
      </c>
      <c r="S32" s="1" t="s">
        <v>31</v>
      </c>
      <c r="T32" s="1" t="s">
        <v>31</v>
      </c>
      <c r="U32" s="1">
        <v>3</v>
      </c>
      <c r="V32" s="1">
        <v>9695</v>
      </c>
      <c r="W32" s="7">
        <v>504.66</v>
      </c>
      <c r="X32" s="1">
        <v>0.35</v>
      </c>
      <c r="Y32" s="4">
        <v>45056</v>
      </c>
      <c r="Z32" s="1" t="s">
        <v>38</v>
      </c>
      <c r="AA32" s="1" t="s">
        <v>33</v>
      </c>
      <c r="AB32" s="36" t="str" cm="1">
        <f t="array" ref="AB32">_xlfn.IFS(K32&gt;650,"LOW",K32&gt;=550,"MEDIUM",K32&lt;550,"HIGH")</f>
        <v>LOW</v>
      </c>
    </row>
    <row r="33" spans="3:28" x14ac:dyDescent="0.3">
      <c r="C33" s="35" t="s">
        <v>3188</v>
      </c>
      <c r="D33" s="1" t="s">
        <v>1212</v>
      </c>
      <c r="E33" s="1">
        <v>43</v>
      </c>
      <c r="F33" s="1" t="s">
        <v>44</v>
      </c>
      <c r="G33" s="1" t="s">
        <v>35</v>
      </c>
      <c r="H33" s="1" t="s">
        <v>28</v>
      </c>
      <c r="I33" s="1" t="s">
        <v>40</v>
      </c>
      <c r="J33" s="7">
        <v>82665</v>
      </c>
      <c r="K33" s="1">
        <v>844</v>
      </c>
      <c r="L33" s="7">
        <v>35168</v>
      </c>
      <c r="M33" s="1">
        <v>12</v>
      </c>
      <c r="N33" s="6">
        <v>0.1288</v>
      </c>
      <c r="O33" s="1" t="s">
        <v>41</v>
      </c>
      <c r="P33" s="1" t="s">
        <v>30</v>
      </c>
      <c r="Q33" s="1">
        <v>18</v>
      </c>
      <c r="R33" s="1">
        <v>3</v>
      </c>
      <c r="S33" s="1" t="s">
        <v>33</v>
      </c>
      <c r="T33" s="1" t="s">
        <v>33</v>
      </c>
      <c r="U33" s="1">
        <v>0</v>
      </c>
      <c r="V33" s="1">
        <v>109391</v>
      </c>
      <c r="W33" s="7">
        <v>710.07</v>
      </c>
      <c r="X33" s="1">
        <v>0.98</v>
      </c>
      <c r="Y33" s="4">
        <v>45339</v>
      </c>
      <c r="Z33" s="1" t="s">
        <v>32</v>
      </c>
      <c r="AA33" s="1" t="s">
        <v>33</v>
      </c>
      <c r="AB33" s="36" t="str" cm="1">
        <f t="array" ref="AB33">_xlfn.IFS(K33&gt;650,"LOW",K33&gt;=550,"MEDIUM",K33&lt;550,"HIGH")</f>
        <v>LOW</v>
      </c>
    </row>
    <row r="34" spans="3:28" x14ac:dyDescent="0.3">
      <c r="C34" s="35" t="s">
        <v>3663</v>
      </c>
      <c r="D34" s="1" t="s">
        <v>1675</v>
      </c>
      <c r="E34" s="1">
        <v>40</v>
      </c>
      <c r="F34" s="1" t="s">
        <v>26</v>
      </c>
      <c r="G34" s="1" t="s">
        <v>35</v>
      </c>
      <c r="H34" s="1" t="s">
        <v>61</v>
      </c>
      <c r="I34" s="1" t="s">
        <v>59</v>
      </c>
      <c r="J34" s="7">
        <v>38302</v>
      </c>
      <c r="K34" s="1">
        <v>844</v>
      </c>
      <c r="L34" s="7">
        <v>29618</v>
      </c>
      <c r="M34" s="1">
        <v>48</v>
      </c>
      <c r="N34" s="6">
        <v>8.8300000000000003E-2</v>
      </c>
      <c r="O34" s="1" t="s">
        <v>63</v>
      </c>
      <c r="P34" s="1" t="s">
        <v>50</v>
      </c>
      <c r="Q34" s="1">
        <v>20</v>
      </c>
      <c r="R34" s="1">
        <v>4</v>
      </c>
      <c r="S34" s="1" t="s">
        <v>33</v>
      </c>
      <c r="T34" s="1" t="s">
        <v>33</v>
      </c>
      <c r="U34" s="1">
        <v>2</v>
      </c>
      <c r="V34" s="1">
        <v>82307</v>
      </c>
      <c r="W34" s="7">
        <v>1357.43</v>
      </c>
      <c r="X34" s="1">
        <v>0.96</v>
      </c>
      <c r="Y34" s="4">
        <v>45140</v>
      </c>
      <c r="Z34" s="1" t="s">
        <v>38</v>
      </c>
      <c r="AA34" s="1" t="s">
        <v>33</v>
      </c>
      <c r="AB34" s="36" t="str" cm="1">
        <f t="array" ref="AB34">_xlfn.IFS(K34&gt;650,"LOW",K34&gt;=550,"MEDIUM",K34&lt;550,"HIGH")</f>
        <v>LOW</v>
      </c>
    </row>
    <row r="35" spans="3:28" x14ac:dyDescent="0.3">
      <c r="C35" s="35" t="s">
        <v>2369</v>
      </c>
      <c r="D35" s="1" t="s">
        <v>399</v>
      </c>
      <c r="E35" s="1">
        <v>62</v>
      </c>
      <c r="F35" s="1" t="s">
        <v>26</v>
      </c>
      <c r="G35" s="1" t="s">
        <v>56</v>
      </c>
      <c r="H35" s="1" t="s">
        <v>61</v>
      </c>
      <c r="I35" s="1" t="s">
        <v>29</v>
      </c>
      <c r="J35" s="7">
        <v>40269</v>
      </c>
      <c r="K35" s="1">
        <v>843</v>
      </c>
      <c r="L35" s="7">
        <v>11858</v>
      </c>
      <c r="M35" s="1">
        <v>48</v>
      </c>
      <c r="N35" s="6">
        <v>0.15479999999999999</v>
      </c>
      <c r="O35" s="1" t="s">
        <v>5</v>
      </c>
      <c r="P35" s="1" t="s">
        <v>30</v>
      </c>
      <c r="Q35" s="1">
        <v>26</v>
      </c>
      <c r="R35" s="1">
        <v>4</v>
      </c>
      <c r="S35" s="1" t="s">
        <v>33</v>
      </c>
      <c r="T35" s="1" t="s">
        <v>31</v>
      </c>
      <c r="U35" s="1">
        <v>1</v>
      </c>
      <c r="V35" s="1">
        <v>145125</v>
      </c>
      <c r="W35" s="7">
        <v>1258.1600000000001</v>
      </c>
      <c r="X35" s="1">
        <v>0.76</v>
      </c>
      <c r="Y35" s="4">
        <v>44502</v>
      </c>
      <c r="Z35" s="1" t="s">
        <v>38</v>
      </c>
      <c r="AA35" s="1" t="s">
        <v>33</v>
      </c>
      <c r="AB35" s="36" t="str" cm="1">
        <f t="array" ref="AB35">_xlfn.IFS(K35&gt;650,"LOW",K35&gt;=550,"MEDIUM",K35&lt;550,"HIGH")</f>
        <v>LOW</v>
      </c>
    </row>
    <row r="36" spans="3:28" x14ac:dyDescent="0.3">
      <c r="C36" s="35" t="s">
        <v>3148</v>
      </c>
      <c r="D36" s="1" t="s">
        <v>1172</v>
      </c>
      <c r="E36" s="1">
        <v>40</v>
      </c>
      <c r="F36" s="1" t="s">
        <v>26</v>
      </c>
      <c r="G36" s="1" t="s">
        <v>45</v>
      </c>
      <c r="H36" s="1" t="s">
        <v>28</v>
      </c>
      <c r="I36" s="1" t="s">
        <v>29</v>
      </c>
      <c r="J36" s="7">
        <v>44976</v>
      </c>
      <c r="K36" s="1">
        <v>843</v>
      </c>
      <c r="L36" s="7">
        <v>47563</v>
      </c>
      <c r="M36" s="1">
        <v>48</v>
      </c>
      <c r="N36" s="6">
        <v>9.06E-2</v>
      </c>
      <c r="O36" s="1" t="s">
        <v>63</v>
      </c>
      <c r="P36" s="1" t="s">
        <v>50</v>
      </c>
      <c r="Q36" s="1">
        <v>29</v>
      </c>
      <c r="R36" s="1">
        <v>4</v>
      </c>
      <c r="S36" s="1" t="s">
        <v>33</v>
      </c>
      <c r="T36" s="1" t="s">
        <v>33</v>
      </c>
      <c r="U36" s="1">
        <v>4</v>
      </c>
      <c r="V36" s="1">
        <v>193020</v>
      </c>
      <c r="W36" s="7">
        <v>1934.38</v>
      </c>
      <c r="X36" s="1">
        <v>0.84</v>
      </c>
      <c r="Y36" s="4">
        <v>45185</v>
      </c>
      <c r="Z36" s="1" t="s">
        <v>32</v>
      </c>
      <c r="AA36" s="1" t="s">
        <v>33</v>
      </c>
      <c r="AB36" s="36" t="str" cm="1">
        <f t="array" ref="AB36">_xlfn.IFS(K36&gt;650,"LOW",K36&gt;=550,"MEDIUM",K36&lt;550,"HIGH")</f>
        <v>LOW</v>
      </c>
    </row>
    <row r="37" spans="3:28" x14ac:dyDescent="0.3">
      <c r="C37" s="35" t="s">
        <v>3595</v>
      </c>
      <c r="D37" s="1" t="s">
        <v>1609</v>
      </c>
      <c r="E37" s="1">
        <v>61</v>
      </c>
      <c r="F37" s="1" t="s">
        <v>26</v>
      </c>
      <c r="G37" s="1" t="s">
        <v>56</v>
      </c>
      <c r="H37" s="1" t="s">
        <v>28</v>
      </c>
      <c r="I37" s="1" t="s">
        <v>40</v>
      </c>
      <c r="J37" s="7">
        <v>98006</v>
      </c>
      <c r="K37" s="1">
        <v>843</v>
      </c>
      <c r="L37" s="7">
        <v>47052</v>
      </c>
      <c r="M37" s="1">
        <v>12</v>
      </c>
      <c r="N37" s="6">
        <v>0.13009999999999999</v>
      </c>
      <c r="O37" s="1" t="s">
        <v>46</v>
      </c>
      <c r="P37" s="1" t="s">
        <v>30</v>
      </c>
      <c r="Q37" s="1">
        <v>23</v>
      </c>
      <c r="R37" s="1">
        <v>2</v>
      </c>
      <c r="S37" s="1" t="s">
        <v>33</v>
      </c>
      <c r="T37" s="1" t="s">
        <v>33</v>
      </c>
      <c r="U37" s="1">
        <v>1</v>
      </c>
      <c r="V37" s="1">
        <v>161989</v>
      </c>
      <c r="W37" s="7">
        <v>806.24</v>
      </c>
      <c r="X37" s="1">
        <v>0.61</v>
      </c>
      <c r="Y37" s="4">
        <v>45246</v>
      </c>
      <c r="Z37" s="1" t="s">
        <v>38</v>
      </c>
      <c r="AA37" s="1" t="s">
        <v>33</v>
      </c>
      <c r="AB37" s="36" t="str" cm="1">
        <f t="array" ref="AB37">_xlfn.IFS(K37&gt;650,"LOW",K37&gt;=550,"MEDIUM",K37&lt;550,"HIGH")</f>
        <v>LOW</v>
      </c>
    </row>
    <row r="38" spans="3:28" x14ac:dyDescent="0.3">
      <c r="C38" s="35" t="s">
        <v>2049</v>
      </c>
      <c r="D38" s="1" t="s">
        <v>80</v>
      </c>
      <c r="E38" s="1">
        <v>47</v>
      </c>
      <c r="F38" s="1" t="s">
        <v>26</v>
      </c>
      <c r="G38" s="1" t="s">
        <v>56</v>
      </c>
      <c r="H38" s="1" t="s">
        <v>28</v>
      </c>
      <c r="I38" s="1" t="s">
        <v>40</v>
      </c>
      <c r="J38" s="7">
        <v>57122</v>
      </c>
      <c r="K38" s="1">
        <v>842</v>
      </c>
      <c r="L38" s="7">
        <v>49135</v>
      </c>
      <c r="M38" s="1">
        <v>36</v>
      </c>
      <c r="N38" s="6">
        <v>0.1734</v>
      </c>
      <c r="O38" s="1" t="s">
        <v>52</v>
      </c>
      <c r="P38" s="1" t="s">
        <v>30</v>
      </c>
      <c r="Q38" s="1">
        <v>24</v>
      </c>
      <c r="R38" s="1">
        <v>0</v>
      </c>
      <c r="S38" s="1" t="s">
        <v>33</v>
      </c>
      <c r="T38" s="1" t="s">
        <v>33</v>
      </c>
      <c r="U38" s="1">
        <v>1</v>
      </c>
      <c r="V38" s="1">
        <v>86549</v>
      </c>
      <c r="W38" s="7">
        <v>1828.88</v>
      </c>
      <c r="X38" s="1">
        <v>0.34</v>
      </c>
      <c r="Y38" s="4">
        <v>45732</v>
      </c>
      <c r="Z38" s="1" t="s">
        <v>32</v>
      </c>
      <c r="AA38" s="1" t="s">
        <v>33</v>
      </c>
      <c r="AB38" s="36" t="str" cm="1">
        <f t="array" ref="AB38">_xlfn.IFS(K38&gt;650,"LOW",K38&gt;=550,"MEDIUM",K38&lt;550,"HIGH")</f>
        <v>LOW</v>
      </c>
    </row>
    <row r="39" spans="3:28" x14ac:dyDescent="0.3">
      <c r="C39" s="35" t="s">
        <v>2813</v>
      </c>
      <c r="D39" s="1" t="s">
        <v>841</v>
      </c>
      <c r="E39" s="1">
        <v>38</v>
      </c>
      <c r="F39" s="1" t="s">
        <v>26</v>
      </c>
      <c r="G39" s="1" t="s">
        <v>35</v>
      </c>
      <c r="H39" s="1" t="s">
        <v>28</v>
      </c>
      <c r="I39" s="1" t="s">
        <v>57</v>
      </c>
      <c r="J39" s="7">
        <v>107904</v>
      </c>
      <c r="K39" s="1">
        <v>842</v>
      </c>
      <c r="L39" s="7">
        <v>41076</v>
      </c>
      <c r="M39" s="1">
        <v>36</v>
      </c>
      <c r="N39" s="6">
        <v>0.10880000000000001</v>
      </c>
      <c r="O39" s="1" t="s">
        <v>63</v>
      </c>
      <c r="P39" s="1" t="s">
        <v>47</v>
      </c>
      <c r="Q39" s="1">
        <v>8</v>
      </c>
      <c r="R39" s="1">
        <v>4</v>
      </c>
      <c r="S39" s="1" t="s">
        <v>33</v>
      </c>
      <c r="T39" s="1" t="s">
        <v>33</v>
      </c>
      <c r="U39" s="1">
        <v>1</v>
      </c>
      <c r="V39" s="1">
        <v>52328</v>
      </c>
      <c r="W39" s="7">
        <v>243.52</v>
      </c>
      <c r="X39" s="1">
        <v>0.23</v>
      </c>
      <c r="Y39" s="4">
        <v>44478</v>
      </c>
      <c r="Z39" s="1" t="s">
        <v>38</v>
      </c>
      <c r="AA39" s="1" t="s">
        <v>33</v>
      </c>
      <c r="AB39" s="36" t="str" cm="1">
        <f t="array" ref="AB39">_xlfn.IFS(K39&gt;650,"LOW",K39&gt;=550,"MEDIUM",K39&lt;550,"HIGH")</f>
        <v>LOW</v>
      </c>
    </row>
    <row r="40" spans="3:28" x14ac:dyDescent="0.3">
      <c r="C40" s="35" t="s">
        <v>2906</v>
      </c>
      <c r="D40" s="1" t="s">
        <v>934</v>
      </c>
      <c r="E40" s="1">
        <v>51</v>
      </c>
      <c r="F40" s="1" t="s">
        <v>44</v>
      </c>
      <c r="G40" s="1" t="s">
        <v>56</v>
      </c>
      <c r="H40" s="1" t="s">
        <v>54</v>
      </c>
      <c r="I40" s="1" t="s">
        <v>57</v>
      </c>
      <c r="J40" s="7">
        <v>66531</v>
      </c>
      <c r="K40" s="1">
        <v>842</v>
      </c>
      <c r="L40" s="7">
        <v>7764</v>
      </c>
      <c r="M40" s="1">
        <v>36</v>
      </c>
      <c r="N40" s="6">
        <v>0.13550000000000001</v>
      </c>
      <c r="O40" s="1" t="s">
        <v>41</v>
      </c>
      <c r="P40" s="1" t="s">
        <v>47</v>
      </c>
      <c r="Q40" s="1">
        <v>3</v>
      </c>
      <c r="R40" s="1">
        <v>3</v>
      </c>
      <c r="S40" s="1" t="s">
        <v>31</v>
      </c>
      <c r="T40" s="1" t="s">
        <v>33</v>
      </c>
      <c r="U40" s="1">
        <v>0</v>
      </c>
      <c r="V40" s="1">
        <v>94292</v>
      </c>
      <c r="W40" s="7">
        <v>546.77</v>
      </c>
      <c r="X40" s="1">
        <v>0.12</v>
      </c>
      <c r="Y40" s="4">
        <v>44630</v>
      </c>
      <c r="Z40" s="1" t="s">
        <v>32</v>
      </c>
      <c r="AA40" s="1" t="s">
        <v>33</v>
      </c>
      <c r="AB40" s="36" t="str" cm="1">
        <f t="array" ref="AB40">_xlfn.IFS(K40&gt;650,"LOW",K40&gt;=550,"MEDIUM",K40&lt;550,"HIGH")</f>
        <v>LOW</v>
      </c>
    </row>
    <row r="41" spans="3:28" x14ac:dyDescent="0.3">
      <c r="C41" s="35" t="s">
        <v>2963</v>
      </c>
      <c r="D41" s="1" t="s">
        <v>991</v>
      </c>
      <c r="E41" s="1">
        <v>29</v>
      </c>
      <c r="F41" s="1" t="s">
        <v>26</v>
      </c>
      <c r="G41" s="1" t="s">
        <v>45</v>
      </c>
      <c r="H41" s="1" t="s">
        <v>36</v>
      </c>
      <c r="I41" s="1" t="s">
        <v>40</v>
      </c>
      <c r="J41" s="7">
        <v>149856</v>
      </c>
      <c r="K41" s="1">
        <v>842</v>
      </c>
      <c r="L41" s="7">
        <v>1908</v>
      </c>
      <c r="M41" s="1">
        <v>36</v>
      </c>
      <c r="N41" s="6">
        <v>0.13669999999999999</v>
      </c>
      <c r="O41" s="1" t="s">
        <v>52</v>
      </c>
      <c r="P41" s="1" t="s">
        <v>50</v>
      </c>
      <c r="Q41" s="1">
        <v>25</v>
      </c>
      <c r="R41" s="1">
        <v>0</v>
      </c>
      <c r="S41" s="1" t="s">
        <v>33</v>
      </c>
      <c r="T41" s="1" t="s">
        <v>33</v>
      </c>
      <c r="U41" s="1">
        <v>0</v>
      </c>
      <c r="V41" s="1">
        <v>73400</v>
      </c>
      <c r="W41" s="7">
        <v>647.53</v>
      </c>
      <c r="X41" s="1">
        <v>0.54</v>
      </c>
      <c r="Y41" s="4">
        <v>45547</v>
      </c>
      <c r="Z41" s="1" t="s">
        <v>32</v>
      </c>
      <c r="AA41" s="1" t="s">
        <v>33</v>
      </c>
      <c r="AB41" s="36" t="str" cm="1">
        <f t="array" ref="AB41">_xlfn.IFS(K41&gt;650,"LOW",K41&gt;=550,"MEDIUM",K41&lt;550,"HIGH")</f>
        <v>LOW</v>
      </c>
    </row>
    <row r="42" spans="3:28" x14ac:dyDescent="0.3">
      <c r="C42" s="35" t="s">
        <v>3488</v>
      </c>
      <c r="D42" s="1" t="s">
        <v>1506</v>
      </c>
      <c r="E42" s="1">
        <v>46</v>
      </c>
      <c r="F42" s="1" t="s">
        <v>26</v>
      </c>
      <c r="G42" s="1" t="s">
        <v>45</v>
      </c>
      <c r="H42" s="1" t="s">
        <v>28</v>
      </c>
      <c r="I42" s="1" t="s">
        <v>40</v>
      </c>
      <c r="J42" s="7">
        <v>88519</v>
      </c>
      <c r="K42" s="1">
        <v>842</v>
      </c>
      <c r="L42" s="7">
        <v>43197</v>
      </c>
      <c r="M42" s="1">
        <v>24</v>
      </c>
      <c r="N42" s="6">
        <v>0.15060000000000001</v>
      </c>
      <c r="O42" s="1" t="s">
        <v>5</v>
      </c>
      <c r="P42" s="1" t="s">
        <v>47</v>
      </c>
      <c r="Q42" s="1">
        <v>3</v>
      </c>
      <c r="R42" s="1">
        <v>2</v>
      </c>
      <c r="S42" s="1" t="s">
        <v>33</v>
      </c>
      <c r="T42" s="1" t="s">
        <v>31</v>
      </c>
      <c r="U42" s="1">
        <v>4</v>
      </c>
      <c r="V42" s="1">
        <v>15735</v>
      </c>
      <c r="W42" s="7">
        <v>1801.37</v>
      </c>
      <c r="X42" s="1">
        <v>0.31</v>
      </c>
      <c r="Y42" s="4">
        <v>44629</v>
      </c>
      <c r="Z42" s="1" t="s">
        <v>38</v>
      </c>
      <c r="AA42" s="1" t="s">
        <v>33</v>
      </c>
      <c r="AB42" s="36" t="str" cm="1">
        <f t="array" ref="AB42">_xlfn.IFS(K42&gt;650,"LOW",K42&gt;=550,"MEDIUM",K42&lt;550,"HIGH")</f>
        <v>LOW</v>
      </c>
    </row>
    <row r="43" spans="3:28" x14ac:dyDescent="0.3">
      <c r="C43" s="35" t="s">
        <v>3631</v>
      </c>
      <c r="D43" s="1" t="s">
        <v>1643</v>
      </c>
      <c r="E43" s="1">
        <v>34</v>
      </c>
      <c r="F43" s="1" t="s">
        <v>26</v>
      </c>
      <c r="G43" s="1" t="s">
        <v>56</v>
      </c>
      <c r="H43" s="1" t="s">
        <v>61</v>
      </c>
      <c r="I43" s="1" t="s">
        <v>59</v>
      </c>
      <c r="J43" s="7">
        <v>66389</v>
      </c>
      <c r="K43" s="1">
        <v>842</v>
      </c>
      <c r="L43" s="7">
        <v>9998</v>
      </c>
      <c r="M43" s="1">
        <v>24</v>
      </c>
      <c r="N43" s="6">
        <v>0.19020000000000001</v>
      </c>
      <c r="O43" s="1" t="s">
        <v>5</v>
      </c>
      <c r="P43" s="1" t="s">
        <v>50</v>
      </c>
      <c r="Q43" s="1">
        <v>7</v>
      </c>
      <c r="R43" s="1">
        <v>3</v>
      </c>
      <c r="S43" s="1" t="s">
        <v>33</v>
      </c>
      <c r="T43" s="1" t="s">
        <v>31</v>
      </c>
      <c r="U43" s="1">
        <v>0</v>
      </c>
      <c r="V43" s="1">
        <v>81689</v>
      </c>
      <c r="W43" s="7">
        <v>263.73</v>
      </c>
      <c r="X43" s="1">
        <v>0.7</v>
      </c>
      <c r="Y43" s="4">
        <v>45135</v>
      </c>
      <c r="Z43" s="1" t="s">
        <v>32</v>
      </c>
      <c r="AA43" s="1" t="s">
        <v>33</v>
      </c>
      <c r="AB43" s="36" t="str" cm="1">
        <f t="array" ref="AB43">_xlfn.IFS(K43&gt;650,"LOW",K43&gt;=550,"MEDIUM",K43&lt;550,"HIGH")</f>
        <v>LOW</v>
      </c>
    </row>
    <row r="44" spans="3:28" x14ac:dyDescent="0.3">
      <c r="C44" s="35" t="s">
        <v>2352</v>
      </c>
      <c r="D44" s="1" t="s">
        <v>383</v>
      </c>
      <c r="E44" s="1">
        <v>41</v>
      </c>
      <c r="F44" s="1" t="s">
        <v>26</v>
      </c>
      <c r="G44" s="1" t="s">
        <v>27</v>
      </c>
      <c r="H44" s="1" t="s">
        <v>54</v>
      </c>
      <c r="I44" s="1" t="s">
        <v>29</v>
      </c>
      <c r="J44" s="7">
        <v>37948</v>
      </c>
      <c r="K44" s="1">
        <v>841</v>
      </c>
      <c r="L44" s="7">
        <v>25795</v>
      </c>
      <c r="M44" s="1">
        <v>24</v>
      </c>
      <c r="N44" s="6">
        <v>0.14779999999999999</v>
      </c>
      <c r="O44" s="1" t="s">
        <v>46</v>
      </c>
      <c r="P44" s="1" t="s">
        <v>47</v>
      </c>
      <c r="Q44" s="1">
        <v>11</v>
      </c>
      <c r="R44" s="1">
        <v>1</v>
      </c>
      <c r="S44" s="1" t="s">
        <v>31</v>
      </c>
      <c r="T44" s="1" t="s">
        <v>31</v>
      </c>
      <c r="U44" s="1">
        <v>1</v>
      </c>
      <c r="V44" s="1">
        <v>52934</v>
      </c>
      <c r="W44" s="7">
        <v>1693.94</v>
      </c>
      <c r="X44" s="1">
        <v>0.93</v>
      </c>
      <c r="Y44" s="4">
        <v>45027</v>
      </c>
      <c r="Z44" s="1" t="s">
        <v>38</v>
      </c>
      <c r="AA44" s="1" t="s">
        <v>33</v>
      </c>
      <c r="AB44" s="36" t="str" cm="1">
        <f t="array" ref="AB44">_xlfn.IFS(K44&gt;650,"LOW",K44&gt;=550,"MEDIUM",K44&lt;550,"HIGH")</f>
        <v>LOW</v>
      </c>
    </row>
    <row r="45" spans="3:28" x14ac:dyDescent="0.3">
      <c r="C45" s="35" t="s">
        <v>3246</v>
      </c>
      <c r="D45" s="1" t="s">
        <v>1270</v>
      </c>
      <c r="E45" s="1">
        <v>64</v>
      </c>
      <c r="F45" s="1" t="s">
        <v>44</v>
      </c>
      <c r="G45" s="1" t="s">
        <v>35</v>
      </c>
      <c r="H45" s="1" t="s">
        <v>28</v>
      </c>
      <c r="I45" s="1" t="s">
        <v>59</v>
      </c>
      <c r="J45" s="7">
        <v>85421</v>
      </c>
      <c r="K45" s="1">
        <v>841</v>
      </c>
      <c r="L45" s="7">
        <v>25709</v>
      </c>
      <c r="M45" s="1">
        <v>24</v>
      </c>
      <c r="N45" s="6">
        <v>7.2800000000000004E-2</v>
      </c>
      <c r="O45" s="1" t="s">
        <v>63</v>
      </c>
      <c r="P45" s="1" t="s">
        <v>47</v>
      </c>
      <c r="Q45" s="1">
        <v>19</v>
      </c>
      <c r="R45" s="1">
        <v>4</v>
      </c>
      <c r="S45" s="1" t="s">
        <v>33</v>
      </c>
      <c r="T45" s="1" t="s">
        <v>31</v>
      </c>
      <c r="U45" s="1">
        <v>3</v>
      </c>
      <c r="V45" s="1">
        <v>33667</v>
      </c>
      <c r="W45" s="7">
        <v>651.47</v>
      </c>
      <c r="X45" s="1">
        <v>0.4</v>
      </c>
      <c r="Y45" s="4">
        <v>45254</v>
      </c>
      <c r="Z45" s="1" t="s">
        <v>38</v>
      </c>
      <c r="AA45" s="1" t="s">
        <v>33</v>
      </c>
      <c r="AB45" s="36" t="str" cm="1">
        <f t="array" ref="AB45">_xlfn.IFS(K45&gt;650,"LOW",K45&gt;=550,"MEDIUM",K45&lt;550,"HIGH")</f>
        <v>LOW</v>
      </c>
    </row>
    <row r="46" spans="3:28" x14ac:dyDescent="0.3">
      <c r="C46" s="35" t="s">
        <v>3276</v>
      </c>
      <c r="D46" s="1" t="s">
        <v>1299</v>
      </c>
      <c r="E46" s="1">
        <v>41</v>
      </c>
      <c r="F46" s="1" t="s">
        <v>26</v>
      </c>
      <c r="G46" s="1" t="s">
        <v>45</v>
      </c>
      <c r="H46" s="1" t="s">
        <v>36</v>
      </c>
      <c r="I46" s="1" t="s">
        <v>59</v>
      </c>
      <c r="J46" s="7">
        <v>138637</v>
      </c>
      <c r="K46" s="1">
        <v>841</v>
      </c>
      <c r="L46" s="7">
        <v>8257</v>
      </c>
      <c r="M46" s="1">
        <v>24</v>
      </c>
      <c r="N46" s="6">
        <v>0.13519999999999999</v>
      </c>
      <c r="O46" s="1" t="s">
        <v>41</v>
      </c>
      <c r="P46" s="1" t="s">
        <v>30</v>
      </c>
      <c r="Q46" s="1">
        <v>10</v>
      </c>
      <c r="R46" s="1">
        <v>4</v>
      </c>
      <c r="S46" s="1" t="s">
        <v>31</v>
      </c>
      <c r="T46" s="1" t="s">
        <v>33</v>
      </c>
      <c r="U46" s="1">
        <v>4</v>
      </c>
      <c r="V46" s="1">
        <v>57529</v>
      </c>
      <c r="W46" s="7">
        <v>1825.64</v>
      </c>
      <c r="X46" s="1">
        <v>0.47</v>
      </c>
      <c r="Y46" s="4">
        <v>44845</v>
      </c>
      <c r="Z46" s="1" t="s">
        <v>32</v>
      </c>
      <c r="AA46" s="1" t="s">
        <v>33</v>
      </c>
      <c r="AB46" s="36" t="str" cm="1">
        <f t="array" ref="AB46">_xlfn.IFS(K46&gt;650,"LOW",K46&gt;=550,"MEDIUM",K46&lt;550,"HIGH")</f>
        <v>LOW</v>
      </c>
    </row>
    <row r="47" spans="3:28" x14ac:dyDescent="0.3">
      <c r="C47" s="35" t="s">
        <v>2221</v>
      </c>
      <c r="D47" s="1" t="s">
        <v>252</v>
      </c>
      <c r="E47" s="1">
        <v>53</v>
      </c>
      <c r="F47" s="1" t="s">
        <v>26</v>
      </c>
      <c r="G47" s="1" t="s">
        <v>27</v>
      </c>
      <c r="H47" s="1" t="s">
        <v>54</v>
      </c>
      <c r="I47" s="1" t="s">
        <v>40</v>
      </c>
      <c r="J47" s="7">
        <v>96478</v>
      </c>
      <c r="K47" s="1">
        <v>840</v>
      </c>
      <c r="L47" s="7">
        <v>46480</v>
      </c>
      <c r="M47" s="1">
        <v>48</v>
      </c>
      <c r="N47" s="6">
        <v>0.1265</v>
      </c>
      <c r="O47" s="1" t="s">
        <v>52</v>
      </c>
      <c r="P47" s="1" t="s">
        <v>47</v>
      </c>
      <c r="Q47" s="1">
        <v>10</v>
      </c>
      <c r="R47" s="1">
        <v>0</v>
      </c>
      <c r="S47" s="1" t="s">
        <v>31</v>
      </c>
      <c r="T47" s="1" t="s">
        <v>33</v>
      </c>
      <c r="U47" s="1">
        <v>4</v>
      </c>
      <c r="V47" s="1">
        <v>187573</v>
      </c>
      <c r="W47" s="7">
        <v>763.18</v>
      </c>
      <c r="X47" s="1">
        <v>0.44</v>
      </c>
      <c r="Y47" s="4">
        <v>44339</v>
      </c>
      <c r="Z47" s="1" t="s">
        <v>32</v>
      </c>
      <c r="AA47" s="1" t="s">
        <v>33</v>
      </c>
      <c r="AB47" s="36" t="str" cm="1">
        <f t="array" ref="AB47">_xlfn.IFS(K47&gt;650,"LOW",K47&gt;=550,"MEDIUM",K47&lt;550,"HIGH")</f>
        <v>LOW</v>
      </c>
    </row>
    <row r="48" spans="3:28" x14ac:dyDescent="0.3">
      <c r="C48" s="35" t="s">
        <v>2318</v>
      </c>
      <c r="D48" s="1" t="s">
        <v>349</v>
      </c>
      <c r="E48" s="1">
        <v>53</v>
      </c>
      <c r="F48" s="1" t="s">
        <v>44</v>
      </c>
      <c r="G48" s="1" t="s">
        <v>45</v>
      </c>
      <c r="H48" s="1" t="s">
        <v>28</v>
      </c>
      <c r="I48" s="1" t="s">
        <v>57</v>
      </c>
      <c r="J48" s="7">
        <v>80686</v>
      </c>
      <c r="K48" s="1">
        <v>840</v>
      </c>
      <c r="L48" s="7">
        <v>8232</v>
      </c>
      <c r="M48" s="1">
        <v>36</v>
      </c>
      <c r="N48" s="6">
        <v>7.980000000000001E-2</v>
      </c>
      <c r="O48" s="1" t="s">
        <v>37</v>
      </c>
      <c r="P48" s="1" t="s">
        <v>47</v>
      </c>
      <c r="Q48" s="1">
        <v>18</v>
      </c>
      <c r="R48" s="1">
        <v>3</v>
      </c>
      <c r="S48" s="1" t="s">
        <v>33</v>
      </c>
      <c r="T48" s="1" t="s">
        <v>31</v>
      </c>
      <c r="U48" s="1">
        <v>4</v>
      </c>
      <c r="V48" s="1">
        <v>155867</v>
      </c>
      <c r="W48" s="7">
        <v>1432.06</v>
      </c>
      <c r="X48" s="1">
        <v>0.94</v>
      </c>
      <c r="Y48" s="4">
        <v>44503</v>
      </c>
      <c r="Z48" s="1" t="s">
        <v>38</v>
      </c>
      <c r="AA48" s="1" t="s">
        <v>31</v>
      </c>
      <c r="AB48" s="36" t="str" cm="1">
        <f t="array" ref="AB48">_xlfn.IFS(K48&gt;650,"LOW",K48&gt;=550,"MEDIUM",K48&lt;550,"HIGH")</f>
        <v>LOW</v>
      </c>
    </row>
    <row r="49" spans="3:28" x14ac:dyDescent="0.3">
      <c r="C49" s="35" t="s">
        <v>3033</v>
      </c>
      <c r="D49" s="1" t="s">
        <v>1060</v>
      </c>
      <c r="E49" s="1">
        <v>56</v>
      </c>
      <c r="F49" s="1" t="s">
        <v>44</v>
      </c>
      <c r="G49" s="1" t="s">
        <v>35</v>
      </c>
      <c r="H49" s="1" t="s">
        <v>28</v>
      </c>
      <c r="I49" s="1" t="s">
        <v>57</v>
      </c>
      <c r="J49" s="7">
        <v>45988</v>
      </c>
      <c r="K49" s="1">
        <v>840</v>
      </c>
      <c r="L49" s="7">
        <v>34522</v>
      </c>
      <c r="M49" s="1">
        <v>12</v>
      </c>
      <c r="N49" s="6">
        <v>0.16059999999999999</v>
      </c>
      <c r="O49" s="1" t="s">
        <v>52</v>
      </c>
      <c r="P49" s="1" t="s">
        <v>50</v>
      </c>
      <c r="Q49" s="1">
        <v>1</v>
      </c>
      <c r="R49" s="1">
        <v>4</v>
      </c>
      <c r="S49" s="1" t="s">
        <v>31</v>
      </c>
      <c r="T49" s="1" t="s">
        <v>33</v>
      </c>
      <c r="U49" s="1">
        <v>3</v>
      </c>
      <c r="V49" s="1">
        <v>57009</v>
      </c>
      <c r="W49" s="7">
        <v>361.37</v>
      </c>
      <c r="X49" s="1">
        <v>0.19</v>
      </c>
      <c r="Y49" s="4">
        <v>44865</v>
      </c>
      <c r="Z49" s="1" t="s">
        <v>32</v>
      </c>
      <c r="AA49" s="1" t="s">
        <v>33</v>
      </c>
      <c r="AB49" s="36" t="str" cm="1">
        <f t="array" ref="AB49">_xlfn.IFS(K49&gt;650,"LOW",K49&gt;=550,"MEDIUM",K49&lt;550,"HIGH")</f>
        <v>LOW</v>
      </c>
    </row>
    <row r="50" spans="3:28" x14ac:dyDescent="0.3">
      <c r="C50" s="35" t="s">
        <v>3199</v>
      </c>
      <c r="D50" s="1" t="s">
        <v>1223</v>
      </c>
      <c r="E50" s="1">
        <v>57</v>
      </c>
      <c r="F50" s="1" t="s">
        <v>44</v>
      </c>
      <c r="G50" s="1" t="s">
        <v>56</v>
      </c>
      <c r="H50" s="1" t="s">
        <v>61</v>
      </c>
      <c r="I50" s="1" t="s">
        <v>59</v>
      </c>
      <c r="J50" s="7">
        <v>64912</v>
      </c>
      <c r="K50" s="1">
        <v>840</v>
      </c>
      <c r="L50" s="7">
        <v>20853</v>
      </c>
      <c r="M50" s="1">
        <v>24</v>
      </c>
      <c r="N50" s="6">
        <v>0.15090000000000001</v>
      </c>
      <c r="O50" s="1" t="s">
        <v>37</v>
      </c>
      <c r="P50" s="1" t="s">
        <v>50</v>
      </c>
      <c r="Q50" s="1">
        <v>2</v>
      </c>
      <c r="R50" s="1">
        <v>3</v>
      </c>
      <c r="S50" s="1" t="s">
        <v>31</v>
      </c>
      <c r="T50" s="1" t="s">
        <v>33</v>
      </c>
      <c r="U50" s="1">
        <v>3</v>
      </c>
      <c r="V50" s="1">
        <v>107729</v>
      </c>
      <c r="W50" s="7">
        <v>250.97</v>
      </c>
      <c r="X50" s="1">
        <v>0.86</v>
      </c>
      <c r="Y50" s="4">
        <v>45452</v>
      </c>
      <c r="Z50" s="1" t="s">
        <v>32</v>
      </c>
      <c r="AA50" s="1" t="s">
        <v>33</v>
      </c>
      <c r="AB50" s="36" t="str" cm="1">
        <f t="array" ref="AB50">_xlfn.IFS(K50&gt;650,"LOW",K50&gt;=550,"MEDIUM",K50&lt;550,"HIGH")</f>
        <v>LOW</v>
      </c>
    </row>
    <row r="51" spans="3:28" x14ac:dyDescent="0.3">
      <c r="C51" s="35" t="s">
        <v>3371</v>
      </c>
      <c r="D51" s="1" t="s">
        <v>555</v>
      </c>
      <c r="E51" s="1">
        <v>28</v>
      </c>
      <c r="F51" s="1" t="s">
        <v>26</v>
      </c>
      <c r="G51" s="1" t="s">
        <v>45</v>
      </c>
      <c r="H51" s="1" t="s">
        <v>28</v>
      </c>
      <c r="I51" s="1" t="s">
        <v>29</v>
      </c>
      <c r="J51" s="7">
        <v>76799</v>
      </c>
      <c r="K51" s="1">
        <v>840</v>
      </c>
      <c r="L51" s="7">
        <v>9463</v>
      </c>
      <c r="M51" s="1">
        <v>60</v>
      </c>
      <c r="N51" s="6">
        <v>0.18960000000000002</v>
      </c>
      <c r="O51" s="1" t="s">
        <v>52</v>
      </c>
      <c r="P51" s="1" t="s">
        <v>30</v>
      </c>
      <c r="Q51" s="1">
        <v>3</v>
      </c>
      <c r="R51" s="1">
        <v>2</v>
      </c>
      <c r="S51" s="1" t="s">
        <v>31</v>
      </c>
      <c r="T51" s="1" t="s">
        <v>31</v>
      </c>
      <c r="U51" s="1">
        <v>1</v>
      </c>
      <c r="V51" s="1">
        <v>58935</v>
      </c>
      <c r="W51" s="7">
        <v>757.04</v>
      </c>
      <c r="X51" s="1">
        <v>0.11</v>
      </c>
      <c r="Y51" s="4">
        <v>45490</v>
      </c>
      <c r="Z51" s="1" t="s">
        <v>32</v>
      </c>
      <c r="AA51" s="1" t="s">
        <v>33</v>
      </c>
      <c r="AB51" s="36" t="str" cm="1">
        <f t="array" ref="AB51">_xlfn.IFS(K51&gt;650,"LOW",K51&gt;=550,"MEDIUM",K51&lt;550,"HIGH")</f>
        <v>LOW</v>
      </c>
    </row>
    <row r="52" spans="3:28" x14ac:dyDescent="0.3">
      <c r="C52" s="35" t="s">
        <v>3575</v>
      </c>
      <c r="D52" s="1" t="s">
        <v>77</v>
      </c>
      <c r="E52" s="1">
        <v>43</v>
      </c>
      <c r="F52" s="1" t="s">
        <v>26</v>
      </c>
      <c r="G52" s="1" t="s">
        <v>27</v>
      </c>
      <c r="H52" s="1" t="s">
        <v>61</v>
      </c>
      <c r="I52" s="1" t="s">
        <v>57</v>
      </c>
      <c r="J52" s="7">
        <v>114977</v>
      </c>
      <c r="K52" s="1">
        <v>840</v>
      </c>
      <c r="L52" s="7">
        <v>11528</v>
      </c>
      <c r="M52" s="1">
        <v>24</v>
      </c>
      <c r="N52" s="6">
        <v>0.1295</v>
      </c>
      <c r="O52" s="1" t="s">
        <v>5</v>
      </c>
      <c r="P52" s="1" t="s">
        <v>47</v>
      </c>
      <c r="Q52" s="1">
        <v>4</v>
      </c>
      <c r="R52" s="1">
        <v>3</v>
      </c>
      <c r="S52" s="1" t="s">
        <v>33</v>
      </c>
      <c r="T52" s="1" t="s">
        <v>31</v>
      </c>
      <c r="U52" s="1">
        <v>4</v>
      </c>
      <c r="V52" s="1">
        <v>133111</v>
      </c>
      <c r="W52" s="7">
        <v>1032.99</v>
      </c>
      <c r="X52" s="1">
        <v>0.63</v>
      </c>
      <c r="Y52" s="4">
        <v>44723</v>
      </c>
      <c r="Z52" s="1" t="s">
        <v>32</v>
      </c>
      <c r="AA52" s="1" t="s">
        <v>33</v>
      </c>
      <c r="AB52" s="36" t="str" cm="1">
        <f t="array" ref="AB52">_xlfn.IFS(K52&gt;650,"LOW",K52&gt;=550,"MEDIUM",K52&lt;550,"HIGH")</f>
        <v>LOW</v>
      </c>
    </row>
    <row r="53" spans="3:28" x14ac:dyDescent="0.3">
      <c r="C53" s="35" t="s">
        <v>2284</v>
      </c>
      <c r="D53" s="1" t="s">
        <v>315</v>
      </c>
      <c r="E53" s="1">
        <v>36</v>
      </c>
      <c r="F53" s="1" t="s">
        <v>44</v>
      </c>
      <c r="G53" s="1" t="s">
        <v>27</v>
      </c>
      <c r="H53" s="1" t="s">
        <v>36</v>
      </c>
      <c r="I53" s="1" t="s">
        <v>40</v>
      </c>
      <c r="J53" s="7">
        <v>23749</v>
      </c>
      <c r="K53" s="1">
        <v>839</v>
      </c>
      <c r="L53" s="7">
        <v>13529</v>
      </c>
      <c r="M53" s="1">
        <v>24</v>
      </c>
      <c r="N53" s="6">
        <v>0.15179999999999999</v>
      </c>
      <c r="O53" s="1" t="s">
        <v>37</v>
      </c>
      <c r="P53" s="1" t="s">
        <v>47</v>
      </c>
      <c r="Q53" s="1">
        <v>17</v>
      </c>
      <c r="R53" s="1">
        <v>3</v>
      </c>
      <c r="S53" s="1" t="s">
        <v>33</v>
      </c>
      <c r="T53" s="1" t="s">
        <v>31</v>
      </c>
      <c r="U53" s="1">
        <v>2</v>
      </c>
      <c r="V53" s="1">
        <v>22172</v>
      </c>
      <c r="W53" s="7">
        <v>106.58</v>
      </c>
      <c r="X53" s="1">
        <v>0.36</v>
      </c>
      <c r="Y53" s="4">
        <v>44552</v>
      </c>
      <c r="Z53" s="1" t="s">
        <v>32</v>
      </c>
      <c r="AA53" s="1" t="s">
        <v>33</v>
      </c>
      <c r="AB53" s="36" t="str" cm="1">
        <f t="array" ref="AB53">_xlfn.IFS(K53&gt;650,"LOW",K53&gt;=550,"MEDIUM",K53&lt;550,"HIGH")</f>
        <v>LOW</v>
      </c>
    </row>
    <row r="54" spans="3:28" x14ac:dyDescent="0.3">
      <c r="C54" s="35" t="s">
        <v>2339</v>
      </c>
      <c r="D54" s="1" t="s">
        <v>370</v>
      </c>
      <c r="E54" s="1">
        <v>64</v>
      </c>
      <c r="F54" s="1" t="s">
        <v>44</v>
      </c>
      <c r="G54" s="1" t="s">
        <v>35</v>
      </c>
      <c r="H54" s="1" t="s">
        <v>54</v>
      </c>
      <c r="I54" s="1" t="s">
        <v>29</v>
      </c>
      <c r="J54" s="7">
        <v>90309</v>
      </c>
      <c r="K54" s="1">
        <v>839</v>
      </c>
      <c r="L54" s="7">
        <v>24126</v>
      </c>
      <c r="M54" s="1">
        <v>48</v>
      </c>
      <c r="N54" s="6">
        <v>0.13350000000000001</v>
      </c>
      <c r="O54" s="1" t="s">
        <v>63</v>
      </c>
      <c r="P54" s="1" t="s">
        <v>50</v>
      </c>
      <c r="Q54" s="1">
        <v>21</v>
      </c>
      <c r="R54" s="1">
        <v>2</v>
      </c>
      <c r="S54" s="1" t="s">
        <v>31</v>
      </c>
      <c r="T54" s="1" t="s">
        <v>33</v>
      </c>
      <c r="U54" s="1">
        <v>3</v>
      </c>
      <c r="V54" s="1">
        <v>154970</v>
      </c>
      <c r="W54" s="7">
        <v>1289.17</v>
      </c>
      <c r="X54" s="1">
        <v>0.45</v>
      </c>
      <c r="Y54" s="4">
        <v>45787</v>
      </c>
      <c r="Z54" s="1" t="s">
        <v>32</v>
      </c>
      <c r="AA54" s="1" t="s">
        <v>33</v>
      </c>
      <c r="AB54" s="36" t="str" cm="1">
        <f t="array" ref="AB54">_xlfn.IFS(K54&gt;650,"LOW",K54&gt;=550,"MEDIUM",K54&lt;550,"HIGH")</f>
        <v>LOW</v>
      </c>
    </row>
    <row r="55" spans="3:28" x14ac:dyDescent="0.3">
      <c r="C55" s="35" t="s">
        <v>2489</v>
      </c>
      <c r="D55" s="1" t="s">
        <v>519</v>
      </c>
      <c r="E55" s="1">
        <v>44</v>
      </c>
      <c r="F55" s="1" t="s">
        <v>26</v>
      </c>
      <c r="G55" s="1" t="s">
        <v>35</v>
      </c>
      <c r="H55" s="1" t="s">
        <v>54</v>
      </c>
      <c r="I55" s="1" t="s">
        <v>57</v>
      </c>
      <c r="J55" s="7">
        <v>72224</v>
      </c>
      <c r="K55" s="1">
        <v>839</v>
      </c>
      <c r="L55" s="7">
        <v>1559</v>
      </c>
      <c r="M55" s="1">
        <v>48</v>
      </c>
      <c r="N55" s="6">
        <v>0.19309999999999999</v>
      </c>
      <c r="O55" s="1" t="s">
        <v>52</v>
      </c>
      <c r="P55" s="1" t="s">
        <v>50</v>
      </c>
      <c r="Q55" s="1">
        <v>4</v>
      </c>
      <c r="R55" s="1">
        <v>2</v>
      </c>
      <c r="S55" s="1" t="s">
        <v>31</v>
      </c>
      <c r="T55" s="1" t="s">
        <v>31</v>
      </c>
      <c r="U55" s="1">
        <v>3</v>
      </c>
      <c r="V55" s="1">
        <v>99364</v>
      </c>
      <c r="W55" s="7">
        <v>630.47</v>
      </c>
      <c r="X55" s="1">
        <v>0.72</v>
      </c>
      <c r="Y55" s="4">
        <v>45527</v>
      </c>
      <c r="Z55" s="1" t="s">
        <v>32</v>
      </c>
      <c r="AA55" s="1" t="s">
        <v>33</v>
      </c>
      <c r="AB55" s="36" t="str" cm="1">
        <f t="array" ref="AB55">_xlfn.IFS(K55&gt;650,"LOW",K55&gt;=550,"MEDIUM",K55&lt;550,"HIGH")</f>
        <v>LOW</v>
      </c>
    </row>
    <row r="56" spans="3:28" x14ac:dyDescent="0.3">
      <c r="C56" s="35" t="s">
        <v>3333</v>
      </c>
      <c r="D56" s="1" t="s">
        <v>1356</v>
      </c>
      <c r="E56" s="1">
        <v>22</v>
      </c>
      <c r="F56" s="1" t="s">
        <v>44</v>
      </c>
      <c r="G56" s="1" t="s">
        <v>45</v>
      </c>
      <c r="H56" s="1" t="s">
        <v>28</v>
      </c>
      <c r="I56" s="1" t="s">
        <v>40</v>
      </c>
      <c r="J56" s="7">
        <v>28314</v>
      </c>
      <c r="K56" s="1">
        <v>839</v>
      </c>
      <c r="L56" s="7">
        <v>6067</v>
      </c>
      <c r="M56" s="1">
        <v>48</v>
      </c>
      <c r="N56" s="6">
        <v>7.0999999999999994E-2</v>
      </c>
      <c r="O56" s="1" t="s">
        <v>52</v>
      </c>
      <c r="P56" s="1" t="s">
        <v>30</v>
      </c>
      <c r="Q56" s="1">
        <v>9</v>
      </c>
      <c r="R56" s="1">
        <v>2</v>
      </c>
      <c r="S56" s="1" t="s">
        <v>33</v>
      </c>
      <c r="T56" s="1" t="s">
        <v>31</v>
      </c>
      <c r="U56" s="1">
        <v>0</v>
      </c>
      <c r="V56" s="1">
        <v>72750</v>
      </c>
      <c r="W56" s="7">
        <v>1850.61</v>
      </c>
      <c r="X56" s="1">
        <v>0.91</v>
      </c>
      <c r="Y56" s="4">
        <v>44176</v>
      </c>
      <c r="Z56" s="1" t="s">
        <v>32</v>
      </c>
      <c r="AA56" s="1" t="s">
        <v>33</v>
      </c>
      <c r="AB56" s="36" t="str" cm="1">
        <f t="array" ref="AB56">_xlfn.IFS(K56&gt;650,"LOW",K56&gt;=550,"MEDIUM",K56&lt;550,"HIGH")</f>
        <v>LOW</v>
      </c>
    </row>
    <row r="57" spans="3:28" x14ac:dyDescent="0.3">
      <c r="C57" s="35" t="s">
        <v>3796</v>
      </c>
      <c r="D57" s="1" t="s">
        <v>1802</v>
      </c>
      <c r="E57" s="1">
        <v>26</v>
      </c>
      <c r="F57" s="1" t="s">
        <v>26</v>
      </c>
      <c r="G57" s="1" t="s">
        <v>27</v>
      </c>
      <c r="H57" s="1" t="s">
        <v>36</v>
      </c>
      <c r="I57" s="1" t="s">
        <v>40</v>
      </c>
      <c r="J57" s="7">
        <v>37438</v>
      </c>
      <c r="K57" s="1">
        <v>839</v>
      </c>
      <c r="L57" s="7">
        <v>45420</v>
      </c>
      <c r="M57" s="1">
        <v>24</v>
      </c>
      <c r="N57" s="6">
        <v>0.1555</v>
      </c>
      <c r="O57" s="1" t="s">
        <v>52</v>
      </c>
      <c r="P57" s="1" t="s">
        <v>50</v>
      </c>
      <c r="Q57" s="1">
        <v>28</v>
      </c>
      <c r="R57" s="1">
        <v>4</v>
      </c>
      <c r="S57" s="1" t="s">
        <v>33</v>
      </c>
      <c r="T57" s="1" t="s">
        <v>31</v>
      </c>
      <c r="U57" s="1">
        <v>3</v>
      </c>
      <c r="V57" s="1">
        <v>115212</v>
      </c>
      <c r="W57" s="7">
        <v>482.11</v>
      </c>
      <c r="X57" s="1">
        <v>0.71</v>
      </c>
      <c r="Y57" s="4">
        <v>45253</v>
      </c>
      <c r="Z57" s="1" t="s">
        <v>32</v>
      </c>
      <c r="AA57" s="1" t="s">
        <v>33</v>
      </c>
      <c r="AB57" s="36" t="str" cm="1">
        <f t="array" ref="AB57">_xlfn.IFS(K57&gt;650,"LOW",K57&gt;=550,"MEDIUM",K57&lt;550,"HIGH")</f>
        <v>LOW</v>
      </c>
    </row>
    <row r="58" spans="3:28" x14ac:dyDescent="0.3">
      <c r="C58" s="35" t="s">
        <v>2768</v>
      </c>
      <c r="D58" s="1" t="s">
        <v>796</v>
      </c>
      <c r="E58" s="1">
        <v>47</v>
      </c>
      <c r="F58" s="1" t="s">
        <v>26</v>
      </c>
      <c r="G58" s="1" t="s">
        <v>27</v>
      </c>
      <c r="H58" s="1" t="s">
        <v>61</v>
      </c>
      <c r="I58" s="1" t="s">
        <v>59</v>
      </c>
      <c r="J58" s="7">
        <v>89959</v>
      </c>
      <c r="K58" s="1">
        <v>838</v>
      </c>
      <c r="L58" s="7">
        <v>23102</v>
      </c>
      <c r="M58" s="1">
        <v>36</v>
      </c>
      <c r="N58" s="6">
        <v>9.7699999999999995E-2</v>
      </c>
      <c r="O58" s="1" t="s">
        <v>63</v>
      </c>
      <c r="P58" s="1" t="s">
        <v>47</v>
      </c>
      <c r="Q58" s="1">
        <v>9</v>
      </c>
      <c r="R58" s="1">
        <v>4</v>
      </c>
      <c r="S58" s="1" t="s">
        <v>31</v>
      </c>
      <c r="T58" s="1" t="s">
        <v>33</v>
      </c>
      <c r="U58" s="1">
        <v>4</v>
      </c>
      <c r="V58" s="1">
        <v>31146</v>
      </c>
      <c r="W58" s="7">
        <v>694.75</v>
      </c>
      <c r="X58" s="1">
        <v>0.76</v>
      </c>
      <c r="Y58" s="4">
        <v>44165</v>
      </c>
      <c r="Z58" s="1" t="s">
        <v>38</v>
      </c>
      <c r="AA58" s="1" t="s">
        <v>33</v>
      </c>
      <c r="AB58" s="36" t="str" cm="1">
        <f t="array" ref="AB58">_xlfn.IFS(K58&gt;650,"LOW",K58&gt;=550,"MEDIUM",K58&lt;550,"HIGH")</f>
        <v>LOW</v>
      </c>
    </row>
    <row r="59" spans="3:28" x14ac:dyDescent="0.3">
      <c r="C59" s="35" t="s">
        <v>2902</v>
      </c>
      <c r="D59" s="1" t="s">
        <v>930</v>
      </c>
      <c r="E59" s="1">
        <v>51</v>
      </c>
      <c r="F59" s="1" t="s">
        <v>44</v>
      </c>
      <c r="G59" s="1" t="s">
        <v>45</v>
      </c>
      <c r="H59" s="1" t="s">
        <v>28</v>
      </c>
      <c r="I59" s="1" t="s">
        <v>59</v>
      </c>
      <c r="J59" s="7">
        <v>65890</v>
      </c>
      <c r="K59" s="1">
        <v>838</v>
      </c>
      <c r="L59" s="7">
        <v>15235</v>
      </c>
      <c r="M59" s="1">
        <v>36</v>
      </c>
      <c r="N59" s="6">
        <v>6.0299999999999999E-2</v>
      </c>
      <c r="O59" s="1" t="s">
        <v>5</v>
      </c>
      <c r="P59" s="1" t="s">
        <v>30</v>
      </c>
      <c r="Q59" s="1">
        <v>24</v>
      </c>
      <c r="R59" s="1">
        <v>1</v>
      </c>
      <c r="S59" s="1" t="s">
        <v>33</v>
      </c>
      <c r="T59" s="1" t="s">
        <v>31</v>
      </c>
      <c r="U59" s="1">
        <v>0</v>
      </c>
      <c r="V59" s="1">
        <v>24238</v>
      </c>
      <c r="W59" s="7">
        <v>1296.7</v>
      </c>
      <c r="X59" s="1">
        <v>0.67</v>
      </c>
      <c r="Y59" s="4">
        <v>44863</v>
      </c>
      <c r="Z59" s="1" t="s">
        <v>32</v>
      </c>
      <c r="AA59" s="1" t="s">
        <v>33</v>
      </c>
      <c r="AB59" s="36" t="str" cm="1">
        <f t="array" ref="AB59">_xlfn.IFS(K59&gt;650,"LOW",K59&gt;=550,"MEDIUM",K59&lt;550,"HIGH")</f>
        <v>LOW</v>
      </c>
    </row>
    <row r="60" spans="3:28" x14ac:dyDescent="0.3">
      <c r="C60" s="35" t="s">
        <v>2065</v>
      </c>
      <c r="D60" s="1" t="s">
        <v>96</v>
      </c>
      <c r="E60" s="1">
        <v>29</v>
      </c>
      <c r="F60" s="1" t="s">
        <v>44</v>
      </c>
      <c r="G60" s="1" t="s">
        <v>56</v>
      </c>
      <c r="H60" s="1" t="s">
        <v>36</v>
      </c>
      <c r="I60" s="1" t="s">
        <v>59</v>
      </c>
      <c r="J60" s="7">
        <v>60522</v>
      </c>
      <c r="K60" s="1">
        <v>837</v>
      </c>
      <c r="L60" s="7">
        <v>19298</v>
      </c>
      <c r="M60" s="1">
        <v>48</v>
      </c>
      <c r="N60" s="6">
        <v>0.10550000000000001</v>
      </c>
      <c r="O60" s="1" t="s">
        <v>41</v>
      </c>
      <c r="P60" s="1" t="s">
        <v>30</v>
      </c>
      <c r="Q60" s="1">
        <v>29</v>
      </c>
      <c r="R60" s="1">
        <v>2</v>
      </c>
      <c r="S60" s="1" t="s">
        <v>31</v>
      </c>
      <c r="T60" s="1" t="s">
        <v>31</v>
      </c>
      <c r="U60" s="1">
        <v>2</v>
      </c>
      <c r="V60" s="1">
        <v>121522</v>
      </c>
      <c r="W60" s="7">
        <v>449.4</v>
      </c>
      <c r="X60" s="1">
        <v>0.76</v>
      </c>
      <c r="Y60" s="4">
        <v>44098</v>
      </c>
      <c r="Z60" s="1" t="s">
        <v>38</v>
      </c>
      <c r="AA60" s="1" t="s">
        <v>33</v>
      </c>
      <c r="AB60" s="36" t="str" cm="1">
        <f t="array" ref="AB60">_xlfn.IFS(K60&gt;650,"LOW",K60&gt;=550,"MEDIUM",K60&lt;550,"HIGH")</f>
        <v>LOW</v>
      </c>
    </row>
    <row r="61" spans="3:28" x14ac:dyDescent="0.3">
      <c r="C61" s="35" t="s">
        <v>2215</v>
      </c>
      <c r="D61" s="1" t="s">
        <v>246</v>
      </c>
      <c r="E61" s="1">
        <v>22</v>
      </c>
      <c r="F61" s="1" t="s">
        <v>26</v>
      </c>
      <c r="G61" s="1" t="s">
        <v>27</v>
      </c>
      <c r="H61" s="1" t="s">
        <v>36</v>
      </c>
      <c r="I61" s="1" t="s">
        <v>57</v>
      </c>
      <c r="J61" s="7">
        <v>121248</v>
      </c>
      <c r="K61" s="1">
        <v>837</v>
      </c>
      <c r="L61" s="7">
        <v>47104</v>
      </c>
      <c r="M61" s="1">
        <v>24</v>
      </c>
      <c r="N61" s="6">
        <v>9.5799999999999996E-2</v>
      </c>
      <c r="O61" s="1" t="s">
        <v>46</v>
      </c>
      <c r="P61" s="1" t="s">
        <v>50</v>
      </c>
      <c r="Q61" s="1">
        <v>20</v>
      </c>
      <c r="R61" s="1">
        <v>4</v>
      </c>
      <c r="S61" s="1" t="s">
        <v>33</v>
      </c>
      <c r="T61" s="1" t="s">
        <v>31</v>
      </c>
      <c r="U61" s="1">
        <v>2</v>
      </c>
      <c r="V61" s="1">
        <v>69282</v>
      </c>
      <c r="W61" s="7">
        <v>1204.7</v>
      </c>
      <c r="X61" s="1">
        <v>0.59</v>
      </c>
      <c r="Y61" s="4">
        <v>45254</v>
      </c>
      <c r="Z61" s="1" t="s">
        <v>38</v>
      </c>
      <c r="AA61" s="1" t="s">
        <v>31</v>
      </c>
      <c r="AB61" s="36" t="str" cm="1">
        <f t="array" ref="AB61">_xlfn.IFS(K61&gt;650,"LOW",K61&gt;=550,"MEDIUM",K61&lt;550,"HIGH")</f>
        <v>LOW</v>
      </c>
    </row>
    <row r="62" spans="3:28" x14ac:dyDescent="0.3">
      <c r="C62" s="35" t="s">
        <v>2409</v>
      </c>
      <c r="D62" s="1" t="s">
        <v>439</v>
      </c>
      <c r="E62" s="1">
        <v>53</v>
      </c>
      <c r="F62" s="1" t="s">
        <v>26</v>
      </c>
      <c r="G62" s="1" t="s">
        <v>27</v>
      </c>
      <c r="H62" s="1" t="s">
        <v>36</v>
      </c>
      <c r="I62" s="1" t="s">
        <v>59</v>
      </c>
      <c r="J62" s="7">
        <v>49299</v>
      </c>
      <c r="K62" s="1">
        <v>837</v>
      </c>
      <c r="L62" s="7">
        <v>34826</v>
      </c>
      <c r="M62" s="1">
        <v>36</v>
      </c>
      <c r="N62" s="6">
        <v>7.2700000000000001E-2</v>
      </c>
      <c r="O62" s="1" t="s">
        <v>46</v>
      </c>
      <c r="P62" s="1" t="s">
        <v>50</v>
      </c>
      <c r="Q62" s="1">
        <v>2</v>
      </c>
      <c r="R62" s="1">
        <v>1</v>
      </c>
      <c r="S62" s="1" t="s">
        <v>31</v>
      </c>
      <c r="T62" s="1" t="s">
        <v>31</v>
      </c>
      <c r="U62" s="1">
        <v>2</v>
      </c>
      <c r="V62" s="1">
        <v>22466</v>
      </c>
      <c r="W62" s="7">
        <v>495.03</v>
      </c>
      <c r="X62" s="1">
        <v>0.3</v>
      </c>
      <c r="Y62" s="4">
        <v>44329</v>
      </c>
      <c r="Z62" s="1" t="s">
        <v>32</v>
      </c>
      <c r="AA62" s="1" t="s">
        <v>33</v>
      </c>
      <c r="AB62" s="36" t="str" cm="1">
        <f t="array" ref="AB62">_xlfn.IFS(K62&gt;650,"LOW",K62&gt;=550,"MEDIUM",K62&lt;550,"HIGH")</f>
        <v>LOW</v>
      </c>
    </row>
    <row r="63" spans="3:28" x14ac:dyDescent="0.3">
      <c r="C63" s="35" t="s">
        <v>2736</v>
      </c>
      <c r="D63" s="1" t="s">
        <v>766</v>
      </c>
      <c r="E63" s="1">
        <v>60</v>
      </c>
      <c r="F63" s="1" t="s">
        <v>26</v>
      </c>
      <c r="G63" s="1" t="s">
        <v>35</v>
      </c>
      <c r="H63" s="1" t="s">
        <v>28</v>
      </c>
      <c r="I63" s="1" t="s">
        <v>40</v>
      </c>
      <c r="J63" s="7">
        <v>125433</v>
      </c>
      <c r="K63" s="1">
        <v>837</v>
      </c>
      <c r="L63" s="7">
        <v>9906</v>
      </c>
      <c r="M63" s="1">
        <v>60</v>
      </c>
      <c r="N63" s="6">
        <v>0.10249999999999999</v>
      </c>
      <c r="O63" s="1" t="s">
        <v>46</v>
      </c>
      <c r="P63" s="1" t="s">
        <v>47</v>
      </c>
      <c r="Q63" s="1">
        <v>3</v>
      </c>
      <c r="R63" s="1">
        <v>4</v>
      </c>
      <c r="S63" s="1" t="s">
        <v>31</v>
      </c>
      <c r="T63" s="1" t="s">
        <v>31</v>
      </c>
      <c r="U63" s="1">
        <v>4</v>
      </c>
      <c r="V63" s="1">
        <v>104816</v>
      </c>
      <c r="W63" s="7">
        <v>617.89</v>
      </c>
      <c r="X63" s="1">
        <v>0.72</v>
      </c>
      <c r="Y63" s="4">
        <v>44306</v>
      </c>
      <c r="Z63" s="1" t="s">
        <v>38</v>
      </c>
      <c r="AA63" s="1" t="s">
        <v>33</v>
      </c>
      <c r="AB63" s="36" t="str" cm="1">
        <f t="array" ref="AB63">_xlfn.IFS(K63&gt;650,"LOW",K63&gt;=550,"MEDIUM",K63&lt;550,"HIGH")</f>
        <v>LOW</v>
      </c>
    </row>
    <row r="64" spans="3:28" x14ac:dyDescent="0.3">
      <c r="C64" s="35" t="s">
        <v>2750</v>
      </c>
      <c r="D64" s="1" t="s">
        <v>780</v>
      </c>
      <c r="E64" s="1">
        <v>50</v>
      </c>
      <c r="F64" s="1" t="s">
        <v>44</v>
      </c>
      <c r="G64" s="1" t="s">
        <v>56</v>
      </c>
      <c r="H64" s="1" t="s">
        <v>28</v>
      </c>
      <c r="I64" s="1" t="s">
        <v>40</v>
      </c>
      <c r="J64" s="7">
        <v>73502</v>
      </c>
      <c r="K64" s="1">
        <v>837</v>
      </c>
      <c r="L64" s="7">
        <v>19361</v>
      </c>
      <c r="M64" s="1">
        <v>12</v>
      </c>
      <c r="N64" s="6">
        <v>0.18429999999999999</v>
      </c>
      <c r="O64" s="1" t="s">
        <v>46</v>
      </c>
      <c r="P64" s="1" t="s">
        <v>30</v>
      </c>
      <c r="Q64" s="1">
        <v>29</v>
      </c>
      <c r="R64" s="1">
        <v>1</v>
      </c>
      <c r="S64" s="1" t="s">
        <v>31</v>
      </c>
      <c r="T64" s="1" t="s">
        <v>33</v>
      </c>
      <c r="U64" s="1">
        <v>1</v>
      </c>
      <c r="V64" s="1">
        <v>114312</v>
      </c>
      <c r="W64" s="7">
        <v>472.77</v>
      </c>
      <c r="X64" s="1">
        <v>0.89</v>
      </c>
      <c r="Y64" s="4">
        <v>45712</v>
      </c>
      <c r="Z64" s="1" t="s">
        <v>32</v>
      </c>
      <c r="AA64" s="1" t="s">
        <v>33</v>
      </c>
      <c r="AB64" s="36" t="str" cm="1">
        <f t="array" ref="AB64">_xlfn.IFS(K64&gt;650,"LOW",K64&gt;=550,"MEDIUM",K64&lt;550,"HIGH")</f>
        <v>LOW</v>
      </c>
    </row>
    <row r="65" spans="3:28" x14ac:dyDescent="0.3">
      <c r="C65" s="35" t="s">
        <v>3523</v>
      </c>
      <c r="D65" s="1" t="s">
        <v>1540</v>
      </c>
      <c r="E65" s="1">
        <v>32</v>
      </c>
      <c r="F65" s="1" t="s">
        <v>26</v>
      </c>
      <c r="G65" s="1" t="s">
        <v>45</v>
      </c>
      <c r="H65" s="1" t="s">
        <v>28</v>
      </c>
      <c r="I65" s="1" t="s">
        <v>29</v>
      </c>
      <c r="J65" s="7">
        <v>112934</v>
      </c>
      <c r="K65" s="1">
        <v>837</v>
      </c>
      <c r="L65" s="7">
        <v>22292</v>
      </c>
      <c r="M65" s="1">
        <v>48</v>
      </c>
      <c r="N65" s="6">
        <v>6.2E-2</v>
      </c>
      <c r="O65" s="1" t="s">
        <v>37</v>
      </c>
      <c r="P65" s="1" t="s">
        <v>50</v>
      </c>
      <c r="Q65" s="1">
        <v>18</v>
      </c>
      <c r="R65" s="1">
        <v>0</v>
      </c>
      <c r="S65" s="1" t="s">
        <v>33</v>
      </c>
      <c r="T65" s="1" t="s">
        <v>33</v>
      </c>
      <c r="U65" s="1">
        <v>3</v>
      </c>
      <c r="V65" s="1">
        <v>74514</v>
      </c>
      <c r="W65" s="7">
        <v>1456.44</v>
      </c>
      <c r="X65" s="1">
        <v>0.63</v>
      </c>
      <c r="Y65" s="4">
        <v>45417</v>
      </c>
      <c r="Z65" s="1" t="s">
        <v>38</v>
      </c>
      <c r="AA65" s="1" t="s">
        <v>31</v>
      </c>
      <c r="AB65" s="36" t="str" cm="1">
        <f t="array" ref="AB65">_xlfn.IFS(K65&gt;650,"LOW",K65&gt;=550,"MEDIUM",K65&lt;550,"HIGH")</f>
        <v>LOW</v>
      </c>
    </row>
    <row r="66" spans="3:28" x14ac:dyDescent="0.3">
      <c r="C66" s="35" t="s">
        <v>2026</v>
      </c>
      <c r="D66" s="1" t="s">
        <v>49</v>
      </c>
      <c r="E66" s="1">
        <v>59</v>
      </c>
      <c r="F66" s="1" t="s">
        <v>44</v>
      </c>
      <c r="G66" s="1" t="s">
        <v>35</v>
      </c>
      <c r="H66" s="1" t="s">
        <v>28</v>
      </c>
      <c r="I66" s="1" t="s">
        <v>29</v>
      </c>
      <c r="J66" s="7">
        <v>49113</v>
      </c>
      <c r="K66" s="1">
        <v>836</v>
      </c>
      <c r="L66" s="7">
        <v>24447</v>
      </c>
      <c r="M66" s="1">
        <v>24</v>
      </c>
      <c r="N66" s="6">
        <v>0.10339999999999999</v>
      </c>
      <c r="O66" s="1" t="s">
        <v>37</v>
      </c>
      <c r="P66" s="1" t="s">
        <v>50</v>
      </c>
      <c r="Q66" s="1">
        <v>21</v>
      </c>
      <c r="R66" s="1">
        <v>2</v>
      </c>
      <c r="S66" s="1" t="s">
        <v>33</v>
      </c>
      <c r="T66" s="1" t="s">
        <v>31</v>
      </c>
      <c r="U66" s="1">
        <v>3</v>
      </c>
      <c r="V66" s="1">
        <v>157349</v>
      </c>
      <c r="W66" s="7">
        <v>1588.91</v>
      </c>
      <c r="X66" s="1">
        <v>0.24</v>
      </c>
      <c r="Y66" s="4">
        <v>44882</v>
      </c>
      <c r="Z66" s="1" t="s">
        <v>32</v>
      </c>
      <c r="AA66" s="1" t="s">
        <v>31</v>
      </c>
      <c r="AB66" s="36" t="str" cm="1">
        <f t="array" ref="AB66">_xlfn.IFS(K66&gt;650,"LOW",K66&gt;=550,"MEDIUM",K66&lt;550,"HIGH")</f>
        <v>LOW</v>
      </c>
    </row>
    <row r="67" spans="3:28" x14ac:dyDescent="0.3">
      <c r="C67" s="35" t="s">
        <v>2595</v>
      </c>
      <c r="D67" s="1" t="s">
        <v>625</v>
      </c>
      <c r="E67" s="1">
        <v>60</v>
      </c>
      <c r="F67" s="1" t="s">
        <v>44</v>
      </c>
      <c r="G67" s="1" t="s">
        <v>45</v>
      </c>
      <c r="H67" s="1" t="s">
        <v>61</v>
      </c>
      <c r="I67" s="1" t="s">
        <v>59</v>
      </c>
      <c r="J67" s="7">
        <v>52317</v>
      </c>
      <c r="K67" s="1">
        <v>836</v>
      </c>
      <c r="L67" s="7">
        <v>34305</v>
      </c>
      <c r="M67" s="1">
        <v>12</v>
      </c>
      <c r="N67" s="6">
        <v>0.10400000000000001</v>
      </c>
      <c r="O67" s="1" t="s">
        <v>46</v>
      </c>
      <c r="P67" s="1" t="s">
        <v>47</v>
      </c>
      <c r="Q67" s="1">
        <v>21</v>
      </c>
      <c r="R67" s="1">
        <v>4</v>
      </c>
      <c r="S67" s="1" t="s">
        <v>31</v>
      </c>
      <c r="T67" s="1" t="s">
        <v>31</v>
      </c>
      <c r="U67" s="1">
        <v>2</v>
      </c>
      <c r="V67" s="1">
        <v>164750</v>
      </c>
      <c r="W67" s="7">
        <v>776.22</v>
      </c>
      <c r="X67" s="1">
        <v>0.39</v>
      </c>
      <c r="Y67" s="4">
        <v>44698</v>
      </c>
      <c r="Z67" s="1" t="s">
        <v>32</v>
      </c>
      <c r="AA67" s="1" t="s">
        <v>31</v>
      </c>
      <c r="AB67" s="36" t="str" cm="1">
        <f t="array" ref="AB67">_xlfn.IFS(K67&gt;650,"LOW",K67&gt;=550,"MEDIUM",K67&lt;550,"HIGH")</f>
        <v>LOW</v>
      </c>
    </row>
    <row r="68" spans="3:28" x14ac:dyDescent="0.3">
      <c r="C68" s="35" t="s">
        <v>3853</v>
      </c>
      <c r="D68" s="1" t="s">
        <v>1859</v>
      </c>
      <c r="E68" s="1">
        <v>26</v>
      </c>
      <c r="F68" s="1" t="s">
        <v>26</v>
      </c>
      <c r="G68" s="1" t="s">
        <v>27</v>
      </c>
      <c r="H68" s="1" t="s">
        <v>54</v>
      </c>
      <c r="I68" s="1" t="s">
        <v>57</v>
      </c>
      <c r="J68" s="7">
        <v>31767</v>
      </c>
      <c r="K68" s="1">
        <v>836</v>
      </c>
      <c r="L68" s="7">
        <v>31614</v>
      </c>
      <c r="M68" s="1">
        <v>36</v>
      </c>
      <c r="N68" s="6">
        <v>7.9899999999999999E-2</v>
      </c>
      <c r="O68" s="1" t="s">
        <v>37</v>
      </c>
      <c r="P68" s="1" t="s">
        <v>47</v>
      </c>
      <c r="Q68" s="1">
        <v>29</v>
      </c>
      <c r="R68" s="1">
        <v>0</v>
      </c>
      <c r="S68" s="1" t="s">
        <v>33</v>
      </c>
      <c r="T68" s="1" t="s">
        <v>33</v>
      </c>
      <c r="U68" s="1">
        <v>2</v>
      </c>
      <c r="V68" s="1">
        <v>123362</v>
      </c>
      <c r="W68" s="7">
        <v>1254.75</v>
      </c>
      <c r="X68" s="1">
        <v>0.87</v>
      </c>
      <c r="Y68" s="4">
        <v>45299</v>
      </c>
      <c r="Z68" s="1" t="s">
        <v>32</v>
      </c>
      <c r="AA68" s="1" t="s">
        <v>33</v>
      </c>
      <c r="AB68" s="36" t="str" cm="1">
        <f t="array" ref="AB68">_xlfn.IFS(K68&gt;650,"LOW",K68&gt;=550,"MEDIUM",K68&lt;550,"HIGH")</f>
        <v>LOW</v>
      </c>
    </row>
    <row r="69" spans="3:28" x14ac:dyDescent="0.3">
      <c r="C69" s="35" t="s">
        <v>2024</v>
      </c>
      <c r="D69" s="1" t="s">
        <v>43</v>
      </c>
      <c r="E69" s="1">
        <v>28</v>
      </c>
      <c r="F69" s="1" t="s">
        <v>44</v>
      </c>
      <c r="G69" s="1" t="s">
        <v>45</v>
      </c>
      <c r="H69" s="1" t="s">
        <v>36</v>
      </c>
      <c r="I69" s="1" t="s">
        <v>40</v>
      </c>
      <c r="J69" s="7">
        <v>28418</v>
      </c>
      <c r="K69" s="1">
        <v>835</v>
      </c>
      <c r="L69" s="7">
        <v>32738</v>
      </c>
      <c r="M69" s="1">
        <v>48</v>
      </c>
      <c r="N69" s="6">
        <v>0.11539999999999999</v>
      </c>
      <c r="O69" s="1" t="s">
        <v>46</v>
      </c>
      <c r="P69" s="1" t="s">
        <v>47</v>
      </c>
      <c r="Q69" s="1">
        <v>25</v>
      </c>
      <c r="R69" s="1">
        <v>3</v>
      </c>
      <c r="S69" s="1" t="s">
        <v>33</v>
      </c>
      <c r="T69" s="1" t="s">
        <v>33</v>
      </c>
      <c r="U69" s="1">
        <v>3</v>
      </c>
      <c r="V69" s="1">
        <v>139722</v>
      </c>
      <c r="W69" s="7">
        <v>1667.29</v>
      </c>
      <c r="X69" s="1">
        <v>0.5</v>
      </c>
      <c r="Y69" s="4">
        <v>44306</v>
      </c>
      <c r="Z69" s="1" t="s">
        <v>32</v>
      </c>
      <c r="AA69" s="1" t="s">
        <v>33</v>
      </c>
      <c r="AB69" s="36" t="str" cm="1">
        <f t="array" ref="AB69">_xlfn.IFS(K69&gt;650,"LOW",K69&gt;=550,"MEDIUM",K69&lt;550,"HIGH")</f>
        <v>LOW</v>
      </c>
    </row>
    <row r="70" spans="3:28" x14ac:dyDescent="0.3">
      <c r="C70" s="35" t="s">
        <v>2818</v>
      </c>
      <c r="D70" s="1" t="s">
        <v>846</v>
      </c>
      <c r="E70" s="1">
        <v>26</v>
      </c>
      <c r="F70" s="1" t="s">
        <v>26</v>
      </c>
      <c r="G70" s="1" t="s">
        <v>27</v>
      </c>
      <c r="H70" s="1" t="s">
        <v>61</v>
      </c>
      <c r="I70" s="1" t="s">
        <v>29</v>
      </c>
      <c r="J70" s="7">
        <v>28989</v>
      </c>
      <c r="K70" s="1">
        <v>835</v>
      </c>
      <c r="L70" s="7">
        <v>40807</v>
      </c>
      <c r="M70" s="1">
        <v>12</v>
      </c>
      <c r="N70" s="6">
        <v>0.1278</v>
      </c>
      <c r="O70" s="1" t="s">
        <v>46</v>
      </c>
      <c r="P70" s="1" t="s">
        <v>30</v>
      </c>
      <c r="Q70" s="1">
        <v>23</v>
      </c>
      <c r="R70" s="1">
        <v>0</v>
      </c>
      <c r="S70" s="1" t="s">
        <v>31</v>
      </c>
      <c r="T70" s="1" t="s">
        <v>31</v>
      </c>
      <c r="U70" s="1">
        <v>2</v>
      </c>
      <c r="V70" s="1">
        <v>55443</v>
      </c>
      <c r="W70" s="7">
        <v>1387.78</v>
      </c>
      <c r="X70" s="1">
        <v>0.77</v>
      </c>
      <c r="Y70" s="4">
        <v>45683</v>
      </c>
      <c r="Z70" s="1" t="s">
        <v>32</v>
      </c>
      <c r="AA70" s="1" t="s">
        <v>33</v>
      </c>
      <c r="AB70" s="36" t="str" cm="1">
        <f t="array" ref="AB70">_xlfn.IFS(K70&gt;650,"LOW",K70&gt;=550,"MEDIUM",K70&lt;550,"HIGH")</f>
        <v>LOW</v>
      </c>
    </row>
    <row r="71" spans="3:28" x14ac:dyDescent="0.3">
      <c r="C71" s="35" t="s">
        <v>3570</v>
      </c>
      <c r="D71" s="1" t="s">
        <v>1587</v>
      </c>
      <c r="E71" s="1">
        <v>58</v>
      </c>
      <c r="F71" s="1" t="s">
        <v>44</v>
      </c>
      <c r="G71" s="1" t="s">
        <v>27</v>
      </c>
      <c r="H71" s="1" t="s">
        <v>28</v>
      </c>
      <c r="I71" s="1" t="s">
        <v>40</v>
      </c>
      <c r="J71" s="7">
        <v>124292</v>
      </c>
      <c r="K71" s="1">
        <v>835</v>
      </c>
      <c r="L71" s="7">
        <v>8433</v>
      </c>
      <c r="M71" s="1">
        <v>36</v>
      </c>
      <c r="N71" s="6">
        <v>6.1100000000000002E-2</v>
      </c>
      <c r="O71" s="1" t="s">
        <v>37</v>
      </c>
      <c r="P71" s="1" t="s">
        <v>47</v>
      </c>
      <c r="Q71" s="1">
        <v>6</v>
      </c>
      <c r="R71" s="1">
        <v>2</v>
      </c>
      <c r="S71" s="1" t="s">
        <v>31</v>
      </c>
      <c r="T71" s="1" t="s">
        <v>33</v>
      </c>
      <c r="U71" s="1">
        <v>3</v>
      </c>
      <c r="V71" s="1">
        <v>132963</v>
      </c>
      <c r="W71" s="7">
        <v>333.8</v>
      </c>
      <c r="X71" s="1">
        <v>0.6</v>
      </c>
      <c r="Y71" s="4">
        <v>44870</v>
      </c>
      <c r="Z71" s="1" t="s">
        <v>32</v>
      </c>
      <c r="AA71" s="1" t="s">
        <v>33</v>
      </c>
      <c r="AB71" s="36" t="str" cm="1">
        <f t="array" ref="AB71">_xlfn.IFS(K71&gt;650,"LOW",K71&gt;=550,"MEDIUM",K71&lt;550,"HIGH")</f>
        <v>LOW</v>
      </c>
    </row>
    <row r="72" spans="3:28" x14ac:dyDescent="0.3">
      <c r="C72" s="35" t="s">
        <v>2040</v>
      </c>
      <c r="D72" s="1" t="s">
        <v>71</v>
      </c>
      <c r="E72" s="1">
        <v>50</v>
      </c>
      <c r="F72" s="1" t="s">
        <v>26</v>
      </c>
      <c r="G72" s="1" t="s">
        <v>45</v>
      </c>
      <c r="H72" s="1" t="s">
        <v>54</v>
      </c>
      <c r="I72" s="1" t="s">
        <v>57</v>
      </c>
      <c r="J72" s="7">
        <v>144023</v>
      </c>
      <c r="K72" s="1">
        <v>834</v>
      </c>
      <c r="L72" s="7">
        <v>4621</v>
      </c>
      <c r="M72" s="1">
        <v>60</v>
      </c>
      <c r="N72" s="6">
        <v>5.7999999999999996E-2</v>
      </c>
      <c r="O72" s="1" t="s">
        <v>41</v>
      </c>
      <c r="P72" s="1" t="s">
        <v>47</v>
      </c>
      <c r="Q72" s="1">
        <v>29</v>
      </c>
      <c r="R72" s="1">
        <v>1</v>
      </c>
      <c r="S72" s="1" t="s">
        <v>31</v>
      </c>
      <c r="T72" s="1" t="s">
        <v>31</v>
      </c>
      <c r="U72" s="1">
        <v>1</v>
      </c>
      <c r="V72" s="1">
        <v>199281</v>
      </c>
      <c r="W72" s="7">
        <v>876.08</v>
      </c>
      <c r="X72" s="1">
        <v>0.72</v>
      </c>
      <c r="Y72" s="4">
        <v>44262</v>
      </c>
      <c r="Z72" s="1" t="s">
        <v>38</v>
      </c>
      <c r="AA72" s="1" t="s">
        <v>33</v>
      </c>
      <c r="AB72" s="36" t="str" cm="1">
        <f t="array" ref="AB72">_xlfn.IFS(K72&gt;650,"LOW",K72&gt;=550,"MEDIUM",K72&lt;550,"HIGH")</f>
        <v>LOW</v>
      </c>
    </row>
    <row r="73" spans="3:28" x14ac:dyDescent="0.3">
      <c r="C73" s="35" t="s">
        <v>2340</v>
      </c>
      <c r="D73" s="1" t="s">
        <v>371</v>
      </c>
      <c r="E73" s="1">
        <v>48</v>
      </c>
      <c r="F73" s="1" t="s">
        <v>44</v>
      </c>
      <c r="G73" s="1" t="s">
        <v>56</v>
      </c>
      <c r="H73" s="1" t="s">
        <v>54</v>
      </c>
      <c r="I73" s="1" t="s">
        <v>57</v>
      </c>
      <c r="J73" s="7">
        <v>32446</v>
      </c>
      <c r="K73" s="1">
        <v>834</v>
      </c>
      <c r="L73" s="7">
        <v>22300</v>
      </c>
      <c r="M73" s="1">
        <v>48</v>
      </c>
      <c r="N73" s="6">
        <v>0.1492</v>
      </c>
      <c r="O73" s="1" t="s">
        <v>41</v>
      </c>
      <c r="P73" s="1" t="s">
        <v>50</v>
      </c>
      <c r="Q73" s="1">
        <v>10</v>
      </c>
      <c r="R73" s="1">
        <v>2</v>
      </c>
      <c r="S73" s="1" t="s">
        <v>33</v>
      </c>
      <c r="T73" s="1" t="s">
        <v>31</v>
      </c>
      <c r="U73" s="1">
        <v>0</v>
      </c>
      <c r="V73" s="1">
        <v>23449</v>
      </c>
      <c r="W73" s="7">
        <v>1494.88</v>
      </c>
      <c r="X73" s="1">
        <v>0.67</v>
      </c>
      <c r="Y73" s="4">
        <v>44871</v>
      </c>
      <c r="Z73" s="1" t="s">
        <v>38</v>
      </c>
      <c r="AA73" s="1" t="s">
        <v>33</v>
      </c>
      <c r="AB73" s="36" t="str" cm="1">
        <f t="array" ref="AB73">_xlfn.IFS(K73&gt;650,"LOW",K73&gt;=550,"MEDIUM",K73&lt;550,"HIGH")</f>
        <v>LOW</v>
      </c>
    </row>
    <row r="74" spans="3:28" x14ac:dyDescent="0.3">
      <c r="C74" s="35" t="s">
        <v>2640</v>
      </c>
      <c r="D74" s="1" t="s">
        <v>670</v>
      </c>
      <c r="E74" s="1">
        <v>52</v>
      </c>
      <c r="F74" s="1" t="s">
        <v>44</v>
      </c>
      <c r="G74" s="1" t="s">
        <v>35</v>
      </c>
      <c r="H74" s="1" t="s">
        <v>36</v>
      </c>
      <c r="I74" s="1" t="s">
        <v>40</v>
      </c>
      <c r="J74" s="7">
        <v>122240</v>
      </c>
      <c r="K74" s="1">
        <v>834</v>
      </c>
      <c r="L74" s="7">
        <v>17672</v>
      </c>
      <c r="M74" s="1">
        <v>24</v>
      </c>
      <c r="N74" s="6">
        <v>6.2699999999999992E-2</v>
      </c>
      <c r="O74" s="1" t="s">
        <v>63</v>
      </c>
      <c r="P74" s="1" t="s">
        <v>50</v>
      </c>
      <c r="Q74" s="1">
        <v>22</v>
      </c>
      <c r="R74" s="1">
        <v>3</v>
      </c>
      <c r="S74" s="1" t="s">
        <v>33</v>
      </c>
      <c r="T74" s="1" t="s">
        <v>31</v>
      </c>
      <c r="U74" s="1">
        <v>1</v>
      </c>
      <c r="V74" s="1">
        <v>58133</v>
      </c>
      <c r="W74" s="7">
        <v>1806.62</v>
      </c>
      <c r="X74" s="1">
        <v>0.73</v>
      </c>
      <c r="Y74" s="4">
        <v>44108</v>
      </c>
      <c r="Z74" s="1" t="s">
        <v>38</v>
      </c>
      <c r="AA74" s="1" t="s">
        <v>33</v>
      </c>
      <c r="AB74" s="36" t="str" cm="1">
        <f t="array" ref="AB74">_xlfn.IFS(K74&gt;650,"LOW",K74&gt;=550,"MEDIUM",K74&lt;550,"HIGH")</f>
        <v>LOW</v>
      </c>
    </row>
    <row r="75" spans="3:28" x14ac:dyDescent="0.3">
      <c r="C75" s="35" t="s">
        <v>2244</v>
      </c>
      <c r="D75" s="1" t="s">
        <v>275</v>
      </c>
      <c r="E75" s="1">
        <v>36</v>
      </c>
      <c r="F75" s="1" t="s">
        <v>26</v>
      </c>
      <c r="G75" s="1" t="s">
        <v>35</v>
      </c>
      <c r="H75" s="1" t="s">
        <v>36</v>
      </c>
      <c r="I75" s="1" t="s">
        <v>59</v>
      </c>
      <c r="J75" s="7">
        <v>85584</v>
      </c>
      <c r="K75" s="1">
        <v>833</v>
      </c>
      <c r="L75" s="7">
        <v>4932</v>
      </c>
      <c r="M75" s="1">
        <v>12</v>
      </c>
      <c r="N75" s="6">
        <v>6.93E-2</v>
      </c>
      <c r="O75" s="1" t="s">
        <v>37</v>
      </c>
      <c r="P75" s="1" t="s">
        <v>30</v>
      </c>
      <c r="Q75" s="1">
        <v>29</v>
      </c>
      <c r="R75" s="1">
        <v>4</v>
      </c>
      <c r="S75" s="1" t="s">
        <v>33</v>
      </c>
      <c r="T75" s="1" t="s">
        <v>31</v>
      </c>
      <c r="U75" s="1">
        <v>2</v>
      </c>
      <c r="V75" s="1">
        <v>168782</v>
      </c>
      <c r="W75" s="7">
        <v>1633.33</v>
      </c>
      <c r="X75" s="1">
        <v>0.98</v>
      </c>
      <c r="Y75" s="4">
        <v>45628</v>
      </c>
      <c r="Z75" s="1" t="s">
        <v>32</v>
      </c>
      <c r="AA75" s="1" t="s">
        <v>33</v>
      </c>
      <c r="AB75" s="36" t="str" cm="1">
        <f t="array" ref="AB75">_xlfn.IFS(K75&gt;650,"LOW",K75&gt;=550,"MEDIUM",K75&lt;550,"HIGH")</f>
        <v>LOW</v>
      </c>
    </row>
    <row r="76" spans="3:28" x14ac:dyDescent="0.3">
      <c r="C76" s="35" t="s">
        <v>2834</v>
      </c>
      <c r="D76" s="1" t="s">
        <v>862</v>
      </c>
      <c r="E76" s="1">
        <v>46</v>
      </c>
      <c r="F76" s="1" t="s">
        <v>44</v>
      </c>
      <c r="G76" s="1" t="s">
        <v>27</v>
      </c>
      <c r="H76" s="1" t="s">
        <v>61</v>
      </c>
      <c r="I76" s="1" t="s">
        <v>29</v>
      </c>
      <c r="J76" s="7">
        <v>102597</v>
      </c>
      <c r="K76" s="1">
        <v>832</v>
      </c>
      <c r="L76" s="7">
        <v>29172</v>
      </c>
      <c r="M76" s="1">
        <v>48</v>
      </c>
      <c r="N76" s="6">
        <v>0.12189999999999999</v>
      </c>
      <c r="O76" s="1" t="s">
        <v>52</v>
      </c>
      <c r="P76" s="1" t="s">
        <v>30</v>
      </c>
      <c r="Q76" s="1">
        <v>19</v>
      </c>
      <c r="R76" s="1">
        <v>4</v>
      </c>
      <c r="S76" s="1" t="s">
        <v>31</v>
      </c>
      <c r="T76" s="1" t="s">
        <v>33</v>
      </c>
      <c r="U76" s="1">
        <v>4</v>
      </c>
      <c r="V76" s="1">
        <v>82570</v>
      </c>
      <c r="W76" s="7">
        <v>1501.6</v>
      </c>
      <c r="X76" s="1">
        <v>0.43</v>
      </c>
      <c r="Y76" s="4">
        <v>45463</v>
      </c>
      <c r="Z76" s="1" t="s">
        <v>38</v>
      </c>
      <c r="AA76" s="1" t="s">
        <v>33</v>
      </c>
      <c r="AB76" s="36" t="str" cm="1">
        <f t="array" ref="AB76">_xlfn.IFS(K76&gt;650,"LOW",K76&gt;=550,"MEDIUM",K76&lt;550,"HIGH")</f>
        <v>LOW</v>
      </c>
    </row>
    <row r="77" spans="3:28" x14ac:dyDescent="0.3">
      <c r="C77" s="35" t="s">
        <v>2987</v>
      </c>
      <c r="D77" s="1" t="s">
        <v>955</v>
      </c>
      <c r="E77" s="1">
        <v>57</v>
      </c>
      <c r="F77" s="1" t="s">
        <v>44</v>
      </c>
      <c r="G77" s="1" t="s">
        <v>35</v>
      </c>
      <c r="H77" s="1" t="s">
        <v>61</v>
      </c>
      <c r="I77" s="1" t="s">
        <v>40</v>
      </c>
      <c r="J77" s="7">
        <v>88222</v>
      </c>
      <c r="K77" s="1">
        <v>832</v>
      </c>
      <c r="L77" s="7">
        <v>28278</v>
      </c>
      <c r="M77" s="1">
        <v>36</v>
      </c>
      <c r="N77" s="6">
        <v>0.18629999999999999</v>
      </c>
      <c r="O77" s="1" t="s">
        <v>52</v>
      </c>
      <c r="P77" s="1" t="s">
        <v>30</v>
      </c>
      <c r="Q77" s="1">
        <v>1</v>
      </c>
      <c r="R77" s="1">
        <v>3</v>
      </c>
      <c r="S77" s="1" t="s">
        <v>33</v>
      </c>
      <c r="T77" s="1" t="s">
        <v>33</v>
      </c>
      <c r="U77" s="1">
        <v>0</v>
      </c>
      <c r="V77" s="1">
        <v>174002</v>
      </c>
      <c r="W77" s="7">
        <v>744.37</v>
      </c>
      <c r="X77" s="1">
        <v>0.68</v>
      </c>
      <c r="Y77" s="4">
        <v>44321</v>
      </c>
      <c r="Z77" s="1" t="s">
        <v>32</v>
      </c>
      <c r="AA77" s="1" t="s">
        <v>33</v>
      </c>
      <c r="AB77" s="36" t="str" cm="1">
        <f t="array" ref="AB77">_xlfn.IFS(K77&gt;650,"LOW",K77&gt;=550,"MEDIUM",K77&lt;550,"HIGH")</f>
        <v>LOW</v>
      </c>
    </row>
    <row r="78" spans="3:28" x14ac:dyDescent="0.3">
      <c r="C78" s="35" t="s">
        <v>2988</v>
      </c>
      <c r="D78" s="1" t="s">
        <v>1015</v>
      </c>
      <c r="E78" s="1">
        <v>34</v>
      </c>
      <c r="F78" s="1" t="s">
        <v>26</v>
      </c>
      <c r="G78" s="1" t="s">
        <v>35</v>
      </c>
      <c r="H78" s="1" t="s">
        <v>28</v>
      </c>
      <c r="I78" s="1" t="s">
        <v>59</v>
      </c>
      <c r="J78" s="7">
        <v>32666</v>
      </c>
      <c r="K78" s="1">
        <v>832</v>
      </c>
      <c r="L78" s="7">
        <v>9272</v>
      </c>
      <c r="M78" s="1">
        <v>48</v>
      </c>
      <c r="N78" s="6">
        <v>8.3900000000000002E-2</v>
      </c>
      <c r="O78" s="1" t="s">
        <v>63</v>
      </c>
      <c r="P78" s="1" t="s">
        <v>47</v>
      </c>
      <c r="Q78" s="1">
        <v>17</v>
      </c>
      <c r="R78" s="1">
        <v>3</v>
      </c>
      <c r="S78" s="1" t="s">
        <v>33</v>
      </c>
      <c r="T78" s="1" t="s">
        <v>33</v>
      </c>
      <c r="U78" s="1">
        <v>4</v>
      </c>
      <c r="V78" s="1">
        <v>132732</v>
      </c>
      <c r="W78" s="7">
        <v>164.2</v>
      </c>
      <c r="X78" s="1">
        <v>0.71</v>
      </c>
      <c r="Y78" s="4">
        <v>44616</v>
      </c>
      <c r="Z78" s="1" t="s">
        <v>32</v>
      </c>
      <c r="AA78" s="1" t="s">
        <v>33</v>
      </c>
      <c r="AB78" s="36" t="str" cm="1">
        <f t="array" ref="AB78">_xlfn.IFS(K78&gt;650,"LOW",K78&gt;=550,"MEDIUM",K78&lt;550,"HIGH")</f>
        <v>LOW</v>
      </c>
    </row>
    <row r="79" spans="3:28" x14ac:dyDescent="0.3">
      <c r="C79" s="35" t="s">
        <v>3389</v>
      </c>
      <c r="D79" s="1" t="s">
        <v>1409</v>
      </c>
      <c r="E79" s="1">
        <v>27</v>
      </c>
      <c r="F79" s="1" t="s">
        <v>44</v>
      </c>
      <c r="G79" s="1" t="s">
        <v>56</v>
      </c>
      <c r="H79" s="1" t="s">
        <v>28</v>
      </c>
      <c r="I79" s="1" t="s">
        <v>40</v>
      </c>
      <c r="J79" s="7">
        <v>71952</v>
      </c>
      <c r="K79" s="1">
        <v>832</v>
      </c>
      <c r="L79" s="7">
        <v>31436</v>
      </c>
      <c r="M79" s="1">
        <v>24</v>
      </c>
      <c r="N79" s="6">
        <v>0.17030000000000001</v>
      </c>
      <c r="O79" s="1" t="s">
        <v>52</v>
      </c>
      <c r="P79" s="1" t="s">
        <v>47</v>
      </c>
      <c r="Q79" s="1">
        <v>20</v>
      </c>
      <c r="R79" s="1">
        <v>1</v>
      </c>
      <c r="S79" s="1" t="s">
        <v>33</v>
      </c>
      <c r="T79" s="1" t="s">
        <v>33</v>
      </c>
      <c r="U79" s="1">
        <v>2</v>
      </c>
      <c r="V79" s="1">
        <v>134482</v>
      </c>
      <c r="W79" s="7">
        <v>878.87</v>
      </c>
      <c r="X79" s="1">
        <v>0.16</v>
      </c>
      <c r="Y79" s="4">
        <v>44137</v>
      </c>
      <c r="Z79" s="1" t="s">
        <v>38</v>
      </c>
      <c r="AA79" s="1" t="s">
        <v>31</v>
      </c>
      <c r="AB79" s="36" t="str" cm="1">
        <f t="array" ref="AB79">_xlfn.IFS(K79&gt;650,"LOW",K79&gt;=550,"MEDIUM",K79&lt;550,"HIGH")</f>
        <v>LOW</v>
      </c>
    </row>
    <row r="80" spans="3:28" x14ac:dyDescent="0.3">
      <c r="C80" s="35" t="s">
        <v>3503</v>
      </c>
      <c r="D80" s="1" t="s">
        <v>1520</v>
      </c>
      <c r="E80" s="1">
        <v>23</v>
      </c>
      <c r="F80" s="1" t="s">
        <v>26</v>
      </c>
      <c r="G80" s="1" t="s">
        <v>45</v>
      </c>
      <c r="H80" s="1" t="s">
        <v>36</v>
      </c>
      <c r="I80" s="1" t="s">
        <v>59</v>
      </c>
      <c r="J80" s="7">
        <v>64143</v>
      </c>
      <c r="K80" s="1">
        <v>832</v>
      </c>
      <c r="L80" s="7">
        <v>42886</v>
      </c>
      <c r="M80" s="1">
        <v>36</v>
      </c>
      <c r="N80" s="6">
        <v>0.1595</v>
      </c>
      <c r="O80" s="1" t="s">
        <v>5</v>
      </c>
      <c r="P80" s="1" t="s">
        <v>50</v>
      </c>
      <c r="Q80" s="1">
        <v>22</v>
      </c>
      <c r="R80" s="1">
        <v>4</v>
      </c>
      <c r="S80" s="1" t="s">
        <v>31</v>
      </c>
      <c r="T80" s="1" t="s">
        <v>33</v>
      </c>
      <c r="U80" s="1">
        <v>4</v>
      </c>
      <c r="V80" s="1">
        <v>85918</v>
      </c>
      <c r="W80" s="7">
        <v>932.14</v>
      </c>
      <c r="X80" s="1">
        <v>0.71</v>
      </c>
      <c r="Y80" s="4">
        <v>45166</v>
      </c>
      <c r="Z80" s="1" t="s">
        <v>32</v>
      </c>
      <c r="AA80" s="1" t="s">
        <v>33</v>
      </c>
      <c r="AB80" s="36" t="str" cm="1">
        <f t="array" ref="AB80">_xlfn.IFS(K80&gt;650,"LOW",K80&gt;=550,"MEDIUM",K80&lt;550,"HIGH")</f>
        <v>LOW</v>
      </c>
    </row>
    <row r="81" spans="3:28" x14ac:dyDescent="0.3">
      <c r="C81" s="35" t="s">
        <v>3651</v>
      </c>
      <c r="D81" s="1" t="s">
        <v>1663</v>
      </c>
      <c r="E81" s="1">
        <v>37</v>
      </c>
      <c r="F81" s="1" t="s">
        <v>26</v>
      </c>
      <c r="G81" s="1" t="s">
        <v>56</v>
      </c>
      <c r="H81" s="1" t="s">
        <v>54</v>
      </c>
      <c r="I81" s="1" t="s">
        <v>59</v>
      </c>
      <c r="J81" s="7">
        <v>70477</v>
      </c>
      <c r="K81" s="1">
        <v>832</v>
      </c>
      <c r="L81" s="7">
        <v>15274</v>
      </c>
      <c r="M81" s="1">
        <v>48</v>
      </c>
      <c r="N81" s="6">
        <v>9.820000000000001E-2</v>
      </c>
      <c r="O81" s="1" t="s">
        <v>46</v>
      </c>
      <c r="P81" s="1" t="s">
        <v>50</v>
      </c>
      <c r="Q81" s="1">
        <v>27</v>
      </c>
      <c r="R81" s="1">
        <v>2</v>
      </c>
      <c r="S81" s="1" t="s">
        <v>33</v>
      </c>
      <c r="T81" s="1" t="s">
        <v>31</v>
      </c>
      <c r="U81" s="1">
        <v>3</v>
      </c>
      <c r="V81" s="1">
        <v>193468</v>
      </c>
      <c r="W81" s="7">
        <v>1814.78</v>
      </c>
      <c r="X81" s="1">
        <v>0.71</v>
      </c>
      <c r="Y81" s="4">
        <v>45786</v>
      </c>
      <c r="Z81" s="1" t="s">
        <v>38</v>
      </c>
      <c r="AA81" s="1" t="s">
        <v>33</v>
      </c>
      <c r="AB81" s="36" t="str" cm="1">
        <f t="array" ref="AB81">_xlfn.IFS(K81&gt;650,"LOW",K81&gt;=550,"MEDIUM",K81&lt;550,"HIGH")</f>
        <v>LOW</v>
      </c>
    </row>
    <row r="82" spans="3:28" x14ac:dyDescent="0.3">
      <c r="C82" s="35" t="s">
        <v>2272</v>
      </c>
      <c r="D82" s="1" t="s">
        <v>303</v>
      </c>
      <c r="E82" s="1">
        <v>36</v>
      </c>
      <c r="F82" s="1" t="s">
        <v>26</v>
      </c>
      <c r="G82" s="1" t="s">
        <v>45</v>
      </c>
      <c r="H82" s="1" t="s">
        <v>36</v>
      </c>
      <c r="I82" s="1" t="s">
        <v>29</v>
      </c>
      <c r="J82" s="7">
        <v>45523</v>
      </c>
      <c r="K82" s="1">
        <v>831</v>
      </c>
      <c r="L82" s="7">
        <v>31916</v>
      </c>
      <c r="M82" s="1">
        <v>24</v>
      </c>
      <c r="N82" s="6">
        <v>0.17850000000000002</v>
      </c>
      <c r="O82" s="1" t="s">
        <v>63</v>
      </c>
      <c r="P82" s="1" t="s">
        <v>30</v>
      </c>
      <c r="Q82" s="1">
        <v>23</v>
      </c>
      <c r="R82" s="1">
        <v>2</v>
      </c>
      <c r="S82" s="1" t="s">
        <v>33</v>
      </c>
      <c r="T82" s="1" t="s">
        <v>33</v>
      </c>
      <c r="U82" s="1">
        <v>0</v>
      </c>
      <c r="V82" s="1">
        <v>159989</v>
      </c>
      <c r="W82" s="7">
        <v>1013.74</v>
      </c>
      <c r="X82" s="1">
        <v>0.39</v>
      </c>
      <c r="Y82" s="4">
        <v>45580</v>
      </c>
      <c r="Z82" s="1" t="s">
        <v>32</v>
      </c>
      <c r="AA82" s="1" t="s">
        <v>33</v>
      </c>
      <c r="AB82" s="36" t="str" cm="1">
        <f t="array" ref="AB82">_xlfn.IFS(K82&gt;650,"LOW",K82&gt;=550,"MEDIUM",K82&lt;550,"HIGH")</f>
        <v>LOW</v>
      </c>
    </row>
    <row r="83" spans="3:28" x14ac:dyDescent="0.3">
      <c r="C83" s="35" t="s">
        <v>2565</v>
      </c>
      <c r="D83" s="1" t="s">
        <v>595</v>
      </c>
      <c r="E83" s="1">
        <v>39</v>
      </c>
      <c r="F83" s="1" t="s">
        <v>26</v>
      </c>
      <c r="G83" s="1" t="s">
        <v>56</v>
      </c>
      <c r="H83" s="1" t="s">
        <v>54</v>
      </c>
      <c r="I83" s="1" t="s">
        <v>29</v>
      </c>
      <c r="J83" s="7">
        <v>66202</v>
      </c>
      <c r="K83" s="1">
        <v>831</v>
      </c>
      <c r="L83" s="7">
        <v>13846</v>
      </c>
      <c r="M83" s="1">
        <v>36</v>
      </c>
      <c r="N83" s="6">
        <v>0.13900000000000001</v>
      </c>
      <c r="O83" s="1" t="s">
        <v>5</v>
      </c>
      <c r="P83" s="1" t="s">
        <v>47</v>
      </c>
      <c r="Q83" s="1">
        <v>25</v>
      </c>
      <c r="R83" s="1">
        <v>2</v>
      </c>
      <c r="S83" s="1" t="s">
        <v>31</v>
      </c>
      <c r="T83" s="1" t="s">
        <v>33</v>
      </c>
      <c r="U83" s="1">
        <v>3</v>
      </c>
      <c r="V83" s="1">
        <v>125688</v>
      </c>
      <c r="W83" s="7">
        <v>1617.13</v>
      </c>
      <c r="X83" s="1">
        <v>0.92</v>
      </c>
      <c r="Y83" s="4">
        <v>44443</v>
      </c>
      <c r="Z83" s="1" t="s">
        <v>32</v>
      </c>
      <c r="AA83" s="1" t="s">
        <v>33</v>
      </c>
      <c r="AB83" s="36" t="str" cm="1">
        <f t="array" ref="AB83">_xlfn.IFS(K83&gt;650,"LOW",K83&gt;=550,"MEDIUM",K83&lt;550,"HIGH")</f>
        <v>LOW</v>
      </c>
    </row>
    <row r="84" spans="3:28" x14ac:dyDescent="0.3">
      <c r="C84" s="35" t="s">
        <v>3914</v>
      </c>
      <c r="D84" s="1" t="s">
        <v>1918</v>
      </c>
      <c r="E84" s="1">
        <v>32</v>
      </c>
      <c r="F84" s="1" t="s">
        <v>26</v>
      </c>
      <c r="G84" s="1" t="s">
        <v>56</v>
      </c>
      <c r="H84" s="1" t="s">
        <v>36</v>
      </c>
      <c r="I84" s="1" t="s">
        <v>59</v>
      </c>
      <c r="J84" s="7">
        <v>133288</v>
      </c>
      <c r="K84" s="1">
        <v>831</v>
      </c>
      <c r="L84" s="7">
        <v>49351</v>
      </c>
      <c r="M84" s="1">
        <v>24</v>
      </c>
      <c r="N84" s="6">
        <v>7.1500000000000008E-2</v>
      </c>
      <c r="O84" s="1" t="s">
        <v>63</v>
      </c>
      <c r="P84" s="1" t="s">
        <v>50</v>
      </c>
      <c r="Q84" s="1">
        <v>3</v>
      </c>
      <c r="R84" s="1">
        <v>2</v>
      </c>
      <c r="S84" s="1" t="s">
        <v>33</v>
      </c>
      <c r="T84" s="1" t="s">
        <v>31</v>
      </c>
      <c r="U84" s="1">
        <v>3</v>
      </c>
      <c r="V84" s="1">
        <v>155585</v>
      </c>
      <c r="W84" s="7">
        <v>1512.78</v>
      </c>
      <c r="X84" s="1">
        <v>0.15</v>
      </c>
      <c r="Y84" s="4">
        <v>44119</v>
      </c>
      <c r="Z84" s="1" t="s">
        <v>38</v>
      </c>
      <c r="AA84" s="1" t="s">
        <v>33</v>
      </c>
      <c r="AB84" s="36" t="str" cm="1">
        <f t="array" ref="AB84">_xlfn.IFS(K84&gt;650,"LOW",K84&gt;=550,"MEDIUM",K84&lt;550,"HIGH")</f>
        <v>LOW</v>
      </c>
    </row>
    <row r="85" spans="3:28" x14ac:dyDescent="0.3">
      <c r="C85" s="35" t="s">
        <v>2060</v>
      </c>
      <c r="D85" s="1" t="s">
        <v>91</v>
      </c>
      <c r="E85" s="1">
        <v>59</v>
      </c>
      <c r="F85" s="1" t="s">
        <v>44</v>
      </c>
      <c r="G85" s="1" t="s">
        <v>45</v>
      </c>
      <c r="H85" s="1" t="s">
        <v>36</v>
      </c>
      <c r="I85" s="1" t="s">
        <v>40</v>
      </c>
      <c r="J85" s="7">
        <v>74387</v>
      </c>
      <c r="K85" s="1">
        <v>830</v>
      </c>
      <c r="L85" s="7">
        <v>25174</v>
      </c>
      <c r="M85" s="1">
        <v>12</v>
      </c>
      <c r="N85" s="6">
        <v>0.1542</v>
      </c>
      <c r="O85" s="1" t="s">
        <v>52</v>
      </c>
      <c r="P85" s="1" t="s">
        <v>50</v>
      </c>
      <c r="Q85" s="1">
        <v>20</v>
      </c>
      <c r="R85" s="1">
        <v>0</v>
      </c>
      <c r="S85" s="1" t="s">
        <v>31</v>
      </c>
      <c r="T85" s="1" t="s">
        <v>31</v>
      </c>
      <c r="U85" s="1">
        <v>1</v>
      </c>
      <c r="V85" s="1">
        <v>130473</v>
      </c>
      <c r="W85" s="7">
        <v>395.2</v>
      </c>
      <c r="X85" s="1">
        <v>0.87</v>
      </c>
      <c r="Y85" s="4">
        <v>45779</v>
      </c>
      <c r="Z85" s="1" t="s">
        <v>32</v>
      </c>
      <c r="AA85" s="1" t="s">
        <v>33</v>
      </c>
      <c r="AB85" s="36" t="str" cm="1">
        <f t="array" ref="AB85">_xlfn.IFS(K85&gt;650,"LOW",K85&gt;=550,"MEDIUM",K85&lt;550,"HIGH")</f>
        <v>LOW</v>
      </c>
    </row>
    <row r="86" spans="3:28" x14ac:dyDescent="0.3">
      <c r="C86" s="35" t="s">
        <v>2407</v>
      </c>
      <c r="D86" s="1" t="s">
        <v>437</v>
      </c>
      <c r="E86" s="1">
        <v>63</v>
      </c>
      <c r="F86" s="1" t="s">
        <v>44</v>
      </c>
      <c r="G86" s="1" t="s">
        <v>45</v>
      </c>
      <c r="H86" s="1" t="s">
        <v>36</v>
      </c>
      <c r="I86" s="1" t="s">
        <v>57</v>
      </c>
      <c r="J86" s="7">
        <v>124320</v>
      </c>
      <c r="K86" s="1">
        <v>830</v>
      </c>
      <c r="L86" s="7">
        <v>22612</v>
      </c>
      <c r="M86" s="1">
        <v>60</v>
      </c>
      <c r="N86" s="6">
        <v>0.16980000000000001</v>
      </c>
      <c r="O86" s="1" t="s">
        <v>5</v>
      </c>
      <c r="P86" s="1" t="s">
        <v>30</v>
      </c>
      <c r="Q86" s="1">
        <v>6</v>
      </c>
      <c r="R86" s="1">
        <v>0</v>
      </c>
      <c r="S86" s="1" t="s">
        <v>31</v>
      </c>
      <c r="T86" s="1" t="s">
        <v>31</v>
      </c>
      <c r="U86" s="1">
        <v>4</v>
      </c>
      <c r="V86" s="1">
        <v>54497</v>
      </c>
      <c r="W86" s="7">
        <v>718.39</v>
      </c>
      <c r="X86" s="1">
        <v>0.35</v>
      </c>
      <c r="Y86" s="4">
        <v>44979</v>
      </c>
      <c r="Z86" s="1" t="s">
        <v>32</v>
      </c>
      <c r="AA86" s="1" t="s">
        <v>33</v>
      </c>
      <c r="AB86" s="36" t="str" cm="1">
        <f t="array" ref="AB86">_xlfn.IFS(K86&gt;650,"LOW",K86&gt;=550,"MEDIUM",K86&lt;550,"HIGH")</f>
        <v>LOW</v>
      </c>
    </row>
    <row r="87" spans="3:28" x14ac:dyDescent="0.3">
      <c r="C87" s="35" t="s">
        <v>3541</v>
      </c>
      <c r="D87" s="1" t="s">
        <v>1558</v>
      </c>
      <c r="E87" s="1">
        <v>33</v>
      </c>
      <c r="F87" s="1" t="s">
        <v>44</v>
      </c>
      <c r="G87" s="1" t="s">
        <v>27</v>
      </c>
      <c r="H87" s="1" t="s">
        <v>54</v>
      </c>
      <c r="I87" s="1" t="s">
        <v>29</v>
      </c>
      <c r="J87" s="7">
        <v>99731</v>
      </c>
      <c r="K87" s="1">
        <v>830</v>
      </c>
      <c r="L87" s="7">
        <v>46499</v>
      </c>
      <c r="M87" s="1">
        <v>60</v>
      </c>
      <c r="N87" s="6">
        <v>9.2499999999999999E-2</v>
      </c>
      <c r="O87" s="1" t="s">
        <v>63</v>
      </c>
      <c r="P87" s="1" t="s">
        <v>50</v>
      </c>
      <c r="Q87" s="1">
        <v>26</v>
      </c>
      <c r="R87" s="1">
        <v>3</v>
      </c>
      <c r="S87" s="1" t="s">
        <v>33</v>
      </c>
      <c r="T87" s="1" t="s">
        <v>31</v>
      </c>
      <c r="U87" s="1">
        <v>1</v>
      </c>
      <c r="V87" s="1">
        <v>137415</v>
      </c>
      <c r="W87" s="7">
        <v>956.97</v>
      </c>
      <c r="X87" s="1">
        <v>0.77</v>
      </c>
      <c r="Y87" s="4">
        <v>44107</v>
      </c>
      <c r="Z87" s="1" t="s">
        <v>38</v>
      </c>
      <c r="AA87" s="1" t="s">
        <v>33</v>
      </c>
      <c r="AB87" s="36" t="str" cm="1">
        <f t="array" ref="AB87">_xlfn.IFS(K87&gt;650,"LOW",K87&gt;=550,"MEDIUM",K87&lt;550,"HIGH")</f>
        <v>LOW</v>
      </c>
    </row>
    <row r="88" spans="3:28" x14ac:dyDescent="0.3">
      <c r="C88" s="35" t="s">
        <v>2076</v>
      </c>
      <c r="D88" s="1" t="s">
        <v>107</v>
      </c>
      <c r="E88" s="1">
        <v>56</v>
      </c>
      <c r="F88" s="1" t="s">
        <v>44</v>
      </c>
      <c r="G88" s="1" t="s">
        <v>27</v>
      </c>
      <c r="H88" s="1" t="s">
        <v>54</v>
      </c>
      <c r="I88" s="1" t="s">
        <v>40</v>
      </c>
      <c r="J88" s="7">
        <v>88321</v>
      </c>
      <c r="K88" s="1">
        <v>829</v>
      </c>
      <c r="L88" s="7">
        <v>32655</v>
      </c>
      <c r="M88" s="1">
        <v>48</v>
      </c>
      <c r="N88" s="6">
        <v>6.480000000000001E-2</v>
      </c>
      <c r="O88" s="1" t="s">
        <v>41</v>
      </c>
      <c r="P88" s="1" t="s">
        <v>50</v>
      </c>
      <c r="Q88" s="1">
        <v>27</v>
      </c>
      <c r="R88" s="1">
        <v>4</v>
      </c>
      <c r="S88" s="1" t="s">
        <v>33</v>
      </c>
      <c r="T88" s="1" t="s">
        <v>31</v>
      </c>
      <c r="U88" s="1">
        <v>4</v>
      </c>
      <c r="V88" s="1">
        <v>18328</v>
      </c>
      <c r="W88" s="7">
        <v>1690.32</v>
      </c>
      <c r="X88" s="1">
        <v>0.71</v>
      </c>
      <c r="Y88" s="4">
        <v>44954</v>
      </c>
      <c r="Z88" s="1" t="s">
        <v>32</v>
      </c>
      <c r="AA88" s="1" t="s">
        <v>31</v>
      </c>
      <c r="AB88" s="36" t="str" cm="1">
        <f t="array" ref="AB88">_xlfn.IFS(K88&gt;650,"LOW",K88&gt;=550,"MEDIUM",K88&lt;550,"HIGH")</f>
        <v>LOW</v>
      </c>
    </row>
    <row r="89" spans="3:28" x14ac:dyDescent="0.3">
      <c r="C89" s="35" t="s">
        <v>3422</v>
      </c>
      <c r="D89" s="1" t="s">
        <v>1442</v>
      </c>
      <c r="E89" s="1">
        <v>49</v>
      </c>
      <c r="F89" s="1" t="s">
        <v>44</v>
      </c>
      <c r="G89" s="1" t="s">
        <v>56</v>
      </c>
      <c r="H89" s="1" t="s">
        <v>36</v>
      </c>
      <c r="I89" s="1" t="s">
        <v>59</v>
      </c>
      <c r="J89" s="7">
        <v>47909</v>
      </c>
      <c r="K89" s="1">
        <v>829</v>
      </c>
      <c r="L89" s="7">
        <v>45187</v>
      </c>
      <c r="M89" s="1">
        <v>48</v>
      </c>
      <c r="N89" s="6">
        <v>0.1537</v>
      </c>
      <c r="O89" s="1" t="s">
        <v>63</v>
      </c>
      <c r="P89" s="1" t="s">
        <v>30</v>
      </c>
      <c r="Q89" s="1">
        <v>8</v>
      </c>
      <c r="R89" s="1">
        <v>0</v>
      </c>
      <c r="S89" s="1" t="s">
        <v>31</v>
      </c>
      <c r="T89" s="1" t="s">
        <v>33</v>
      </c>
      <c r="U89" s="1">
        <v>3</v>
      </c>
      <c r="V89" s="1">
        <v>50212</v>
      </c>
      <c r="W89" s="7">
        <v>587.23</v>
      </c>
      <c r="X89" s="1">
        <v>0.32</v>
      </c>
      <c r="Y89" s="4">
        <v>44576</v>
      </c>
      <c r="Z89" s="1" t="s">
        <v>32</v>
      </c>
      <c r="AA89" s="1" t="s">
        <v>33</v>
      </c>
      <c r="AB89" s="36" t="str" cm="1">
        <f t="array" ref="AB89">_xlfn.IFS(K89&gt;650,"LOW",K89&gt;=550,"MEDIUM",K89&lt;550,"HIGH")</f>
        <v>LOW</v>
      </c>
    </row>
    <row r="90" spans="3:28" x14ac:dyDescent="0.3">
      <c r="C90" s="35" t="s">
        <v>4002</v>
      </c>
      <c r="D90" s="1" t="s">
        <v>2002</v>
      </c>
      <c r="E90" s="1">
        <v>33</v>
      </c>
      <c r="F90" s="1" t="s">
        <v>26</v>
      </c>
      <c r="G90" s="1" t="s">
        <v>35</v>
      </c>
      <c r="H90" s="1" t="s">
        <v>54</v>
      </c>
      <c r="I90" s="1" t="s">
        <v>40</v>
      </c>
      <c r="J90" s="7">
        <v>92178</v>
      </c>
      <c r="K90" s="1">
        <v>829</v>
      </c>
      <c r="L90" s="7">
        <v>28892</v>
      </c>
      <c r="M90" s="1">
        <v>24</v>
      </c>
      <c r="N90" s="6">
        <v>0.14779999999999999</v>
      </c>
      <c r="O90" s="1" t="s">
        <v>52</v>
      </c>
      <c r="P90" s="1" t="s">
        <v>47</v>
      </c>
      <c r="Q90" s="1">
        <v>7</v>
      </c>
      <c r="R90" s="1">
        <v>0</v>
      </c>
      <c r="S90" s="1" t="s">
        <v>31</v>
      </c>
      <c r="T90" s="1" t="s">
        <v>31</v>
      </c>
      <c r="U90" s="1">
        <v>0</v>
      </c>
      <c r="V90" s="1">
        <v>41184</v>
      </c>
      <c r="W90" s="7">
        <v>1595.13</v>
      </c>
      <c r="X90" s="1">
        <v>0.54</v>
      </c>
      <c r="Y90" s="4">
        <v>44958</v>
      </c>
      <c r="Z90" s="1" t="s">
        <v>38</v>
      </c>
      <c r="AA90" s="1" t="s">
        <v>33</v>
      </c>
      <c r="AB90" s="36" t="str" cm="1">
        <f t="array" ref="AB90">_xlfn.IFS(K90&gt;650,"LOW",K90&gt;=550,"MEDIUM",K90&lt;550,"HIGH")</f>
        <v>LOW</v>
      </c>
    </row>
    <row r="91" spans="3:28" x14ac:dyDescent="0.3">
      <c r="C91" s="35" t="s">
        <v>3124</v>
      </c>
      <c r="D91" s="1" t="s">
        <v>1149</v>
      </c>
      <c r="E91" s="1">
        <v>58</v>
      </c>
      <c r="F91" s="1" t="s">
        <v>44</v>
      </c>
      <c r="G91" s="1" t="s">
        <v>56</v>
      </c>
      <c r="H91" s="1" t="s">
        <v>36</v>
      </c>
      <c r="I91" s="1" t="s">
        <v>29</v>
      </c>
      <c r="J91" s="7">
        <v>138089</v>
      </c>
      <c r="K91" s="1">
        <v>828</v>
      </c>
      <c r="L91" s="7">
        <v>27785</v>
      </c>
      <c r="M91" s="1">
        <v>48</v>
      </c>
      <c r="N91" s="6">
        <v>0.17600000000000002</v>
      </c>
      <c r="O91" s="1" t="s">
        <v>52</v>
      </c>
      <c r="P91" s="1" t="s">
        <v>47</v>
      </c>
      <c r="Q91" s="1">
        <v>11</v>
      </c>
      <c r="R91" s="1">
        <v>0</v>
      </c>
      <c r="S91" s="1" t="s">
        <v>31</v>
      </c>
      <c r="T91" s="1" t="s">
        <v>33</v>
      </c>
      <c r="U91" s="1">
        <v>1</v>
      </c>
      <c r="V91" s="1">
        <v>2932</v>
      </c>
      <c r="W91" s="7">
        <v>639.34</v>
      </c>
      <c r="X91" s="1">
        <v>0.26</v>
      </c>
      <c r="Y91" s="4">
        <v>45124</v>
      </c>
      <c r="Z91" s="1" t="s">
        <v>32</v>
      </c>
      <c r="AA91" s="1" t="s">
        <v>31</v>
      </c>
      <c r="AB91" s="36" t="str" cm="1">
        <f t="array" ref="AB91">_xlfn.IFS(K91&gt;650,"LOW",K91&gt;=550,"MEDIUM",K91&lt;550,"HIGH")</f>
        <v>LOW</v>
      </c>
    </row>
    <row r="92" spans="3:28" x14ac:dyDescent="0.3">
      <c r="C92" s="35" t="s">
        <v>3363</v>
      </c>
      <c r="D92" s="1" t="s">
        <v>1385</v>
      </c>
      <c r="E92" s="1">
        <v>28</v>
      </c>
      <c r="F92" s="1" t="s">
        <v>44</v>
      </c>
      <c r="G92" s="1" t="s">
        <v>45</v>
      </c>
      <c r="H92" s="1" t="s">
        <v>61</v>
      </c>
      <c r="I92" s="1" t="s">
        <v>29</v>
      </c>
      <c r="J92" s="7">
        <v>78382</v>
      </c>
      <c r="K92" s="1">
        <v>828</v>
      </c>
      <c r="L92" s="7">
        <v>2360</v>
      </c>
      <c r="M92" s="1">
        <v>24</v>
      </c>
      <c r="N92" s="6">
        <v>6.8099999999999994E-2</v>
      </c>
      <c r="O92" s="1" t="s">
        <v>41</v>
      </c>
      <c r="P92" s="1" t="s">
        <v>47</v>
      </c>
      <c r="Q92" s="1">
        <v>9</v>
      </c>
      <c r="R92" s="1">
        <v>2</v>
      </c>
      <c r="S92" s="1" t="s">
        <v>31</v>
      </c>
      <c r="T92" s="1" t="s">
        <v>31</v>
      </c>
      <c r="U92" s="1">
        <v>4</v>
      </c>
      <c r="V92" s="1">
        <v>17527</v>
      </c>
      <c r="W92" s="7">
        <v>1170.47</v>
      </c>
      <c r="X92" s="1">
        <v>0.45</v>
      </c>
      <c r="Y92" s="4">
        <v>44274</v>
      </c>
      <c r="Z92" s="1" t="s">
        <v>32</v>
      </c>
      <c r="AA92" s="1" t="s">
        <v>33</v>
      </c>
      <c r="AB92" s="36" t="str" cm="1">
        <f t="array" ref="AB92">_xlfn.IFS(K92&gt;650,"LOW",K92&gt;=550,"MEDIUM",K92&lt;550,"HIGH")</f>
        <v>LOW</v>
      </c>
    </row>
    <row r="93" spans="3:28" x14ac:dyDescent="0.3">
      <c r="C93" s="35" t="s">
        <v>3698</v>
      </c>
      <c r="D93" s="1" t="s">
        <v>1709</v>
      </c>
      <c r="E93" s="1">
        <v>35</v>
      </c>
      <c r="F93" s="1" t="s">
        <v>44</v>
      </c>
      <c r="G93" s="1" t="s">
        <v>35</v>
      </c>
      <c r="H93" s="1" t="s">
        <v>28</v>
      </c>
      <c r="I93" s="1" t="s">
        <v>57</v>
      </c>
      <c r="J93" s="7">
        <v>74154</v>
      </c>
      <c r="K93" s="1">
        <v>828</v>
      </c>
      <c r="L93" s="7">
        <v>15639</v>
      </c>
      <c r="M93" s="1">
        <v>12</v>
      </c>
      <c r="N93" s="6">
        <v>7.3099999999999998E-2</v>
      </c>
      <c r="O93" s="1" t="s">
        <v>41</v>
      </c>
      <c r="P93" s="1" t="s">
        <v>47</v>
      </c>
      <c r="Q93" s="1">
        <v>18</v>
      </c>
      <c r="R93" s="1">
        <v>3</v>
      </c>
      <c r="S93" s="1" t="s">
        <v>33</v>
      </c>
      <c r="T93" s="1" t="s">
        <v>31</v>
      </c>
      <c r="U93" s="1">
        <v>1</v>
      </c>
      <c r="V93" s="1">
        <v>103482</v>
      </c>
      <c r="W93" s="7">
        <v>1602.73</v>
      </c>
      <c r="X93" s="1">
        <v>0.28999999999999998</v>
      </c>
      <c r="Y93" s="4">
        <v>45426</v>
      </c>
      <c r="Z93" s="1" t="s">
        <v>32</v>
      </c>
      <c r="AA93" s="1" t="s">
        <v>33</v>
      </c>
      <c r="AB93" s="36" t="str" cm="1">
        <f t="array" ref="AB93">_xlfn.IFS(K93&gt;650,"LOW",K93&gt;=550,"MEDIUM",K93&lt;550,"HIGH")</f>
        <v>LOW</v>
      </c>
    </row>
    <row r="94" spans="3:28" x14ac:dyDescent="0.3">
      <c r="C94" s="35" t="s">
        <v>3810</v>
      </c>
      <c r="D94" s="1" t="s">
        <v>1816</v>
      </c>
      <c r="E94" s="1">
        <v>39</v>
      </c>
      <c r="F94" s="1" t="s">
        <v>26</v>
      </c>
      <c r="G94" s="1" t="s">
        <v>56</v>
      </c>
      <c r="H94" s="1" t="s">
        <v>36</v>
      </c>
      <c r="I94" s="1" t="s">
        <v>57</v>
      </c>
      <c r="J94" s="7">
        <v>105990</v>
      </c>
      <c r="K94" s="1">
        <v>828</v>
      </c>
      <c r="L94" s="7">
        <v>30888</v>
      </c>
      <c r="M94" s="1">
        <v>48</v>
      </c>
      <c r="N94" s="6">
        <v>0.16850000000000001</v>
      </c>
      <c r="O94" s="1" t="s">
        <v>5</v>
      </c>
      <c r="P94" s="1" t="s">
        <v>50</v>
      </c>
      <c r="Q94" s="1">
        <v>12</v>
      </c>
      <c r="R94" s="1">
        <v>3</v>
      </c>
      <c r="S94" s="1" t="s">
        <v>31</v>
      </c>
      <c r="T94" s="1" t="s">
        <v>33</v>
      </c>
      <c r="U94" s="1">
        <v>2</v>
      </c>
      <c r="V94" s="1">
        <v>32223</v>
      </c>
      <c r="W94" s="7">
        <v>609.79999999999995</v>
      </c>
      <c r="X94" s="1">
        <v>0.86</v>
      </c>
      <c r="Y94" s="4">
        <v>44412</v>
      </c>
      <c r="Z94" s="1" t="s">
        <v>32</v>
      </c>
      <c r="AA94" s="1" t="s">
        <v>33</v>
      </c>
      <c r="AB94" s="36" t="str" cm="1">
        <f t="array" ref="AB94">_xlfn.IFS(K94&gt;650,"LOW",K94&gt;=550,"MEDIUM",K94&lt;550,"HIGH")</f>
        <v>LOW</v>
      </c>
    </row>
    <row r="95" spans="3:28" x14ac:dyDescent="0.3">
      <c r="C95" s="35" t="s">
        <v>3958</v>
      </c>
      <c r="D95" s="1" t="s">
        <v>1960</v>
      </c>
      <c r="E95" s="1">
        <v>43</v>
      </c>
      <c r="F95" s="1" t="s">
        <v>26</v>
      </c>
      <c r="G95" s="1" t="s">
        <v>27</v>
      </c>
      <c r="H95" s="1" t="s">
        <v>28</v>
      </c>
      <c r="I95" s="1" t="s">
        <v>57</v>
      </c>
      <c r="J95" s="7">
        <v>125584</v>
      </c>
      <c r="K95" s="1">
        <v>828</v>
      </c>
      <c r="L95" s="7">
        <v>46924</v>
      </c>
      <c r="M95" s="1">
        <v>36</v>
      </c>
      <c r="N95" s="6">
        <v>0.15109999999999998</v>
      </c>
      <c r="O95" s="1" t="s">
        <v>63</v>
      </c>
      <c r="P95" s="1" t="s">
        <v>50</v>
      </c>
      <c r="Q95" s="1">
        <v>16</v>
      </c>
      <c r="R95" s="1">
        <v>1</v>
      </c>
      <c r="S95" s="1" t="s">
        <v>33</v>
      </c>
      <c r="T95" s="1" t="s">
        <v>33</v>
      </c>
      <c r="U95" s="1">
        <v>3</v>
      </c>
      <c r="V95" s="1">
        <v>172035</v>
      </c>
      <c r="W95" s="7">
        <v>1972.55</v>
      </c>
      <c r="X95" s="1">
        <v>0.9</v>
      </c>
      <c r="Y95" s="4">
        <v>45584</v>
      </c>
      <c r="Z95" s="1" t="s">
        <v>32</v>
      </c>
      <c r="AA95" s="1" t="s">
        <v>33</v>
      </c>
      <c r="AB95" s="36" t="str" cm="1">
        <f t="array" ref="AB95">_xlfn.IFS(K95&gt;650,"LOW",K95&gt;=550,"MEDIUM",K95&lt;550,"HIGH")</f>
        <v>LOW</v>
      </c>
    </row>
    <row r="96" spans="3:28" x14ac:dyDescent="0.3">
      <c r="C96" s="35" t="s">
        <v>2704</v>
      </c>
      <c r="D96" s="1" t="s">
        <v>734</v>
      </c>
      <c r="E96" s="1">
        <v>45</v>
      </c>
      <c r="F96" s="1" t="s">
        <v>26</v>
      </c>
      <c r="G96" s="1" t="s">
        <v>45</v>
      </c>
      <c r="H96" s="1" t="s">
        <v>54</v>
      </c>
      <c r="I96" s="1" t="s">
        <v>29</v>
      </c>
      <c r="J96" s="7">
        <v>23895</v>
      </c>
      <c r="K96" s="1">
        <v>827</v>
      </c>
      <c r="L96" s="7">
        <v>45971</v>
      </c>
      <c r="M96" s="1">
        <v>24</v>
      </c>
      <c r="N96" s="6">
        <v>0.13419999999999999</v>
      </c>
      <c r="O96" s="1" t="s">
        <v>5</v>
      </c>
      <c r="P96" s="1" t="s">
        <v>50</v>
      </c>
      <c r="Q96" s="1">
        <v>20</v>
      </c>
      <c r="R96" s="1">
        <v>0</v>
      </c>
      <c r="S96" s="1" t="s">
        <v>33</v>
      </c>
      <c r="T96" s="1" t="s">
        <v>33</v>
      </c>
      <c r="U96" s="1">
        <v>0</v>
      </c>
      <c r="V96" s="1">
        <v>38463</v>
      </c>
      <c r="W96" s="7">
        <v>1183.3399999999999</v>
      </c>
      <c r="X96" s="1">
        <v>0.74</v>
      </c>
      <c r="Y96" s="4">
        <v>44286</v>
      </c>
      <c r="Z96" s="1" t="s">
        <v>38</v>
      </c>
      <c r="AA96" s="1" t="s">
        <v>33</v>
      </c>
      <c r="AB96" s="36" t="str" cm="1">
        <f t="array" ref="AB96">_xlfn.IFS(K96&gt;650,"LOW",K96&gt;=550,"MEDIUM",K96&lt;550,"HIGH")</f>
        <v>LOW</v>
      </c>
    </row>
    <row r="97" spans="3:28" x14ac:dyDescent="0.3">
      <c r="C97" s="35" t="s">
        <v>3084</v>
      </c>
      <c r="D97" s="1" t="s">
        <v>1110</v>
      </c>
      <c r="E97" s="1">
        <v>53</v>
      </c>
      <c r="F97" s="1" t="s">
        <v>44</v>
      </c>
      <c r="G97" s="1" t="s">
        <v>45</v>
      </c>
      <c r="H97" s="1" t="s">
        <v>36</v>
      </c>
      <c r="I97" s="1" t="s">
        <v>29</v>
      </c>
      <c r="J97" s="7">
        <v>124647</v>
      </c>
      <c r="K97" s="1">
        <v>827</v>
      </c>
      <c r="L97" s="7">
        <v>28584</v>
      </c>
      <c r="M97" s="1">
        <v>48</v>
      </c>
      <c r="N97" s="6">
        <v>5.6399999999999999E-2</v>
      </c>
      <c r="O97" s="1" t="s">
        <v>37</v>
      </c>
      <c r="P97" s="1" t="s">
        <v>47</v>
      </c>
      <c r="Q97" s="1">
        <v>14</v>
      </c>
      <c r="R97" s="1">
        <v>3</v>
      </c>
      <c r="S97" s="1" t="s">
        <v>31</v>
      </c>
      <c r="T97" s="1" t="s">
        <v>33</v>
      </c>
      <c r="U97" s="1">
        <v>1</v>
      </c>
      <c r="V97" s="1">
        <v>11598</v>
      </c>
      <c r="W97" s="7">
        <v>1916.85</v>
      </c>
      <c r="X97" s="1">
        <v>0.1</v>
      </c>
      <c r="Y97" s="4">
        <v>44901</v>
      </c>
      <c r="Z97" s="1" t="s">
        <v>32</v>
      </c>
      <c r="AA97" s="1" t="s">
        <v>33</v>
      </c>
      <c r="AB97" s="36" t="str" cm="1">
        <f t="array" ref="AB97">_xlfn.IFS(K97&gt;650,"LOW",K97&gt;=550,"MEDIUM",K97&lt;550,"HIGH")</f>
        <v>LOW</v>
      </c>
    </row>
    <row r="98" spans="3:28" x14ac:dyDescent="0.3">
      <c r="C98" s="35" t="s">
        <v>3098</v>
      </c>
      <c r="D98" s="1" t="s">
        <v>1123</v>
      </c>
      <c r="E98" s="1">
        <v>49</v>
      </c>
      <c r="F98" s="1" t="s">
        <v>44</v>
      </c>
      <c r="G98" s="1" t="s">
        <v>45</v>
      </c>
      <c r="H98" s="1" t="s">
        <v>54</v>
      </c>
      <c r="I98" s="1" t="s">
        <v>29</v>
      </c>
      <c r="J98" s="7">
        <v>127437</v>
      </c>
      <c r="K98" s="1">
        <v>827</v>
      </c>
      <c r="L98" s="7">
        <v>11547</v>
      </c>
      <c r="M98" s="1">
        <v>36</v>
      </c>
      <c r="N98" s="6">
        <v>0.1696</v>
      </c>
      <c r="O98" s="1" t="s">
        <v>63</v>
      </c>
      <c r="P98" s="1" t="s">
        <v>50</v>
      </c>
      <c r="Q98" s="1">
        <v>17</v>
      </c>
      <c r="R98" s="1">
        <v>3</v>
      </c>
      <c r="S98" s="1" t="s">
        <v>31</v>
      </c>
      <c r="T98" s="1" t="s">
        <v>33</v>
      </c>
      <c r="U98" s="1">
        <v>4</v>
      </c>
      <c r="V98" s="1">
        <v>3726</v>
      </c>
      <c r="W98" s="7">
        <v>1696.63</v>
      </c>
      <c r="X98" s="1">
        <v>0.43</v>
      </c>
      <c r="Y98" s="4">
        <v>44726</v>
      </c>
      <c r="Z98" s="1" t="s">
        <v>32</v>
      </c>
      <c r="AA98" s="1" t="s">
        <v>33</v>
      </c>
      <c r="AB98" s="36" t="str" cm="1">
        <f t="array" ref="AB98">_xlfn.IFS(K98&gt;650,"LOW",K98&gt;=550,"MEDIUM",K98&lt;550,"HIGH")</f>
        <v>LOW</v>
      </c>
    </row>
    <row r="99" spans="3:28" x14ac:dyDescent="0.3">
      <c r="C99" s="35" t="s">
        <v>3688</v>
      </c>
      <c r="D99" s="1" t="s">
        <v>1699</v>
      </c>
      <c r="E99" s="1">
        <v>38</v>
      </c>
      <c r="F99" s="1" t="s">
        <v>26</v>
      </c>
      <c r="G99" s="1" t="s">
        <v>56</v>
      </c>
      <c r="H99" s="1" t="s">
        <v>28</v>
      </c>
      <c r="I99" s="1" t="s">
        <v>57</v>
      </c>
      <c r="J99" s="7">
        <v>29491</v>
      </c>
      <c r="K99" s="1">
        <v>827</v>
      </c>
      <c r="L99" s="7">
        <v>22683</v>
      </c>
      <c r="M99" s="1">
        <v>60</v>
      </c>
      <c r="N99" s="6">
        <v>0.1348</v>
      </c>
      <c r="O99" s="1" t="s">
        <v>5</v>
      </c>
      <c r="P99" s="1" t="s">
        <v>50</v>
      </c>
      <c r="Q99" s="1">
        <v>21</v>
      </c>
      <c r="R99" s="1">
        <v>4</v>
      </c>
      <c r="S99" s="1" t="s">
        <v>33</v>
      </c>
      <c r="T99" s="1" t="s">
        <v>33</v>
      </c>
      <c r="U99" s="1">
        <v>3</v>
      </c>
      <c r="V99" s="1">
        <v>31245</v>
      </c>
      <c r="W99" s="7">
        <v>659.98</v>
      </c>
      <c r="X99" s="1">
        <v>0.28000000000000003</v>
      </c>
      <c r="Y99" s="4">
        <v>44280</v>
      </c>
      <c r="Z99" s="1" t="s">
        <v>38</v>
      </c>
      <c r="AA99" s="1" t="s">
        <v>33</v>
      </c>
      <c r="AB99" s="36" t="str" cm="1">
        <f t="array" ref="AB99">_xlfn.IFS(K99&gt;650,"LOW",K99&gt;=550,"MEDIUM",K99&lt;550,"HIGH")</f>
        <v>LOW</v>
      </c>
    </row>
    <row r="100" spans="3:28" x14ac:dyDescent="0.3">
      <c r="C100" s="35" t="s">
        <v>3726</v>
      </c>
      <c r="D100" s="1" t="s">
        <v>1735</v>
      </c>
      <c r="E100" s="1">
        <v>41</v>
      </c>
      <c r="F100" s="1" t="s">
        <v>26</v>
      </c>
      <c r="G100" s="1" t="s">
        <v>56</v>
      </c>
      <c r="H100" s="1" t="s">
        <v>61</v>
      </c>
      <c r="I100" s="1" t="s">
        <v>40</v>
      </c>
      <c r="J100" s="7">
        <v>25534</v>
      </c>
      <c r="K100" s="1">
        <v>827</v>
      </c>
      <c r="L100" s="7">
        <v>33177</v>
      </c>
      <c r="M100" s="1">
        <v>36</v>
      </c>
      <c r="N100" s="6">
        <v>9.1199999999999989E-2</v>
      </c>
      <c r="O100" s="1" t="s">
        <v>41</v>
      </c>
      <c r="P100" s="1" t="s">
        <v>50</v>
      </c>
      <c r="Q100" s="1">
        <v>10</v>
      </c>
      <c r="R100" s="1">
        <v>0</v>
      </c>
      <c r="S100" s="1" t="s">
        <v>31</v>
      </c>
      <c r="T100" s="1" t="s">
        <v>33</v>
      </c>
      <c r="U100" s="1">
        <v>3</v>
      </c>
      <c r="V100" s="1">
        <v>93232</v>
      </c>
      <c r="W100" s="7">
        <v>1397.04</v>
      </c>
      <c r="X100" s="1">
        <v>0.38</v>
      </c>
      <c r="Y100" s="4">
        <v>44595</v>
      </c>
      <c r="Z100" s="1" t="s">
        <v>32</v>
      </c>
      <c r="AA100" s="1" t="s">
        <v>33</v>
      </c>
      <c r="AB100" s="36" t="str" cm="1">
        <f t="array" ref="AB100">_xlfn.IFS(K100&gt;650,"LOW",K100&gt;=550,"MEDIUM",K100&lt;550,"HIGH")</f>
        <v>LOW</v>
      </c>
    </row>
    <row r="101" spans="3:28" x14ac:dyDescent="0.3">
      <c r="C101" s="35" t="s">
        <v>2051</v>
      </c>
      <c r="D101" s="1" t="s">
        <v>82</v>
      </c>
      <c r="E101" s="1">
        <v>48</v>
      </c>
      <c r="F101" s="1" t="s">
        <v>44</v>
      </c>
      <c r="G101" s="1" t="s">
        <v>35</v>
      </c>
      <c r="H101" s="1" t="s">
        <v>61</v>
      </c>
      <c r="I101" s="1" t="s">
        <v>57</v>
      </c>
      <c r="J101" s="7">
        <v>45092</v>
      </c>
      <c r="K101" s="1">
        <v>826</v>
      </c>
      <c r="L101" s="7">
        <v>10066</v>
      </c>
      <c r="M101" s="1">
        <v>24</v>
      </c>
      <c r="N101" s="6">
        <v>6.3200000000000006E-2</v>
      </c>
      <c r="O101" s="1" t="s">
        <v>41</v>
      </c>
      <c r="P101" s="1" t="s">
        <v>47</v>
      </c>
      <c r="Q101" s="1">
        <v>11</v>
      </c>
      <c r="R101" s="1">
        <v>3</v>
      </c>
      <c r="S101" s="1" t="s">
        <v>31</v>
      </c>
      <c r="T101" s="1" t="s">
        <v>31</v>
      </c>
      <c r="U101" s="1">
        <v>4</v>
      </c>
      <c r="V101" s="1">
        <v>24660</v>
      </c>
      <c r="W101" s="7">
        <v>894.16</v>
      </c>
      <c r="X101" s="1">
        <v>0.52</v>
      </c>
      <c r="Y101" s="4">
        <v>45180</v>
      </c>
      <c r="Z101" s="1" t="s">
        <v>38</v>
      </c>
      <c r="AA101" s="1" t="s">
        <v>33</v>
      </c>
      <c r="AB101" s="36" t="str" cm="1">
        <f t="array" ref="AB101">_xlfn.IFS(K101&gt;650,"LOW",K101&gt;=550,"MEDIUM",K101&lt;550,"HIGH")</f>
        <v>LOW</v>
      </c>
    </row>
    <row r="102" spans="3:28" x14ac:dyDescent="0.3">
      <c r="C102" s="35" t="s">
        <v>2374</v>
      </c>
      <c r="D102" s="1" t="s">
        <v>404</v>
      </c>
      <c r="E102" s="1">
        <v>53</v>
      </c>
      <c r="F102" s="1" t="s">
        <v>26</v>
      </c>
      <c r="G102" s="1" t="s">
        <v>27</v>
      </c>
      <c r="H102" s="1" t="s">
        <v>61</v>
      </c>
      <c r="I102" s="1" t="s">
        <v>29</v>
      </c>
      <c r="J102" s="7">
        <v>137658</v>
      </c>
      <c r="K102" s="1">
        <v>826</v>
      </c>
      <c r="L102" s="7">
        <v>32194</v>
      </c>
      <c r="M102" s="1">
        <v>48</v>
      </c>
      <c r="N102" s="6">
        <v>0.17499999999999999</v>
      </c>
      <c r="O102" s="1" t="s">
        <v>37</v>
      </c>
      <c r="P102" s="1" t="s">
        <v>50</v>
      </c>
      <c r="Q102" s="1">
        <v>25</v>
      </c>
      <c r="R102" s="1">
        <v>2</v>
      </c>
      <c r="S102" s="1" t="s">
        <v>31</v>
      </c>
      <c r="T102" s="1" t="s">
        <v>31</v>
      </c>
      <c r="U102" s="1">
        <v>1</v>
      </c>
      <c r="V102" s="1">
        <v>179453</v>
      </c>
      <c r="W102" s="7">
        <v>1733.14</v>
      </c>
      <c r="X102" s="1">
        <v>0.3</v>
      </c>
      <c r="Y102" s="4">
        <v>45738</v>
      </c>
      <c r="Z102" s="1" t="s">
        <v>38</v>
      </c>
      <c r="AA102" s="1" t="s">
        <v>33</v>
      </c>
      <c r="AB102" s="36" t="str" cm="1">
        <f t="array" ref="AB102">_xlfn.IFS(K102&gt;650,"LOW",K102&gt;=550,"MEDIUM",K102&lt;550,"HIGH")</f>
        <v>LOW</v>
      </c>
    </row>
    <row r="103" spans="3:28" x14ac:dyDescent="0.3">
      <c r="C103" s="35" t="s">
        <v>2518</v>
      </c>
      <c r="D103" s="1" t="s">
        <v>548</v>
      </c>
      <c r="E103" s="1">
        <v>54</v>
      </c>
      <c r="F103" s="1" t="s">
        <v>26</v>
      </c>
      <c r="G103" s="1" t="s">
        <v>45</v>
      </c>
      <c r="H103" s="1" t="s">
        <v>54</v>
      </c>
      <c r="I103" s="1" t="s">
        <v>59</v>
      </c>
      <c r="J103" s="7">
        <v>147156</v>
      </c>
      <c r="K103" s="1">
        <v>826</v>
      </c>
      <c r="L103" s="7">
        <v>4065</v>
      </c>
      <c r="M103" s="1">
        <v>48</v>
      </c>
      <c r="N103" s="6">
        <v>5.0900000000000001E-2</v>
      </c>
      <c r="O103" s="1" t="s">
        <v>5</v>
      </c>
      <c r="P103" s="1" t="s">
        <v>47</v>
      </c>
      <c r="Q103" s="1">
        <v>17</v>
      </c>
      <c r="R103" s="1">
        <v>4</v>
      </c>
      <c r="S103" s="1" t="s">
        <v>31</v>
      </c>
      <c r="T103" s="1" t="s">
        <v>31</v>
      </c>
      <c r="U103" s="1">
        <v>0</v>
      </c>
      <c r="V103" s="1">
        <v>182589</v>
      </c>
      <c r="W103" s="7">
        <v>191.15</v>
      </c>
      <c r="X103" s="1">
        <v>0.25</v>
      </c>
      <c r="Y103" s="4">
        <v>45523</v>
      </c>
      <c r="Z103" s="1" t="s">
        <v>38</v>
      </c>
      <c r="AA103" s="1" t="s">
        <v>33</v>
      </c>
      <c r="AB103" s="36" t="str" cm="1">
        <f t="array" ref="AB103">_xlfn.IFS(K103&gt;650,"LOW",K103&gt;=550,"MEDIUM",K103&lt;550,"HIGH")</f>
        <v>LOW</v>
      </c>
    </row>
    <row r="104" spans="3:28" x14ac:dyDescent="0.3">
      <c r="C104" s="35" t="s">
        <v>3359</v>
      </c>
      <c r="D104" s="1" t="s">
        <v>1381</v>
      </c>
      <c r="E104" s="1">
        <v>32</v>
      </c>
      <c r="F104" s="1" t="s">
        <v>44</v>
      </c>
      <c r="G104" s="1" t="s">
        <v>56</v>
      </c>
      <c r="H104" s="1" t="s">
        <v>54</v>
      </c>
      <c r="I104" s="1" t="s">
        <v>40</v>
      </c>
      <c r="J104" s="7">
        <v>118072</v>
      </c>
      <c r="K104" s="1">
        <v>826</v>
      </c>
      <c r="L104" s="7">
        <v>9884</v>
      </c>
      <c r="M104" s="1">
        <v>48</v>
      </c>
      <c r="N104" s="6">
        <v>5.3099999999999994E-2</v>
      </c>
      <c r="O104" s="1" t="s">
        <v>5</v>
      </c>
      <c r="P104" s="1" t="s">
        <v>47</v>
      </c>
      <c r="Q104" s="1">
        <v>6</v>
      </c>
      <c r="R104" s="1">
        <v>1</v>
      </c>
      <c r="S104" s="1" t="s">
        <v>31</v>
      </c>
      <c r="T104" s="1" t="s">
        <v>33</v>
      </c>
      <c r="U104" s="1">
        <v>3</v>
      </c>
      <c r="V104" s="1">
        <v>111086</v>
      </c>
      <c r="W104" s="7">
        <v>240.38</v>
      </c>
      <c r="X104" s="1">
        <v>0.3</v>
      </c>
      <c r="Y104" s="4">
        <v>44685</v>
      </c>
      <c r="Z104" s="1" t="s">
        <v>38</v>
      </c>
      <c r="AA104" s="1" t="s">
        <v>33</v>
      </c>
      <c r="AB104" s="36" t="str" cm="1">
        <f t="array" ref="AB104">_xlfn.IFS(K104&gt;650,"LOW",K104&gt;=550,"MEDIUM",K104&lt;550,"HIGH")</f>
        <v>LOW</v>
      </c>
    </row>
    <row r="105" spans="3:28" x14ac:dyDescent="0.3">
      <c r="C105" s="35" t="s">
        <v>3519</v>
      </c>
      <c r="D105" s="1" t="s">
        <v>1536</v>
      </c>
      <c r="E105" s="1">
        <v>29</v>
      </c>
      <c r="F105" s="1" t="s">
        <v>26</v>
      </c>
      <c r="G105" s="1" t="s">
        <v>56</v>
      </c>
      <c r="H105" s="1" t="s">
        <v>54</v>
      </c>
      <c r="I105" s="1" t="s">
        <v>59</v>
      </c>
      <c r="J105" s="7">
        <v>142762</v>
      </c>
      <c r="K105" s="1">
        <v>826</v>
      </c>
      <c r="L105" s="7">
        <v>22249</v>
      </c>
      <c r="M105" s="1">
        <v>24</v>
      </c>
      <c r="N105" s="6">
        <v>0.16920000000000002</v>
      </c>
      <c r="O105" s="1" t="s">
        <v>46</v>
      </c>
      <c r="P105" s="1" t="s">
        <v>47</v>
      </c>
      <c r="Q105" s="1">
        <v>8</v>
      </c>
      <c r="R105" s="1">
        <v>0</v>
      </c>
      <c r="S105" s="1" t="s">
        <v>31</v>
      </c>
      <c r="T105" s="1" t="s">
        <v>31</v>
      </c>
      <c r="U105" s="1">
        <v>0</v>
      </c>
      <c r="V105" s="1">
        <v>122179</v>
      </c>
      <c r="W105" s="7">
        <v>1880.25</v>
      </c>
      <c r="X105" s="1">
        <v>0.67</v>
      </c>
      <c r="Y105" s="4">
        <v>44340</v>
      </c>
      <c r="Z105" s="1" t="s">
        <v>32</v>
      </c>
      <c r="AA105" s="1" t="s">
        <v>31</v>
      </c>
      <c r="AB105" s="36" t="str" cm="1">
        <f t="array" ref="AB105">_xlfn.IFS(K105&gt;650,"LOW",K105&gt;=550,"MEDIUM",K105&lt;550,"HIGH")</f>
        <v>LOW</v>
      </c>
    </row>
    <row r="106" spans="3:28" x14ac:dyDescent="0.3">
      <c r="C106" s="35" t="s">
        <v>3725</v>
      </c>
      <c r="D106" s="1" t="s">
        <v>1734</v>
      </c>
      <c r="E106" s="1">
        <v>28</v>
      </c>
      <c r="F106" s="1" t="s">
        <v>26</v>
      </c>
      <c r="G106" s="1" t="s">
        <v>56</v>
      </c>
      <c r="H106" s="1" t="s">
        <v>36</v>
      </c>
      <c r="I106" s="1" t="s">
        <v>57</v>
      </c>
      <c r="J106" s="7">
        <v>117459</v>
      </c>
      <c r="K106" s="1">
        <v>825</v>
      </c>
      <c r="L106" s="7">
        <v>37996</v>
      </c>
      <c r="M106" s="1">
        <v>24</v>
      </c>
      <c r="N106" s="6">
        <v>0.13949999999999999</v>
      </c>
      <c r="O106" s="1" t="s">
        <v>46</v>
      </c>
      <c r="P106" s="1" t="s">
        <v>30</v>
      </c>
      <c r="Q106" s="1">
        <v>16</v>
      </c>
      <c r="R106" s="1">
        <v>0</v>
      </c>
      <c r="S106" s="1" t="s">
        <v>31</v>
      </c>
      <c r="T106" s="1" t="s">
        <v>33</v>
      </c>
      <c r="U106" s="1">
        <v>1</v>
      </c>
      <c r="V106" s="1">
        <v>144493</v>
      </c>
      <c r="W106" s="7">
        <v>1252.98</v>
      </c>
      <c r="X106" s="1">
        <v>0.38</v>
      </c>
      <c r="Y106" s="4">
        <v>45725</v>
      </c>
      <c r="Z106" s="1" t="s">
        <v>32</v>
      </c>
      <c r="AA106" s="1" t="s">
        <v>31</v>
      </c>
      <c r="AB106" s="36" t="str" cm="1">
        <f t="array" ref="AB106">_xlfn.IFS(K106&gt;650,"LOW",K106&gt;=550,"MEDIUM",K106&lt;550,"HIGH")</f>
        <v>LOW</v>
      </c>
    </row>
    <row r="107" spans="3:28" x14ac:dyDescent="0.3">
      <c r="C107" s="35" t="s">
        <v>2413</v>
      </c>
      <c r="D107" s="1" t="s">
        <v>443</v>
      </c>
      <c r="E107" s="1">
        <v>25</v>
      </c>
      <c r="F107" s="1" t="s">
        <v>44</v>
      </c>
      <c r="G107" s="1" t="s">
        <v>56</v>
      </c>
      <c r="H107" s="1" t="s">
        <v>61</v>
      </c>
      <c r="I107" s="1" t="s">
        <v>59</v>
      </c>
      <c r="J107" s="7">
        <v>149518</v>
      </c>
      <c r="K107" s="1">
        <v>824</v>
      </c>
      <c r="L107" s="7">
        <v>5359</v>
      </c>
      <c r="M107" s="1">
        <v>60</v>
      </c>
      <c r="N107" s="6">
        <v>5.6399999999999999E-2</v>
      </c>
      <c r="O107" s="1" t="s">
        <v>52</v>
      </c>
      <c r="P107" s="1" t="s">
        <v>50</v>
      </c>
      <c r="Q107" s="1">
        <v>28</v>
      </c>
      <c r="R107" s="1">
        <v>3</v>
      </c>
      <c r="S107" s="1" t="s">
        <v>33</v>
      </c>
      <c r="T107" s="1" t="s">
        <v>31</v>
      </c>
      <c r="U107" s="1">
        <v>0</v>
      </c>
      <c r="V107" s="1">
        <v>191103</v>
      </c>
      <c r="W107" s="7">
        <v>341.8</v>
      </c>
      <c r="X107" s="1">
        <v>0.3</v>
      </c>
      <c r="Y107" s="4">
        <v>44759</v>
      </c>
      <c r="Z107" s="1" t="s">
        <v>38</v>
      </c>
      <c r="AA107" s="1" t="s">
        <v>33</v>
      </c>
      <c r="AB107" s="36" t="str" cm="1">
        <f t="array" ref="AB107">_xlfn.IFS(K107&gt;650,"LOW",K107&gt;=550,"MEDIUM",K107&lt;550,"HIGH")</f>
        <v>LOW</v>
      </c>
    </row>
    <row r="108" spans="3:28" x14ac:dyDescent="0.3">
      <c r="C108" s="35" t="s">
        <v>3443</v>
      </c>
      <c r="D108" s="1" t="s">
        <v>1461</v>
      </c>
      <c r="E108" s="1">
        <v>49</v>
      </c>
      <c r="F108" s="1" t="s">
        <v>26</v>
      </c>
      <c r="G108" s="1" t="s">
        <v>45</v>
      </c>
      <c r="H108" s="1" t="s">
        <v>61</v>
      </c>
      <c r="I108" s="1" t="s">
        <v>29</v>
      </c>
      <c r="J108" s="7">
        <v>86922</v>
      </c>
      <c r="K108" s="1">
        <v>824</v>
      </c>
      <c r="L108" s="7">
        <v>20310</v>
      </c>
      <c r="M108" s="1">
        <v>36</v>
      </c>
      <c r="N108" s="6">
        <v>0.18440000000000001</v>
      </c>
      <c r="O108" s="1" t="s">
        <v>63</v>
      </c>
      <c r="P108" s="1" t="s">
        <v>47</v>
      </c>
      <c r="Q108" s="1">
        <v>10</v>
      </c>
      <c r="R108" s="1">
        <v>1</v>
      </c>
      <c r="S108" s="1" t="s">
        <v>31</v>
      </c>
      <c r="T108" s="1" t="s">
        <v>33</v>
      </c>
      <c r="U108" s="1">
        <v>0</v>
      </c>
      <c r="V108" s="1">
        <v>178121</v>
      </c>
      <c r="W108" s="7">
        <v>1698.6</v>
      </c>
      <c r="X108" s="1">
        <v>0.16</v>
      </c>
      <c r="Y108" s="4">
        <v>44412</v>
      </c>
      <c r="Z108" s="1" t="s">
        <v>38</v>
      </c>
      <c r="AA108" s="1" t="s">
        <v>31</v>
      </c>
      <c r="AB108" s="36" t="str" cm="1">
        <f t="array" ref="AB108">_xlfn.IFS(K108&gt;650,"LOW",K108&gt;=550,"MEDIUM",K108&lt;550,"HIGH")</f>
        <v>LOW</v>
      </c>
    </row>
    <row r="109" spans="3:28" x14ac:dyDescent="0.3">
      <c r="C109" s="35" t="s">
        <v>3826</v>
      </c>
      <c r="D109" s="1" t="s">
        <v>1832</v>
      </c>
      <c r="E109" s="1">
        <v>30</v>
      </c>
      <c r="F109" s="1" t="s">
        <v>26</v>
      </c>
      <c r="G109" s="1" t="s">
        <v>27</v>
      </c>
      <c r="H109" s="1" t="s">
        <v>61</v>
      </c>
      <c r="I109" s="1" t="s">
        <v>29</v>
      </c>
      <c r="J109" s="7">
        <v>131904</v>
      </c>
      <c r="K109" s="1">
        <v>824</v>
      </c>
      <c r="L109" s="7">
        <v>11402</v>
      </c>
      <c r="M109" s="1">
        <v>48</v>
      </c>
      <c r="N109" s="6">
        <v>0.11470000000000001</v>
      </c>
      <c r="O109" s="1" t="s">
        <v>41</v>
      </c>
      <c r="P109" s="1" t="s">
        <v>30</v>
      </c>
      <c r="Q109" s="1">
        <v>2</v>
      </c>
      <c r="R109" s="1">
        <v>4</v>
      </c>
      <c r="S109" s="1" t="s">
        <v>33</v>
      </c>
      <c r="T109" s="1" t="s">
        <v>33</v>
      </c>
      <c r="U109" s="1">
        <v>1</v>
      </c>
      <c r="V109" s="1">
        <v>40995</v>
      </c>
      <c r="W109" s="7">
        <v>1863.17</v>
      </c>
      <c r="X109" s="1">
        <v>0.38</v>
      </c>
      <c r="Y109" s="4">
        <v>45414</v>
      </c>
      <c r="Z109" s="1" t="s">
        <v>38</v>
      </c>
      <c r="AA109" s="1" t="s">
        <v>33</v>
      </c>
      <c r="AB109" s="36" t="str" cm="1">
        <f t="array" ref="AB109">_xlfn.IFS(K109&gt;650,"LOW",K109&gt;=550,"MEDIUM",K109&lt;550,"HIGH")</f>
        <v>LOW</v>
      </c>
    </row>
    <row r="110" spans="3:28" x14ac:dyDescent="0.3">
      <c r="C110" s="35" t="s">
        <v>3910</v>
      </c>
      <c r="D110" s="1" t="s">
        <v>1914</v>
      </c>
      <c r="E110" s="1">
        <v>25</v>
      </c>
      <c r="F110" s="1" t="s">
        <v>44</v>
      </c>
      <c r="G110" s="1" t="s">
        <v>56</v>
      </c>
      <c r="H110" s="1" t="s">
        <v>54</v>
      </c>
      <c r="I110" s="1" t="s">
        <v>59</v>
      </c>
      <c r="J110" s="7">
        <v>67098</v>
      </c>
      <c r="K110" s="1">
        <v>824</v>
      </c>
      <c r="L110" s="7">
        <v>9204</v>
      </c>
      <c r="M110" s="1">
        <v>12</v>
      </c>
      <c r="N110" s="6">
        <v>0.1128</v>
      </c>
      <c r="O110" s="1" t="s">
        <v>52</v>
      </c>
      <c r="P110" s="1" t="s">
        <v>47</v>
      </c>
      <c r="Q110" s="1">
        <v>29</v>
      </c>
      <c r="R110" s="1">
        <v>1</v>
      </c>
      <c r="S110" s="1" t="s">
        <v>33</v>
      </c>
      <c r="T110" s="1" t="s">
        <v>33</v>
      </c>
      <c r="U110" s="1">
        <v>1</v>
      </c>
      <c r="V110" s="1">
        <v>159701</v>
      </c>
      <c r="W110" s="7">
        <v>1782.38</v>
      </c>
      <c r="X110" s="1">
        <v>0.54</v>
      </c>
      <c r="Y110" s="4">
        <v>44286</v>
      </c>
      <c r="Z110" s="1" t="s">
        <v>38</v>
      </c>
      <c r="AA110" s="1" t="s">
        <v>33</v>
      </c>
      <c r="AB110" s="36" t="str" cm="1">
        <f t="array" ref="AB110">_xlfn.IFS(K110&gt;650,"LOW",K110&gt;=550,"MEDIUM",K110&lt;550,"HIGH")</f>
        <v>LOW</v>
      </c>
    </row>
    <row r="111" spans="3:28" x14ac:dyDescent="0.3">
      <c r="C111" s="35" t="s">
        <v>2966</v>
      </c>
      <c r="D111" s="1" t="s">
        <v>994</v>
      </c>
      <c r="E111" s="1">
        <v>44</v>
      </c>
      <c r="F111" s="1" t="s">
        <v>26</v>
      </c>
      <c r="G111" s="1" t="s">
        <v>35</v>
      </c>
      <c r="H111" s="1" t="s">
        <v>36</v>
      </c>
      <c r="I111" s="1" t="s">
        <v>59</v>
      </c>
      <c r="J111" s="7">
        <v>142357</v>
      </c>
      <c r="K111" s="1">
        <v>822</v>
      </c>
      <c r="L111" s="7">
        <v>31431</v>
      </c>
      <c r="M111" s="1">
        <v>36</v>
      </c>
      <c r="N111" s="6">
        <v>5.74E-2</v>
      </c>
      <c r="O111" s="1" t="s">
        <v>46</v>
      </c>
      <c r="P111" s="1" t="s">
        <v>50</v>
      </c>
      <c r="Q111" s="1">
        <v>1</v>
      </c>
      <c r="R111" s="1">
        <v>4</v>
      </c>
      <c r="S111" s="1" t="s">
        <v>33</v>
      </c>
      <c r="T111" s="1" t="s">
        <v>31</v>
      </c>
      <c r="U111" s="1">
        <v>0</v>
      </c>
      <c r="V111" s="1">
        <v>49704</v>
      </c>
      <c r="W111" s="7">
        <v>795.98</v>
      </c>
      <c r="X111" s="1">
        <v>0.39</v>
      </c>
      <c r="Y111" s="4">
        <v>45477</v>
      </c>
      <c r="Z111" s="1" t="s">
        <v>38</v>
      </c>
      <c r="AA111" s="1" t="s">
        <v>31</v>
      </c>
      <c r="AB111" s="36" t="str" cm="1">
        <f t="array" ref="AB111">_xlfn.IFS(K111&gt;650,"LOW",K111&gt;=550,"MEDIUM",K111&lt;550,"HIGH")</f>
        <v>LOW</v>
      </c>
    </row>
    <row r="112" spans="3:28" x14ac:dyDescent="0.3">
      <c r="C112" s="35" t="s">
        <v>2319</v>
      </c>
      <c r="D112" s="1" t="s">
        <v>350</v>
      </c>
      <c r="E112" s="1">
        <v>32</v>
      </c>
      <c r="F112" s="1" t="s">
        <v>44</v>
      </c>
      <c r="G112" s="1" t="s">
        <v>27</v>
      </c>
      <c r="H112" s="1" t="s">
        <v>36</v>
      </c>
      <c r="I112" s="1" t="s">
        <v>29</v>
      </c>
      <c r="J112" s="7">
        <v>68733</v>
      </c>
      <c r="K112" s="1">
        <v>821</v>
      </c>
      <c r="L112" s="7">
        <v>13674</v>
      </c>
      <c r="M112" s="1">
        <v>12</v>
      </c>
      <c r="N112" s="6">
        <v>0.1623</v>
      </c>
      <c r="O112" s="1" t="s">
        <v>46</v>
      </c>
      <c r="P112" s="1" t="s">
        <v>30</v>
      </c>
      <c r="Q112" s="1">
        <v>15</v>
      </c>
      <c r="R112" s="1">
        <v>1</v>
      </c>
      <c r="S112" s="1" t="s">
        <v>31</v>
      </c>
      <c r="T112" s="1" t="s">
        <v>33</v>
      </c>
      <c r="U112" s="1">
        <v>4</v>
      </c>
      <c r="V112" s="1">
        <v>189898</v>
      </c>
      <c r="W112" s="7">
        <v>1014.67</v>
      </c>
      <c r="X112" s="1">
        <v>0.37</v>
      </c>
      <c r="Y112" s="4">
        <v>44414</v>
      </c>
      <c r="Z112" s="1" t="s">
        <v>32</v>
      </c>
      <c r="AA112" s="1" t="s">
        <v>31</v>
      </c>
      <c r="AB112" s="36" t="str" cm="1">
        <f t="array" ref="AB112">_xlfn.IFS(K112&gt;650,"LOW",K112&gt;=550,"MEDIUM",K112&lt;550,"HIGH")</f>
        <v>LOW</v>
      </c>
    </row>
    <row r="113" spans="3:28" x14ac:dyDescent="0.3">
      <c r="C113" s="35" t="s">
        <v>2349</v>
      </c>
      <c r="D113" s="1" t="s">
        <v>380</v>
      </c>
      <c r="E113" s="1">
        <v>51</v>
      </c>
      <c r="F113" s="1" t="s">
        <v>44</v>
      </c>
      <c r="G113" s="1" t="s">
        <v>27</v>
      </c>
      <c r="H113" s="1" t="s">
        <v>54</v>
      </c>
      <c r="I113" s="1" t="s">
        <v>40</v>
      </c>
      <c r="J113" s="7">
        <v>73463</v>
      </c>
      <c r="K113" s="1">
        <v>821</v>
      </c>
      <c r="L113" s="7">
        <v>46440</v>
      </c>
      <c r="M113" s="1">
        <v>60</v>
      </c>
      <c r="N113" s="6">
        <v>0.13419999999999999</v>
      </c>
      <c r="O113" s="1" t="s">
        <v>5</v>
      </c>
      <c r="P113" s="1" t="s">
        <v>30</v>
      </c>
      <c r="Q113" s="1">
        <v>5</v>
      </c>
      <c r="R113" s="1">
        <v>4</v>
      </c>
      <c r="S113" s="1" t="s">
        <v>31</v>
      </c>
      <c r="T113" s="1" t="s">
        <v>31</v>
      </c>
      <c r="U113" s="1">
        <v>0</v>
      </c>
      <c r="V113" s="1">
        <v>82549</v>
      </c>
      <c r="W113" s="7">
        <v>937.03</v>
      </c>
      <c r="X113" s="1">
        <v>0.93</v>
      </c>
      <c r="Y113" s="4">
        <v>45273</v>
      </c>
      <c r="Z113" s="1" t="s">
        <v>32</v>
      </c>
      <c r="AA113" s="1" t="s">
        <v>33</v>
      </c>
      <c r="AB113" s="36" t="str" cm="1">
        <f t="array" ref="AB113">_xlfn.IFS(K113&gt;650,"LOW",K113&gt;=550,"MEDIUM",K113&lt;550,"HIGH")</f>
        <v>LOW</v>
      </c>
    </row>
    <row r="114" spans="3:28" x14ac:dyDescent="0.3">
      <c r="C114" s="35" t="s">
        <v>2587</v>
      </c>
      <c r="D114" s="1" t="s">
        <v>617</v>
      </c>
      <c r="E114" s="1">
        <v>32</v>
      </c>
      <c r="F114" s="1" t="s">
        <v>26</v>
      </c>
      <c r="G114" s="1" t="s">
        <v>27</v>
      </c>
      <c r="H114" s="1" t="s">
        <v>54</v>
      </c>
      <c r="I114" s="1" t="s">
        <v>59</v>
      </c>
      <c r="J114" s="7">
        <v>77705</v>
      </c>
      <c r="K114" s="1">
        <v>821</v>
      </c>
      <c r="L114" s="7">
        <v>9776</v>
      </c>
      <c r="M114" s="1">
        <v>24</v>
      </c>
      <c r="N114" s="6">
        <v>0.15259999999999999</v>
      </c>
      <c r="O114" s="1" t="s">
        <v>41</v>
      </c>
      <c r="P114" s="1" t="s">
        <v>50</v>
      </c>
      <c r="Q114" s="1">
        <v>6</v>
      </c>
      <c r="R114" s="1">
        <v>2</v>
      </c>
      <c r="S114" s="1" t="s">
        <v>31</v>
      </c>
      <c r="T114" s="1" t="s">
        <v>33</v>
      </c>
      <c r="U114" s="1">
        <v>2</v>
      </c>
      <c r="V114" s="1">
        <v>190696</v>
      </c>
      <c r="W114" s="7">
        <v>1630.83</v>
      </c>
      <c r="X114" s="1">
        <v>0.24</v>
      </c>
      <c r="Y114" s="4">
        <v>44721</v>
      </c>
      <c r="Z114" s="1" t="s">
        <v>38</v>
      </c>
      <c r="AA114" s="1" t="s">
        <v>33</v>
      </c>
      <c r="AB114" s="36" t="str" cm="1">
        <f t="array" ref="AB114">_xlfn.IFS(K114&gt;650,"LOW",K114&gt;=550,"MEDIUM",K114&lt;550,"HIGH")</f>
        <v>LOW</v>
      </c>
    </row>
    <row r="115" spans="3:28" x14ac:dyDescent="0.3">
      <c r="C115" s="35" t="s">
        <v>2681</v>
      </c>
      <c r="D115" s="1" t="s">
        <v>711</v>
      </c>
      <c r="E115" s="1">
        <v>29</v>
      </c>
      <c r="F115" s="1" t="s">
        <v>26</v>
      </c>
      <c r="G115" s="1" t="s">
        <v>35</v>
      </c>
      <c r="H115" s="1" t="s">
        <v>36</v>
      </c>
      <c r="I115" s="1" t="s">
        <v>57</v>
      </c>
      <c r="J115" s="7">
        <v>96086</v>
      </c>
      <c r="K115" s="1">
        <v>821</v>
      </c>
      <c r="L115" s="7">
        <v>45387</v>
      </c>
      <c r="M115" s="1">
        <v>12</v>
      </c>
      <c r="N115" s="6">
        <v>0.1416</v>
      </c>
      <c r="O115" s="1" t="s">
        <v>37</v>
      </c>
      <c r="P115" s="1" t="s">
        <v>50</v>
      </c>
      <c r="Q115" s="1">
        <v>15</v>
      </c>
      <c r="R115" s="1">
        <v>4</v>
      </c>
      <c r="S115" s="1" t="s">
        <v>33</v>
      </c>
      <c r="T115" s="1" t="s">
        <v>33</v>
      </c>
      <c r="U115" s="1">
        <v>4</v>
      </c>
      <c r="V115" s="1">
        <v>140795</v>
      </c>
      <c r="W115" s="7">
        <v>1019.42</v>
      </c>
      <c r="X115" s="1">
        <v>0.75</v>
      </c>
      <c r="Y115" s="4">
        <v>44444</v>
      </c>
      <c r="Z115" s="1" t="s">
        <v>32</v>
      </c>
      <c r="AA115" s="1" t="s">
        <v>31</v>
      </c>
      <c r="AB115" s="36" t="str" cm="1">
        <f t="array" ref="AB115">_xlfn.IFS(K115&gt;650,"LOW",K115&gt;=550,"MEDIUM",K115&lt;550,"HIGH")</f>
        <v>LOW</v>
      </c>
    </row>
    <row r="116" spans="3:28" x14ac:dyDescent="0.3">
      <c r="C116" s="35" t="s">
        <v>3263</v>
      </c>
      <c r="D116" s="1" t="s">
        <v>1286</v>
      </c>
      <c r="E116" s="1">
        <v>59</v>
      </c>
      <c r="F116" s="1" t="s">
        <v>44</v>
      </c>
      <c r="G116" s="1" t="s">
        <v>35</v>
      </c>
      <c r="H116" s="1" t="s">
        <v>28</v>
      </c>
      <c r="I116" s="1" t="s">
        <v>29</v>
      </c>
      <c r="J116" s="7">
        <v>129987</v>
      </c>
      <c r="K116" s="1">
        <v>821</v>
      </c>
      <c r="L116" s="7">
        <v>38997</v>
      </c>
      <c r="M116" s="1">
        <v>12</v>
      </c>
      <c r="N116" s="6">
        <v>0.12189999999999999</v>
      </c>
      <c r="O116" s="1" t="s">
        <v>41</v>
      </c>
      <c r="P116" s="1" t="s">
        <v>50</v>
      </c>
      <c r="Q116" s="1">
        <v>8</v>
      </c>
      <c r="R116" s="1">
        <v>3</v>
      </c>
      <c r="S116" s="1" t="s">
        <v>33</v>
      </c>
      <c r="T116" s="1" t="s">
        <v>33</v>
      </c>
      <c r="U116" s="1">
        <v>4</v>
      </c>
      <c r="V116" s="1">
        <v>92013</v>
      </c>
      <c r="W116" s="7">
        <v>772.74</v>
      </c>
      <c r="X116" s="1">
        <v>0.25</v>
      </c>
      <c r="Y116" s="4">
        <v>44931</v>
      </c>
      <c r="Z116" s="1" t="s">
        <v>38</v>
      </c>
      <c r="AA116" s="1" t="s">
        <v>33</v>
      </c>
      <c r="AB116" s="36" t="str" cm="1">
        <f t="array" ref="AB116">_xlfn.IFS(K116&gt;650,"LOW",K116&gt;=550,"MEDIUM",K116&lt;550,"HIGH")</f>
        <v>LOW</v>
      </c>
    </row>
    <row r="117" spans="3:28" x14ac:dyDescent="0.3">
      <c r="C117" s="35" t="s">
        <v>3654</v>
      </c>
      <c r="D117" s="1" t="s">
        <v>1666</v>
      </c>
      <c r="E117" s="1">
        <v>61</v>
      </c>
      <c r="F117" s="1" t="s">
        <v>44</v>
      </c>
      <c r="G117" s="1" t="s">
        <v>27</v>
      </c>
      <c r="H117" s="1" t="s">
        <v>54</v>
      </c>
      <c r="I117" s="1" t="s">
        <v>29</v>
      </c>
      <c r="J117" s="7">
        <v>72021</v>
      </c>
      <c r="K117" s="1">
        <v>821</v>
      </c>
      <c r="L117" s="7">
        <v>17042</v>
      </c>
      <c r="M117" s="1">
        <v>24</v>
      </c>
      <c r="N117" s="6">
        <v>9.1400000000000009E-2</v>
      </c>
      <c r="O117" s="1" t="s">
        <v>46</v>
      </c>
      <c r="P117" s="1" t="s">
        <v>50</v>
      </c>
      <c r="Q117" s="1">
        <v>9</v>
      </c>
      <c r="R117" s="1">
        <v>0</v>
      </c>
      <c r="S117" s="1" t="s">
        <v>33</v>
      </c>
      <c r="T117" s="1" t="s">
        <v>31</v>
      </c>
      <c r="U117" s="1">
        <v>3</v>
      </c>
      <c r="V117" s="1">
        <v>47954</v>
      </c>
      <c r="W117" s="7">
        <v>501.8</v>
      </c>
      <c r="X117" s="1">
        <v>0.86</v>
      </c>
      <c r="Y117" s="4">
        <v>45837</v>
      </c>
      <c r="Z117" s="1" t="s">
        <v>32</v>
      </c>
      <c r="AA117" s="1" t="s">
        <v>33</v>
      </c>
      <c r="AB117" s="36" t="str" cm="1">
        <f t="array" ref="AB117">_xlfn.IFS(K117&gt;650,"LOW",K117&gt;=550,"MEDIUM",K117&lt;550,"HIGH")</f>
        <v>LOW</v>
      </c>
    </row>
    <row r="118" spans="3:28" x14ac:dyDescent="0.3">
      <c r="C118" s="35" t="s">
        <v>2463</v>
      </c>
      <c r="D118" s="1" t="s">
        <v>493</v>
      </c>
      <c r="E118" s="1">
        <v>41</v>
      </c>
      <c r="F118" s="1" t="s">
        <v>44</v>
      </c>
      <c r="G118" s="1" t="s">
        <v>35</v>
      </c>
      <c r="H118" s="1" t="s">
        <v>28</v>
      </c>
      <c r="I118" s="1" t="s">
        <v>59</v>
      </c>
      <c r="J118" s="7">
        <v>101110</v>
      </c>
      <c r="K118" s="1">
        <v>820</v>
      </c>
      <c r="L118" s="7">
        <v>16701</v>
      </c>
      <c r="M118" s="1">
        <v>60</v>
      </c>
      <c r="N118" s="6">
        <v>8.6300000000000002E-2</v>
      </c>
      <c r="O118" s="1" t="s">
        <v>37</v>
      </c>
      <c r="P118" s="1" t="s">
        <v>47</v>
      </c>
      <c r="Q118" s="1">
        <v>27</v>
      </c>
      <c r="R118" s="1">
        <v>1</v>
      </c>
      <c r="S118" s="1" t="s">
        <v>33</v>
      </c>
      <c r="T118" s="1" t="s">
        <v>31</v>
      </c>
      <c r="U118" s="1">
        <v>3</v>
      </c>
      <c r="V118" s="1">
        <v>31593</v>
      </c>
      <c r="W118" s="7">
        <v>1325.44</v>
      </c>
      <c r="X118" s="1">
        <v>0.18</v>
      </c>
      <c r="Y118" s="4">
        <v>44201</v>
      </c>
      <c r="Z118" s="1" t="s">
        <v>38</v>
      </c>
      <c r="AA118" s="1" t="s">
        <v>33</v>
      </c>
      <c r="AB118" s="36" t="str" cm="1">
        <f t="array" ref="AB118">_xlfn.IFS(K118&gt;650,"LOW",K118&gt;=550,"MEDIUM",K118&lt;550,"HIGH")</f>
        <v>LOW</v>
      </c>
    </row>
    <row r="119" spans="3:28" x14ac:dyDescent="0.3">
      <c r="C119" s="35" t="s">
        <v>2615</v>
      </c>
      <c r="D119" s="1" t="s">
        <v>645</v>
      </c>
      <c r="E119" s="1">
        <v>39</v>
      </c>
      <c r="F119" s="1" t="s">
        <v>44</v>
      </c>
      <c r="G119" s="1" t="s">
        <v>56</v>
      </c>
      <c r="H119" s="1" t="s">
        <v>61</v>
      </c>
      <c r="I119" s="1" t="s">
        <v>57</v>
      </c>
      <c r="J119" s="7">
        <v>86255</v>
      </c>
      <c r="K119" s="1">
        <v>820</v>
      </c>
      <c r="L119" s="7">
        <v>17065</v>
      </c>
      <c r="M119" s="1">
        <v>12</v>
      </c>
      <c r="N119" s="6">
        <v>0.1711</v>
      </c>
      <c r="O119" s="1" t="s">
        <v>52</v>
      </c>
      <c r="P119" s="1" t="s">
        <v>47</v>
      </c>
      <c r="Q119" s="1">
        <v>17</v>
      </c>
      <c r="R119" s="1">
        <v>3</v>
      </c>
      <c r="S119" s="1" t="s">
        <v>31</v>
      </c>
      <c r="T119" s="1" t="s">
        <v>33</v>
      </c>
      <c r="U119" s="1">
        <v>1</v>
      </c>
      <c r="V119" s="1">
        <v>174133</v>
      </c>
      <c r="W119" s="7">
        <v>517.09</v>
      </c>
      <c r="X119" s="1">
        <v>0.19</v>
      </c>
      <c r="Y119" s="4">
        <v>45217</v>
      </c>
      <c r="Z119" s="1" t="s">
        <v>38</v>
      </c>
      <c r="AA119" s="1" t="s">
        <v>33</v>
      </c>
      <c r="AB119" s="36" t="str" cm="1">
        <f t="array" ref="AB119">_xlfn.IFS(K119&gt;650,"LOW",K119&gt;=550,"MEDIUM",K119&lt;550,"HIGH")</f>
        <v>LOW</v>
      </c>
    </row>
    <row r="120" spans="3:28" x14ac:dyDescent="0.3">
      <c r="C120" s="35" t="s">
        <v>3116</v>
      </c>
      <c r="D120" s="1" t="s">
        <v>1141</v>
      </c>
      <c r="E120" s="1">
        <v>29</v>
      </c>
      <c r="F120" s="1" t="s">
        <v>44</v>
      </c>
      <c r="G120" s="1" t="s">
        <v>27</v>
      </c>
      <c r="H120" s="1" t="s">
        <v>54</v>
      </c>
      <c r="I120" s="1" t="s">
        <v>40</v>
      </c>
      <c r="J120" s="7">
        <v>54318</v>
      </c>
      <c r="K120" s="1">
        <v>820</v>
      </c>
      <c r="L120" s="7">
        <v>26474</v>
      </c>
      <c r="M120" s="1">
        <v>60</v>
      </c>
      <c r="N120" s="6">
        <v>0.16930000000000001</v>
      </c>
      <c r="O120" s="1" t="s">
        <v>5</v>
      </c>
      <c r="P120" s="1" t="s">
        <v>47</v>
      </c>
      <c r="Q120" s="1">
        <v>11</v>
      </c>
      <c r="R120" s="1">
        <v>4</v>
      </c>
      <c r="S120" s="1" t="s">
        <v>31</v>
      </c>
      <c r="T120" s="1" t="s">
        <v>33</v>
      </c>
      <c r="U120" s="1">
        <v>3</v>
      </c>
      <c r="V120" s="1">
        <v>137534</v>
      </c>
      <c r="W120" s="7">
        <v>1501.08</v>
      </c>
      <c r="X120" s="1">
        <v>0.28000000000000003</v>
      </c>
      <c r="Y120" s="4">
        <v>44561</v>
      </c>
      <c r="Z120" s="1" t="s">
        <v>38</v>
      </c>
      <c r="AA120" s="1" t="s">
        <v>33</v>
      </c>
      <c r="AB120" s="36" t="str" cm="1">
        <f t="array" ref="AB120">_xlfn.IFS(K120&gt;650,"LOW",K120&gt;=550,"MEDIUM",K120&lt;550,"HIGH")</f>
        <v>LOW</v>
      </c>
    </row>
    <row r="121" spans="3:28" x14ac:dyDescent="0.3">
      <c r="C121" s="35" t="s">
        <v>3942</v>
      </c>
      <c r="D121" s="1" t="s">
        <v>1945</v>
      </c>
      <c r="E121" s="1">
        <v>34</v>
      </c>
      <c r="F121" s="1" t="s">
        <v>26</v>
      </c>
      <c r="G121" s="1" t="s">
        <v>56</v>
      </c>
      <c r="H121" s="1" t="s">
        <v>28</v>
      </c>
      <c r="I121" s="1" t="s">
        <v>59</v>
      </c>
      <c r="J121" s="7">
        <v>86425</v>
      </c>
      <c r="K121" s="1">
        <v>820</v>
      </c>
      <c r="L121" s="7">
        <v>33813</v>
      </c>
      <c r="M121" s="1">
        <v>24</v>
      </c>
      <c r="N121" s="6">
        <v>0.15560000000000002</v>
      </c>
      <c r="O121" s="1" t="s">
        <v>63</v>
      </c>
      <c r="P121" s="1" t="s">
        <v>47</v>
      </c>
      <c r="Q121" s="1">
        <v>20</v>
      </c>
      <c r="R121" s="1">
        <v>0</v>
      </c>
      <c r="S121" s="1" t="s">
        <v>31</v>
      </c>
      <c r="T121" s="1" t="s">
        <v>33</v>
      </c>
      <c r="U121" s="1">
        <v>3</v>
      </c>
      <c r="V121" s="1">
        <v>6897</v>
      </c>
      <c r="W121" s="7">
        <v>564.46</v>
      </c>
      <c r="X121" s="1">
        <v>0.68</v>
      </c>
      <c r="Y121" s="4">
        <v>45677</v>
      </c>
      <c r="Z121" s="1" t="s">
        <v>38</v>
      </c>
      <c r="AA121" s="1" t="s">
        <v>31</v>
      </c>
      <c r="AB121" s="36" t="str" cm="1">
        <f t="array" ref="AB121">_xlfn.IFS(K121&gt;650,"LOW",K121&gt;=550,"MEDIUM",K121&lt;550,"HIGH")</f>
        <v>LOW</v>
      </c>
    </row>
    <row r="122" spans="3:28" x14ac:dyDescent="0.3">
      <c r="C122" s="35" t="s">
        <v>2107</v>
      </c>
      <c r="D122" s="1" t="s">
        <v>138</v>
      </c>
      <c r="E122" s="1">
        <v>45</v>
      </c>
      <c r="F122" s="1" t="s">
        <v>26</v>
      </c>
      <c r="G122" s="1" t="s">
        <v>27</v>
      </c>
      <c r="H122" s="1" t="s">
        <v>54</v>
      </c>
      <c r="I122" s="1" t="s">
        <v>57</v>
      </c>
      <c r="J122" s="7">
        <v>105781</v>
      </c>
      <c r="K122" s="1">
        <v>819</v>
      </c>
      <c r="L122" s="7">
        <v>8410</v>
      </c>
      <c r="M122" s="1">
        <v>24</v>
      </c>
      <c r="N122" s="6">
        <v>0.17449999999999999</v>
      </c>
      <c r="O122" s="1" t="s">
        <v>52</v>
      </c>
      <c r="P122" s="1" t="s">
        <v>30</v>
      </c>
      <c r="Q122" s="1">
        <v>20</v>
      </c>
      <c r="R122" s="1">
        <v>1</v>
      </c>
      <c r="S122" s="1" t="s">
        <v>31</v>
      </c>
      <c r="T122" s="1" t="s">
        <v>31</v>
      </c>
      <c r="U122" s="1">
        <v>2</v>
      </c>
      <c r="V122" s="1">
        <v>113476</v>
      </c>
      <c r="W122" s="7">
        <v>772.92</v>
      </c>
      <c r="X122" s="1">
        <v>0.2</v>
      </c>
      <c r="Y122" s="4">
        <v>44707</v>
      </c>
      <c r="Z122" s="1" t="s">
        <v>38</v>
      </c>
      <c r="AA122" s="1" t="s">
        <v>33</v>
      </c>
      <c r="AB122" s="36" t="str" cm="1">
        <f t="array" ref="AB122">_xlfn.IFS(K122&gt;650,"LOW",K122&gt;=550,"MEDIUM",K122&lt;550,"HIGH")</f>
        <v>LOW</v>
      </c>
    </row>
    <row r="123" spans="3:28" x14ac:dyDescent="0.3">
      <c r="C123" s="35" t="s">
        <v>2309</v>
      </c>
      <c r="D123" s="1" t="s">
        <v>340</v>
      </c>
      <c r="E123" s="1">
        <v>24</v>
      </c>
      <c r="F123" s="1" t="s">
        <v>26</v>
      </c>
      <c r="G123" s="1" t="s">
        <v>45</v>
      </c>
      <c r="H123" s="1" t="s">
        <v>54</v>
      </c>
      <c r="I123" s="1" t="s">
        <v>59</v>
      </c>
      <c r="J123" s="7">
        <v>87847</v>
      </c>
      <c r="K123" s="1">
        <v>819</v>
      </c>
      <c r="L123" s="7">
        <v>10474</v>
      </c>
      <c r="M123" s="1">
        <v>60</v>
      </c>
      <c r="N123" s="6">
        <v>0.19879999999999998</v>
      </c>
      <c r="O123" s="1" t="s">
        <v>5</v>
      </c>
      <c r="P123" s="1" t="s">
        <v>47</v>
      </c>
      <c r="Q123" s="1">
        <v>20</v>
      </c>
      <c r="R123" s="1">
        <v>1</v>
      </c>
      <c r="S123" s="1" t="s">
        <v>31</v>
      </c>
      <c r="T123" s="1" t="s">
        <v>31</v>
      </c>
      <c r="U123" s="1">
        <v>0</v>
      </c>
      <c r="V123" s="1">
        <v>55504</v>
      </c>
      <c r="W123" s="7">
        <v>1458.28</v>
      </c>
      <c r="X123" s="1">
        <v>0.85</v>
      </c>
      <c r="Y123" s="4">
        <v>44416</v>
      </c>
      <c r="Z123" s="1" t="s">
        <v>38</v>
      </c>
      <c r="AA123" s="1" t="s">
        <v>33</v>
      </c>
      <c r="AB123" s="36" t="str" cm="1">
        <f t="array" ref="AB123">_xlfn.IFS(K123&gt;650,"LOW",K123&gt;=550,"MEDIUM",K123&lt;550,"HIGH")</f>
        <v>LOW</v>
      </c>
    </row>
    <row r="124" spans="3:28" x14ac:dyDescent="0.3">
      <c r="C124" s="35" t="s">
        <v>2350</v>
      </c>
      <c r="D124" s="1" t="s">
        <v>381</v>
      </c>
      <c r="E124" s="1">
        <v>55</v>
      </c>
      <c r="F124" s="1" t="s">
        <v>44</v>
      </c>
      <c r="G124" s="1" t="s">
        <v>45</v>
      </c>
      <c r="H124" s="1" t="s">
        <v>36</v>
      </c>
      <c r="I124" s="1" t="s">
        <v>40</v>
      </c>
      <c r="J124" s="7">
        <v>46572</v>
      </c>
      <c r="K124" s="1">
        <v>819</v>
      </c>
      <c r="L124" s="7">
        <v>37923</v>
      </c>
      <c r="M124" s="1">
        <v>60</v>
      </c>
      <c r="N124" s="6">
        <v>0.1076</v>
      </c>
      <c r="O124" s="1" t="s">
        <v>52</v>
      </c>
      <c r="P124" s="1" t="s">
        <v>30</v>
      </c>
      <c r="Q124" s="1">
        <v>8</v>
      </c>
      <c r="R124" s="1">
        <v>3</v>
      </c>
      <c r="S124" s="1" t="s">
        <v>33</v>
      </c>
      <c r="T124" s="1" t="s">
        <v>31</v>
      </c>
      <c r="U124" s="1">
        <v>4</v>
      </c>
      <c r="V124" s="1">
        <v>134058</v>
      </c>
      <c r="W124" s="7">
        <v>1080.92</v>
      </c>
      <c r="X124" s="1">
        <v>0.11</v>
      </c>
      <c r="Y124" s="4">
        <v>45101</v>
      </c>
      <c r="Z124" s="1" t="s">
        <v>32</v>
      </c>
      <c r="AA124" s="1" t="s">
        <v>33</v>
      </c>
      <c r="AB124" s="36" t="str" cm="1">
        <f t="array" ref="AB124">_xlfn.IFS(K124&gt;650,"LOW",K124&gt;=550,"MEDIUM",K124&lt;550,"HIGH")</f>
        <v>LOW</v>
      </c>
    </row>
    <row r="125" spans="3:28" x14ac:dyDescent="0.3">
      <c r="C125" s="35" t="s">
        <v>2376</v>
      </c>
      <c r="D125" s="1" t="s">
        <v>406</v>
      </c>
      <c r="E125" s="1">
        <v>63</v>
      </c>
      <c r="F125" s="1" t="s">
        <v>26</v>
      </c>
      <c r="G125" s="1" t="s">
        <v>56</v>
      </c>
      <c r="H125" s="1" t="s">
        <v>54</v>
      </c>
      <c r="I125" s="1" t="s">
        <v>40</v>
      </c>
      <c r="J125" s="7">
        <v>101494</v>
      </c>
      <c r="K125" s="1">
        <v>819</v>
      </c>
      <c r="L125" s="7">
        <v>28018</v>
      </c>
      <c r="M125" s="1">
        <v>60</v>
      </c>
      <c r="N125" s="6">
        <v>0.1188</v>
      </c>
      <c r="O125" s="1" t="s">
        <v>37</v>
      </c>
      <c r="P125" s="1" t="s">
        <v>30</v>
      </c>
      <c r="Q125" s="1">
        <v>13</v>
      </c>
      <c r="R125" s="1">
        <v>2</v>
      </c>
      <c r="S125" s="1" t="s">
        <v>33</v>
      </c>
      <c r="T125" s="1" t="s">
        <v>33</v>
      </c>
      <c r="U125" s="1">
        <v>3</v>
      </c>
      <c r="V125" s="1">
        <v>107301</v>
      </c>
      <c r="W125" s="7">
        <v>213.47</v>
      </c>
      <c r="X125" s="1">
        <v>0.79</v>
      </c>
      <c r="Y125" s="4">
        <v>44778</v>
      </c>
      <c r="Z125" s="1" t="s">
        <v>32</v>
      </c>
      <c r="AA125" s="1" t="s">
        <v>33</v>
      </c>
      <c r="AB125" s="36" t="str" cm="1">
        <f t="array" ref="AB125">_xlfn.IFS(K125&gt;650,"LOW",K125&gt;=550,"MEDIUM",K125&lt;550,"HIGH")</f>
        <v>LOW</v>
      </c>
    </row>
    <row r="126" spans="3:28" x14ac:dyDescent="0.3">
      <c r="C126" s="35" t="s">
        <v>2539</v>
      </c>
      <c r="D126" s="1" t="s">
        <v>569</v>
      </c>
      <c r="E126" s="1">
        <v>43</v>
      </c>
      <c r="F126" s="1" t="s">
        <v>26</v>
      </c>
      <c r="G126" s="1" t="s">
        <v>35</v>
      </c>
      <c r="H126" s="1" t="s">
        <v>54</v>
      </c>
      <c r="I126" s="1" t="s">
        <v>29</v>
      </c>
      <c r="J126" s="7">
        <v>115419</v>
      </c>
      <c r="K126" s="1">
        <v>819</v>
      </c>
      <c r="L126" s="7">
        <v>26102</v>
      </c>
      <c r="M126" s="1">
        <v>48</v>
      </c>
      <c r="N126" s="6">
        <v>6.4399999999999999E-2</v>
      </c>
      <c r="O126" s="1" t="s">
        <v>46</v>
      </c>
      <c r="P126" s="1" t="s">
        <v>50</v>
      </c>
      <c r="Q126" s="1">
        <v>1</v>
      </c>
      <c r="R126" s="1">
        <v>2</v>
      </c>
      <c r="S126" s="1" t="s">
        <v>31</v>
      </c>
      <c r="T126" s="1" t="s">
        <v>33</v>
      </c>
      <c r="U126" s="1">
        <v>3</v>
      </c>
      <c r="V126" s="1">
        <v>190197</v>
      </c>
      <c r="W126" s="7">
        <v>1036.79</v>
      </c>
      <c r="X126" s="1">
        <v>0.9</v>
      </c>
      <c r="Y126" s="4">
        <v>45050</v>
      </c>
      <c r="Z126" s="1" t="s">
        <v>32</v>
      </c>
      <c r="AA126" s="1" t="s">
        <v>33</v>
      </c>
      <c r="AB126" s="36" t="str" cm="1">
        <f t="array" ref="AB126">_xlfn.IFS(K126&gt;650,"LOW",K126&gt;=550,"MEDIUM",K126&lt;550,"HIGH")</f>
        <v>LOW</v>
      </c>
    </row>
    <row r="127" spans="3:28" x14ac:dyDescent="0.3">
      <c r="C127" s="35" t="s">
        <v>2775</v>
      </c>
      <c r="D127" s="1" t="s">
        <v>803</v>
      </c>
      <c r="E127" s="1">
        <v>62</v>
      </c>
      <c r="F127" s="1" t="s">
        <v>44</v>
      </c>
      <c r="G127" s="1" t="s">
        <v>27</v>
      </c>
      <c r="H127" s="1" t="s">
        <v>54</v>
      </c>
      <c r="I127" s="1" t="s">
        <v>40</v>
      </c>
      <c r="J127" s="7">
        <v>108090</v>
      </c>
      <c r="K127" s="1">
        <v>819</v>
      </c>
      <c r="L127" s="7">
        <v>23099</v>
      </c>
      <c r="M127" s="1">
        <v>48</v>
      </c>
      <c r="N127" s="6">
        <v>0.14230000000000001</v>
      </c>
      <c r="O127" s="1" t="s">
        <v>46</v>
      </c>
      <c r="P127" s="1" t="s">
        <v>50</v>
      </c>
      <c r="Q127" s="1">
        <v>3</v>
      </c>
      <c r="R127" s="1">
        <v>2</v>
      </c>
      <c r="S127" s="1" t="s">
        <v>33</v>
      </c>
      <c r="T127" s="1" t="s">
        <v>33</v>
      </c>
      <c r="U127" s="1">
        <v>1</v>
      </c>
      <c r="V127" s="1">
        <v>55103</v>
      </c>
      <c r="W127" s="7">
        <v>1180.2</v>
      </c>
      <c r="X127" s="1">
        <v>0.73</v>
      </c>
      <c r="Y127" s="4">
        <v>44681</v>
      </c>
      <c r="Z127" s="1" t="s">
        <v>32</v>
      </c>
      <c r="AA127" s="1" t="s">
        <v>33</v>
      </c>
      <c r="AB127" s="36" t="str" cm="1">
        <f t="array" ref="AB127">_xlfn.IFS(K127&gt;650,"LOW",K127&gt;=550,"MEDIUM",K127&lt;550,"HIGH")</f>
        <v>LOW</v>
      </c>
    </row>
    <row r="128" spans="3:28" x14ac:dyDescent="0.3">
      <c r="C128" s="35" t="s">
        <v>3885</v>
      </c>
      <c r="D128" s="1" t="s">
        <v>1891</v>
      </c>
      <c r="E128" s="1">
        <v>37</v>
      </c>
      <c r="F128" s="1" t="s">
        <v>44</v>
      </c>
      <c r="G128" s="1" t="s">
        <v>56</v>
      </c>
      <c r="H128" s="1" t="s">
        <v>61</v>
      </c>
      <c r="I128" s="1" t="s">
        <v>57</v>
      </c>
      <c r="J128" s="7">
        <v>64194</v>
      </c>
      <c r="K128" s="1">
        <v>819</v>
      </c>
      <c r="L128" s="7">
        <v>9108</v>
      </c>
      <c r="M128" s="1">
        <v>48</v>
      </c>
      <c r="N128" s="6">
        <v>9.0899999999999995E-2</v>
      </c>
      <c r="O128" s="1" t="s">
        <v>46</v>
      </c>
      <c r="P128" s="1" t="s">
        <v>47</v>
      </c>
      <c r="Q128" s="1">
        <v>13</v>
      </c>
      <c r="R128" s="1">
        <v>4</v>
      </c>
      <c r="S128" s="1" t="s">
        <v>31</v>
      </c>
      <c r="T128" s="1" t="s">
        <v>31</v>
      </c>
      <c r="U128" s="1">
        <v>3</v>
      </c>
      <c r="V128" s="1">
        <v>176378</v>
      </c>
      <c r="W128" s="7">
        <v>639.33000000000004</v>
      </c>
      <c r="X128" s="1">
        <v>0.49</v>
      </c>
      <c r="Y128" s="4">
        <v>44024</v>
      </c>
      <c r="Z128" s="1" t="s">
        <v>32</v>
      </c>
      <c r="AA128" s="1" t="s">
        <v>33</v>
      </c>
      <c r="AB128" s="36" t="str" cm="1">
        <f t="array" ref="AB128">_xlfn.IFS(K128&gt;650,"LOW",K128&gt;=550,"MEDIUM",K128&lt;550,"HIGH")</f>
        <v>LOW</v>
      </c>
    </row>
    <row r="129" spans="3:28" x14ac:dyDescent="0.3">
      <c r="C129" s="35" t="s">
        <v>3383</v>
      </c>
      <c r="D129" s="1" t="s">
        <v>1404</v>
      </c>
      <c r="E129" s="1">
        <v>27</v>
      </c>
      <c r="F129" s="1" t="s">
        <v>26</v>
      </c>
      <c r="G129" s="1" t="s">
        <v>45</v>
      </c>
      <c r="H129" s="1" t="s">
        <v>36</v>
      </c>
      <c r="I129" s="1" t="s">
        <v>40</v>
      </c>
      <c r="J129" s="7">
        <v>107458</v>
      </c>
      <c r="K129" s="1">
        <v>818</v>
      </c>
      <c r="L129" s="7">
        <v>29783</v>
      </c>
      <c r="M129" s="1">
        <v>24</v>
      </c>
      <c r="N129" s="6">
        <v>6.4199999999999993E-2</v>
      </c>
      <c r="O129" s="1" t="s">
        <v>5</v>
      </c>
      <c r="P129" s="1" t="s">
        <v>30</v>
      </c>
      <c r="Q129" s="1">
        <v>21</v>
      </c>
      <c r="R129" s="1">
        <v>0</v>
      </c>
      <c r="S129" s="1" t="s">
        <v>31</v>
      </c>
      <c r="T129" s="1" t="s">
        <v>31</v>
      </c>
      <c r="U129" s="1">
        <v>3</v>
      </c>
      <c r="V129" s="1">
        <v>44552</v>
      </c>
      <c r="W129" s="7">
        <v>444.02</v>
      </c>
      <c r="X129" s="1">
        <v>0.56999999999999995</v>
      </c>
      <c r="Y129" s="4">
        <v>44154</v>
      </c>
      <c r="Z129" s="1" t="s">
        <v>32</v>
      </c>
      <c r="AA129" s="1" t="s">
        <v>31</v>
      </c>
      <c r="AB129" s="36" t="str" cm="1">
        <f t="array" ref="AB129">_xlfn.IFS(K129&gt;650,"LOW",K129&gt;=550,"MEDIUM",K129&lt;550,"HIGH")</f>
        <v>LOW</v>
      </c>
    </row>
    <row r="130" spans="3:28" x14ac:dyDescent="0.3">
      <c r="C130" s="35" t="s">
        <v>3175</v>
      </c>
      <c r="D130" s="1" t="s">
        <v>1199</v>
      </c>
      <c r="E130" s="1">
        <v>58</v>
      </c>
      <c r="F130" s="1" t="s">
        <v>44</v>
      </c>
      <c r="G130" s="1" t="s">
        <v>56</v>
      </c>
      <c r="H130" s="1" t="s">
        <v>54</v>
      </c>
      <c r="I130" s="1" t="s">
        <v>59</v>
      </c>
      <c r="J130" s="7">
        <v>95701</v>
      </c>
      <c r="K130" s="1">
        <v>817</v>
      </c>
      <c r="L130" s="7">
        <v>5722</v>
      </c>
      <c r="M130" s="1">
        <v>24</v>
      </c>
      <c r="N130" s="6">
        <v>5.74E-2</v>
      </c>
      <c r="O130" s="1" t="s">
        <v>37</v>
      </c>
      <c r="P130" s="1" t="s">
        <v>50</v>
      </c>
      <c r="Q130" s="1">
        <v>3</v>
      </c>
      <c r="R130" s="1">
        <v>2</v>
      </c>
      <c r="S130" s="1" t="s">
        <v>33</v>
      </c>
      <c r="T130" s="1" t="s">
        <v>31</v>
      </c>
      <c r="U130" s="1">
        <v>3</v>
      </c>
      <c r="V130" s="1">
        <v>150410</v>
      </c>
      <c r="W130" s="7">
        <v>960.66</v>
      </c>
      <c r="X130" s="1">
        <v>0.6</v>
      </c>
      <c r="Y130" s="4">
        <v>44208</v>
      </c>
      <c r="Z130" s="1" t="s">
        <v>38</v>
      </c>
      <c r="AA130" s="1" t="s">
        <v>33</v>
      </c>
      <c r="AB130" s="36" t="str" cm="1">
        <f t="array" ref="AB130">_xlfn.IFS(K130&gt;650,"LOW",K130&gt;=550,"MEDIUM",K130&lt;550,"HIGH")</f>
        <v>LOW</v>
      </c>
    </row>
    <row r="131" spans="3:28" x14ac:dyDescent="0.3">
      <c r="C131" s="35" t="s">
        <v>3176</v>
      </c>
      <c r="D131" s="1" t="s">
        <v>1200</v>
      </c>
      <c r="E131" s="1">
        <v>24</v>
      </c>
      <c r="F131" s="1" t="s">
        <v>44</v>
      </c>
      <c r="G131" s="1" t="s">
        <v>56</v>
      </c>
      <c r="H131" s="1" t="s">
        <v>61</v>
      </c>
      <c r="I131" s="1" t="s">
        <v>40</v>
      </c>
      <c r="J131" s="7">
        <v>99888</v>
      </c>
      <c r="K131" s="1">
        <v>816</v>
      </c>
      <c r="L131" s="7">
        <v>13812</v>
      </c>
      <c r="M131" s="1">
        <v>48</v>
      </c>
      <c r="N131" s="6">
        <v>0.18340000000000001</v>
      </c>
      <c r="O131" s="1" t="s">
        <v>52</v>
      </c>
      <c r="P131" s="1" t="s">
        <v>30</v>
      </c>
      <c r="Q131" s="1">
        <v>9</v>
      </c>
      <c r="R131" s="1">
        <v>0</v>
      </c>
      <c r="S131" s="1" t="s">
        <v>31</v>
      </c>
      <c r="T131" s="1" t="s">
        <v>31</v>
      </c>
      <c r="U131" s="1">
        <v>1</v>
      </c>
      <c r="V131" s="1">
        <v>138459</v>
      </c>
      <c r="W131" s="7">
        <v>980.64</v>
      </c>
      <c r="X131" s="1">
        <v>0.68</v>
      </c>
      <c r="Y131" s="4">
        <v>45234</v>
      </c>
      <c r="Z131" s="1" t="s">
        <v>32</v>
      </c>
      <c r="AA131" s="1" t="s">
        <v>33</v>
      </c>
      <c r="AB131" s="36" t="str" cm="1">
        <f t="array" ref="AB131">_xlfn.IFS(K131&gt;650,"LOW",K131&gt;=550,"MEDIUM",K131&lt;550,"HIGH")</f>
        <v>LOW</v>
      </c>
    </row>
    <row r="132" spans="3:28" x14ac:dyDescent="0.3">
      <c r="C132" s="35" t="s">
        <v>3295</v>
      </c>
      <c r="D132" s="1" t="s">
        <v>1318</v>
      </c>
      <c r="E132" s="1">
        <v>60</v>
      </c>
      <c r="F132" s="1" t="s">
        <v>44</v>
      </c>
      <c r="G132" s="1" t="s">
        <v>35</v>
      </c>
      <c r="H132" s="1" t="s">
        <v>28</v>
      </c>
      <c r="I132" s="1" t="s">
        <v>59</v>
      </c>
      <c r="J132" s="7">
        <v>62942</v>
      </c>
      <c r="K132" s="1">
        <v>816</v>
      </c>
      <c r="L132" s="7">
        <v>15404</v>
      </c>
      <c r="M132" s="1">
        <v>36</v>
      </c>
      <c r="N132" s="6">
        <v>8.7100000000000011E-2</v>
      </c>
      <c r="O132" s="1" t="s">
        <v>41</v>
      </c>
      <c r="P132" s="1" t="s">
        <v>30</v>
      </c>
      <c r="Q132" s="1">
        <v>24</v>
      </c>
      <c r="R132" s="1">
        <v>3</v>
      </c>
      <c r="S132" s="1" t="s">
        <v>33</v>
      </c>
      <c r="T132" s="1" t="s">
        <v>33</v>
      </c>
      <c r="U132" s="1">
        <v>3</v>
      </c>
      <c r="V132" s="1">
        <v>19305</v>
      </c>
      <c r="W132" s="7">
        <v>1143.25</v>
      </c>
      <c r="X132" s="1">
        <v>0.62</v>
      </c>
      <c r="Y132" s="4">
        <v>45244</v>
      </c>
      <c r="Z132" s="1" t="s">
        <v>32</v>
      </c>
      <c r="AA132" s="1" t="s">
        <v>33</v>
      </c>
      <c r="AB132" s="36" t="str" cm="1">
        <f t="array" ref="AB132">_xlfn.IFS(K132&gt;650,"LOW",K132&gt;=550,"MEDIUM",K132&lt;550,"HIGH")</f>
        <v>LOW</v>
      </c>
    </row>
    <row r="133" spans="3:28" x14ac:dyDescent="0.3">
      <c r="C133" s="35" t="s">
        <v>3373</v>
      </c>
      <c r="D133" s="1" t="s">
        <v>1394</v>
      </c>
      <c r="E133" s="1">
        <v>38</v>
      </c>
      <c r="F133" s="1" t="s">
        <v>26</v>
      </c>
      <c r="G133" s="1" t="s">
        <v>56</v>
      </c>
      <c r="H133" s="1" t="s">
        <v>28</v>
      </c>
      <c r="I133" s="1" t="s">
        <v>29</v>
      </c>
      <c r="J133" s="7">
        <v>37558</v>
      </c>
      <c r="K133" s="1">
        <v>816</v>
      </c>
      <c r="L133" s="7">
        <v>23402</v>
      </c>
      <c r="M133" s="1">
        <v>48</v>
      </c>
      <c r="N133" s="6">
        <v>0.16010000000000002</v>
      </c>
      <c r="O133" s="1" t="s">
        <v>63</v>
      </c>
      <c r="P133" s="1" t="s">
        <v>50</v>
      </c>
      <c r="Q133" s="1">
        <v>17</v>
      </c>
      <c r="R133" s="1">
        <v>1</v>
      </c>
      <c r="S133" s="1" t="s">
        <v>33</v>
      </c>
      <c r="T133" s="1" t="s">
        <v>33</v>
      </c>
      <c r="U133" s="1">
        <v>4</v>
      </c>
      <c r="V133" s="1">
        <v>183821</v>
      </c>
      <c r="W133" s="7">
        <v>1255.02</v>
      </c>
      <c r="X133" s="1">
        <v>0.62</v>
      </c>
      <c r="Y133" s="4">
        <v>44279</v>
      </c>
      <c r="Z133" s="1" t="s">
        <v>32</v>
      </c>
      <c r="AA133" s="1" t="s">
        <v>33</v>
      </c>
      <c r="AB133" s="36" t="str" cm="1">
        <f t="array" ref="AB133">_xlfn.IFS(K133&gt;650,"LOW",K133&gt;=550,"MEDIUM",K133&lt;550,"HIGH")</f>
        <v>LOW</v>
      </c>
    </row>
    <row r="134" spans="3:28" x14ac:dyDescent="0.3">
      <c r="C134" s="35" t="s">
        <v>3752</v>
      </c>
      <c r="D134" s="1" t="s">
        <v>1760</v>
      </c>
      <c r="E134" s="1">
        <v>30</v>
      </c>
      <c r="F134" s="1" t="s">
        <v>26</v>
      </c>
      <c r="G134" s="1" t="s">
        <v>27</v>
      </c>
      <c r="H134" s="1" t="s">
        <v>36</v>
      </c>
      <c r="I134" s="1" t="s">
        <v>57</v>
      </c>
      <c r="J134" s="7">
        <v>40719</v>
      </c>
      <c r="K134" s="1">
        <v>816</v>
      </c>
      <c r="L134" s="7">
        <v>14973</v>
      </c>
      <c r="M134" s="1">
        <v>36</v>
      </c>
      <c r="N134" s="6">
        <v>0.13500000000000001</v>
      </c>
      <c r="O134" s="1" t="s">
        <v>37</v>
      </c>
      <c r="P134" s="1" t="s">
        <v>30</v>
      </c>
      <c r="Q134" s="1">
        <v>15</v>
      </c>
      <c r="R134" s="1">
        <v>3</v>
      </c>
      <c r="S134" s="1" t="s">
        <v>31</v>
      </c>
      <c r="T134" s="1" t="s">
        <v>33</v>
      </c>
      <c r="U134" s="1">
        <v>0</v>
      </c>
      <c r="V134" s="1">
        <v>33089</v>
      </c>
      <c r="W134" s="7">
        <v>422.1</v>
      </c>
      <c r="X134" s="1">
        <v>0.55000000000000004</v>
      </c>
      <c r="Y134" s="4">
        <v>45073</v>
      </c>
      <c r="Z134" s="1" t="s">
        <v>38</v>
      </c>
      <c r="AA134" s="1" t="s">
        <v>33</v>
      </c>
      <c r="AB134" s="36" t="str" cm="1">
        <f t="array" ref="AB134">_xlfn.IFS(K134&gt;650,"LOW",K134&gt;=550,"MEDIUM",K134&lt;550,"HIGH")</f>
        <v>LOW</v>
      </c>
    </row>
    <row r="135" spans="3:28" x14ac:dyDescent="0.3">
      <c r="C135" s="35" t="s">
        <v>2478</v>
      </c>
      <c r="D135" s="1" t="s">
        <v>508</v>
      </c>
      <c r="E135" s="1">
        <v>21</v>
      </c>
      <c r="F135" s="1" t="s">
        <v>44</v>
      </c>
      <c r="G135" s="1" t="s">
        <v>35</v>
      </c>
      <c r="H135" s="1" t="s">
        <v>61</v>
      </c>
      <c r="I135" s="1" t="s">
        <v>57</v>
      </c>
      <c r="J135" s="7">
        <v>42398</v>
      </c>
      <c r="K135" s="1">
        <v>815</v>
      </c>
      <c r="L135" s="7">
        <v>26279</v>
      </c>
      <c r="M135" s="1">
        <v>24</v>
      </c>
      <c r="N135" s="6">
        <v>0.1152</v>
      </c>
      <c r="O135" s="1" t="s">
        <v>52</v>
      </c>
      <c r="P135" s="1" t="s">
        <v>47</v>
      </c>
      <c r="Q135" s="1">
        <v>9</v>
      </c>
      <c r="R135" s="1">
        <v>3</v>
      </c>
      <c r="S135" s="1" t="s">
        <v>33</v>
      </c>
      <c r="T135" s="1" t="s">
        <v>31</v>
      </c>
      <c r="U135" s="1">
        <v>3</v>
      </c>
      <c r="V135" s="1">
        <v>140631</v>
      </c>
      <c r="W135" s="7">
        <v>1856.22</v>
      </c>
      <c r="X135" s="1">
        <v>0.4</v>
      </c>
      <c r="Y135" s="4">
        <v>44168</v>
      </c>
      <c r="Z135" s="1" t="s">
        <v>38</v>
      </c>
      <c r="AA135" s="1" t="s">
        <v>33</v>
      </c>
      <c r="AB135" s="36" t="str" cm="1">
        <f t="array" ref="AB135">_xlfn.IFS(K135&gt;650,"LOW",K135&gt;=550,"MEDIUM",K135&lt;550,"HIGH")</f>
        <v>LOW</v>
      </c>
    </row>
    <row r="136" spans="3:28" x14ac:dyDescent="0.3">
      <c r="C136" s="35" t="s">
        <v>2826</v>
      </c>
      <c r="D136" s="1" t="s">
        <v>854</v>
      </c>
      <c r="E136" s="1">
        <v>46</v>
      </c>
      <c r="F136" s="1" t="s">
        <v>26</v>
      </c>
      <c r="G136" s="1" t="s">
        <v>35</v>
      </c>
      <c r="H136" s="1" t="s">
        <v>36</v>
      </c>
      <c r="I136" s="1" t="s">
        <v>59</v>
      </c>
      <c r="J136" s="7">
        <v>85472</v>
      </c>
      <c r="K136" s="1">
        <v>815</v>
      </c>
      <c r="L136" s="7">
        <v>25251</v>
      </c>
      <c r="M136" s="1">
        <v>36</v>
      </c>
      <c r="N136" s="6">
        <v>0.18590000000000001</v>
      </c>
      <c r="O136" s="1" t="s">
        <v>52</v>
      </c>
      <c r="P136" s="1" t="s">
        <v>50</v>
      </c>
      <c r="Q136" s="1">
        <v>12</v>
      </c>
      <c r="R136" s="1">
        <v>2</v>
      </c>
      <c r="S136" s="1" t="s">
        <v>33</v>
      </c>
      <c r="T136" s="1" t="s">
        <v>33</v>
      </c>
      <c r="U136" s="1">
        <v>3</v>
      </c>
      <c r="V136" s="1">
        <v>113612</v>
      </c>
      <c r="W136" s="7">
        <v>1830.89</v>
      </c>
      <c r="X136" s="1">
        <v>0.47</v>
      </c>
      <c r="Y136" s="4">
        <v>45543</v>
      </c>
      <c r="Z136" s="1" t="s">
        <v>38</v>
      </c>
      <c r="AA136" s="1" t="s">
        <v>33</v>
      </c>
      <c r="AB136" s="36" t="str" cm="1">
        <f t="array" ref="AB136">_xlfn.IFS(K136&gt;650,"LOW",K136&gt;=550,"MEDIUM",K136&lt;550,"HIGH")</f>
        <v>LOW</v>
      </c>
    </row>
    <row r="137" spans="3:28" x14ac:dyDescent="0.3">
      <c r="C137" s="35" t="s">
        <v>3682</v>
      </c>
      <c r="D137" s="1" t="s">
        <v>1694</v>
      </c>
      <c r="E137" s="1">
        <v>35</v>
      </c>
      <c r="F137" s="1" t="s">
        <v>26</v>
      </c>
      <c r="G137" s="1" t="s">
        <v>35</v>
      </c>
      <c r="H137" s="1" t="s">
        <v>36</v>
      </c>
      <c r="I137" s="1" t="s">
        <v>59</v>
      </c>
      <c r="J137" s="7">
        <v>31017</v>
      </c>
      <c r="K137" s="1">
        <v>815</v>
      </c>
      <c r="L137" s="7">
        <v>46211</v>
      </c>
      <c r="M137" s="1">
        <v>60</v>
      </c>
      <c r="N137" s="6">
        <v>7.6200000000000004E-2</v>
      </c>
      <c r="O137" s="1" t="s">
        <v>63</v>
      </c>
      <c r="P137" s="1" t="s">
        <v>47</v>
      </c>
      <c r="Q137" s="1">
        <v>7</v>
      </c>
      <c r="R137" s="1">
        <v>4</v>
      </c>
      <c r="S137" s="1" t="s">
        <v>33</v>
      </c>
      <c r="T137" s="1" t="s">
        <v>31</v>
      </c>
      <c r="U137" s="1">
        <v>4</v>
      </c>
      <c r="V137" s="1">
        <v>35084</v>
      </c>
      <c r="W137" s="7">
        <v>424.78</v>
      </c>
      <c r="X137" s="1">
        <v>0.52</v>
      </c>
      <c r="Y137" s="4">
        <v>45519</v>
      </c>
      <c r="Z137" s="1" t="s">
        <v>32</v>
      </c>
      <c r="AA137" s="1" t="s">
        <v>33</v>
      </c>
      <c r="AB137" s="36" t="str" cm="1">
        <f t="array" ref="AB137">_xlfn.IFS(K137&gt;650,"LOW",K137&gt;=550,"MEDIUM",K137&lt;550,"HIGH")</f>
        <v>LOW</v>
      </c>
    </row>
    <row r="138" spans="3:28" x14ac:dyDescent="0.3">
      <c r="C138" s="35" t="s">
        <v>3395</v>
      </c>
      <c r="D138" s="1" t="s">
        <v>1415</v>
      </c>
      <c r="E138" s="1">
        <v>43</v>
      </c>
      <c r="F138" s="1" t="s">
        <v>26</v>
      </c>
      <c r="G138" s="1" t="s">
        <v>35</v>
      </c>
      <c r="H138" s="1" t="s">
        <v>54</v>
      </c>
      <c r="I138" s="1" t="s">
        <v>40</v>
      </c>
      <c r="J138" s="7">
        <v>21541</v>
      </c>
      <c r="K138" s="1">
        <v>814</v>
      </c>
      <c r="L138" s="7">
        <v>26669</v>
      </c>
      <c r="M138" s="1">
        <v>60</v>
      </c>
      <c r="N138" s="6">
        <v>0.12710000000000002</v>
      </c>
      <c r="O138" s="1" t="s">
        <v>41</v>
      </c>
      <c r="P138" s="1" t="s">
        <v>30</v>
      </c>
      <c r="Q138" s="1">
        <v>11</v>
      </c>
      <c r="R138" s="1">
        <v>2</v>
      </c>
      <c r="S138" s="1" t="s">
        <v>31</v>
      </c>
      <c r="T138" s="1" t="s">
        <v>31</v>
      </c>
      <c r="U138" s="1">
        <v>2</v>
      </c>
      <c r="V138" s="1">
        <v>165566</v>
      </c>
      <c r="W138" s="7">
        <v>1383.52</v>
      </c>
      <c r="X138" s="1">
        <v>0.67</v>
      </c>
      <c r="Y138" s="4">
        <v>45008</v>
      </c>
      <c r="Z138" s="1" t="s">
        <v>38</v>
      </c>
      <c r="AA138" s="1" t="s">
        <v>31</v>
      </c>
      <c r="AB138" s="36" t="str" cm="1">
        <f t="array" ref="AB138">_xlfn.IFS(K138&gt;650,"LOW",K138&gt;=550,"MEDIUM",K138&lt;550,"HIGH")</f>
        <v>LOW</v>
      </c>
    </row>
    <row r="139" spans="3:28" x14ac:dyDescent="0.3">
      <c r="C139" s="35" t="s">
        <v>2091</v>
      </c>
      <c r="D139" s="1" t="s">
        <v>122</v>
      </c>
      <c r="E139" s="1">
        <v>51</v>
      </c>
      <c r="F139" s="1" t="s">
        <v>26</v>
      </c>
      <c r="G139" s="1" t="s">
        <v>27</v>
      </c>
      <c r="H139" s="1" t="s">
        <v>28</v>
      </c>
      <c r="I139" s="1" t="s">
        <v>57</v>
      </c>
      <c r="J139" s="7">
        <v>143973</v>
      </c>
      <c r="K139" s="1">
        <v>813</v>
      </c>
      <c r="L139" s="7">
        <v>15683</v>
      </c>
      <c r="M139" s="1">
        <v>48</v>
      </c>
      <c r="N139" s="6">
        <v>0.1472</v>
      </c>
      <c r="O139" s="1" t="s">
        <v>37</v>
      </c>
      <c r="P139" s="1" t="s">
        <v>47</v>
      </c>
      <c r="Q139" s="1">
        <v>20</v>
      </c>
      <c r="R139" s="1">
        <v>2</v>
      </c>
      <c r="S139" s="1" t="s">
        <v>33</v>
      </c>
      <c r="T139" s="1" t="s">
        <v>33</v>
      </c>
      <c r="U139" s="1">
        <v>3</v>
      </c>
      <c r="V139" s="1">
        <v>66139</v>
      </c>
      <c r="W139" s="7">
        <v>213.99</v>
      </c>
      <c r="X139" s="1">
        <v>0.99</v>
      </c>
      <c r="Y139" s="4">
        <v>44654</v>
      </c>
      <c r="Z139" s="1" t="s">
        <v>32</v>
      </c>
      <c r="AA139" s="1" t="s">
        <v>33</v>
      </c>
      <c r="AB139" s="36" t="str" cm="1">
        <f t="array" ref="AB139">_xlfn.IFS(K139&gt;650,"LOW",K139&gt;=550,"MEDIUM",K139&lt;550,"HIGH")</f>
        <v>LOW</v>
      </c>
    </row>
    <row r="140" spans="3:28" x14ac:dyDescent="0.3">
      <c r="C140" s="35" t="s">
        <v>2187</v>
      </c>
      <c r="D140" s="1" t="s">
        <v>218</v>
      </c>
      <c r="E140" s="1">
        <v>59</v>
      </c>
      <c r="F140" s="1" t="s">
        <v>44</v>
      </c>
      <c r="G140" s="1" t="s">
        <v>45</v>
      </c>
      <c r="H140" s="1" t="s">
        <v>36</v>
      </c>
      <c r="I140" s="1" t="s">
        <v>29</v>
      </c>
      <c r="J140" s="7">
        <v>97852</v>
      </c>
      <c r="K140" s="1">
        <v>813</v>
      </c>
      <c r="L140" s="7">
        <v>32127</v>
      </c>
      <c r="M140" s="1">
        <v>12</v>
      </c>
      <c r="N140" s="6">
        <v>0.15679999999999999</v>
      </c>
      <c r="O140" s="1" t="s">
        <v>41</v>
      </c>
      <c r="P140" s="1" t="s">
        <v>47</v>
      </c>
      <c r="Q140" s="1">
        <v>21</v>
      </c>
      <c r="R140" s="1">
        <v>1</v>
      </c>
      <c r="S140" s="1" t="s">
        <v>33</v>
      </c>
      <c r="T140" s="1" t="s">
        <v>31</v>
      </c>
      <c r="U140" s="1">
        <v>3</v>
      </c>
      <c r="V140" s="1">
        <v>34173</v>
      </c>
      <c r="W140" s="7">
        <v>335.76</v>
      </c>
      <c r="X140" s="1">
        <v>0.43</v>
      </c>
      <c r="Y140" s="4">
        <v>44763</v>
      </c>
      <c r="Z140" s="1" t="s">
        <v>32</v>
      </c>
      <c r="AA140" s="1" t="s">
        <v>33</v>
      </c>
      <c r="AB140" s="36" t="str" cm="1">
        <f t="array" ref="AB140">_xlfn.IFS(K140&gt;650,"LOW",K140&gt;=550,"MEDIUM",K140&lt;550,"HIGH")</f>
        <v>LOW</v>
      </c>
    </row>
    <row r="141" spans="3:28" x14ac:dyDescent="0.3">
      <c r="C141" s="35" t="s">
        <v>3606</v>
      </c>
      <c r="D141" s="1" t="s">
        <v>1620</v>
      </c>
      <c r="E141" s="1">
        <v>30</v>
      </c>
      <c r="F141" s="1" t="s">
        <v>26</v>
      </c>
      <c r="G141" s="1" t="s">
        <v>35</v>
      </c>
      <c r="H141" s="1" t="s">
        <v>36</v>
      </c>
      <c r="I141" s="1" t="s">
        <v>57</v>
      </c>
      <c r="J141" s="7">
        <v>135436</v>
      </c>
      <c r="K141" s="1">
        <v>813</v>
      </c>
      <c r="L141" s="7">
        <v>12826</v>
      </c>
      <c r="M141" s="1">
        <v>60</v>
      </c>
      <c r="N141" s="6">
        <v>0.1918</v>
      </c>
      <c r="O141" s="1" t="s">
        <v>46</v>
      </c>
      <c r="P141" s="1" t="s">
        <v>47</v>
      </c>
      <c r="Q141" s="1">
        <v>29</v>
      </c>
      <c r="R141" s="1">
        <v>1</v>
      </c>
      <c r="S141" s="1" t="s">
        <v>33</v>
      </c>
      <c r="T141" s="1" t="s">
        <v>33</v>
      </c>
      <c r="U141" s="1">
        <v>3</v>
      </c>
      <c r="V141" s="1">
        <v>188366</v>
      </c>
      <c r="W141" s="7">
        <v>655.45</v>
      </c>
      <c r="X141" s="1">
        <v>0.8</v>
      </c>
      <c r="Y141" s="4">
        <v>44815</v>
      </c>
      <c r="Z141" s="1" t="s">
        <v>38</v>
      </c>
      <c r="AA141" s="1" t="s">
        <v>31</v>
      </c>
      <c r="AB141" s="36" t="str" cm="1">
        <f t="array" ref="AB141">_xlfn.IFS(K141&gt;650,"LOW",K141&gt;=550,"MEDIUM",K141&lt;550,"HIGH")</f>
        <v>LOW</v>
      </c>
    </row>
    <row r="142" spans="3:28" x14ac:dyDescent="0.3">
      <c r="C142" s="35" t="s">
        <v>3623</v>
      </c>
      <c r="D142" s="1" t="s">
        <v>1635</v>
      </c>
      <c r="E142" s="1">
        <v>32</v>
      </c>
      <c r="F142" s="1" t="s">
        <v>44</v>
      </c>
      <c r="G142" s="1" t="s">
        <v>27</v>
      </c>
      <c r="H142" s="1" t="s">
        <v>54</v>
      </c>
      <c r="I142" s="1" t="s">
        <v>57</v>
      </c>
      <c r="J142" s="7">
        <v>44161</v>
      </c>
      <c r="K142" s="1">
        <v>813</v>
      </c>
      <c r="L142" s="7">
        <v>6079</v>
      </c>
      <c r="M142" s="1">
        <v>12</v>
      </c>
      <c r="N142" s="6">
        <v>0.185</v>
      </c>
      <c r="O142" s="1" t="s">
        <v>46</v>
      </c>
      <c r="P142" s="1" t="s">
        <v>50</v>
      </c>
      <c r="Q142" s="1">
        <v>7</v>
      </c>
      <c r="R142" s="1">
        <v>2</v>
      </c>
      <c r="S142" s="1" t="s">
        <v>33</v>
      </c>
      <c r="T142" s="1" t="s">
        <v>31</v>
      </c>
      <c r="U142" s="1">
        <v>0</v>
      </c>
      <c r="V142" s="1">
        <v>82386</v>
      </c>
      <c r="W142" s="7">
        <v>1582.43</v>
      </c>
      <c r="X142" s="1">
        <v>0.86</v>
      </c>
      <c r="Y142" s="4">
        <v>45336</v>
      </c>
      <c r="Z142" s="1" t="s">
        <v>38</v>
      </c>
      <c r="AA142" s="1" t="s">
        <v>33</v>
      </c>
      <c r="AB142" s="36" t="str" cm="1">
        <f t="array" ref="AB142">_xlfn.IFS(K142&gt;650,"LOW",K142&gt;=550,"MEDIUM",K142&lt;550,"HIGH")</f>
        <v>LOW</v>
      </c>
    </row>
    <row r="143" spans="3:28" x14ac:dyDescent="0.3">
      <c r="C143" s="35" t="s">
        <v>2337</v>
      </c>
      <c r="D143" s="1" t="s">
        <v>368</v>
      </c>
      <c r="E143" s="1">
        <v>55</v>
      </c>
      <c r="F143" s="1" t="s">
        <v>44</v>
      </c>
      <c r="G143" s="1" t="s">
        <v>56</v>
      </c>
      <c r="H143" s="1" t="s">
        <v>61</v>
      </c>
      <c r="I143" s="1" t="s">
        <v>29</v>
      </c>
      <c r="J143" s="7">
        <v>122811</v>
      </c>
      <c r="K143" s="1">
        <v>812</v>
      </c>
      <c r="L143" s="7">
        <v>9851</v>
      </c>
      <c r="M143" s="1">
        <v>12</v>
      </c>
      <c r="N143" s="6">
        <v>0.1202</v>
      </c>
      <c r="O143" s="1" t="s">
        <v>63</v>
      </c>
      <c r="P143" s="1" t="s">
        <v>30</v>
      </c>
      <c r="Q143" s="1">
        <v>27</v>
      </c>
      <c r="R143" s="1">
        <v>3</v>
      </c>
      <c r="S143" s="1" t="s">
        <v>33</v>
      </c>
      <c r="T143" s="1" t="s">
        <v>33</v>
      </c>
      <c r="U143" s="1">
        <v>0</v>
      </c>
      <c r="V143" s="1">
        <v>58271</v>
      </c>
      <c r="W143" s="7">
        <v>947.32</v>
      </c>
      <c r="X143" s="1">
        <v>0.67</v>
      </c>
      <c r="Y143" s="4">
        <v>45717</v>
      </c>
      <c r="Z143" s="1" t="s">
        <v>38</v>
      </c>
      <c r="AA143" s="1" t="s">
        <v>33</v>
      </c>
      <c r="AB143" s="36" t="str" cm="1">
        <f t="array" ref="AB143">_xlfn.IFS(K143&gt;650,"LOW",K143&gt;=550,"MEDIUM",K143&lt;550,"HIGH")</f>
        <v>LOW</v>
      </c>
    </row>
    <row r="144" spans="3:28" x14ac:dyDescent="0.3">
      <c r="C144" s="35" t="s">
        <v>3008</v>
      </c>
      <c r="D144" s="1" t="s">
        <v>1035</v>
      </c>
      <c r="E144" s="1">
        <v>58</v>
      </c>
      <c r="F144" s="1" t="s">
        <v>26</v>
      </c>
      <c r="G144" s="1" t="s">
        <v>35</v>
      </c>
      <c r="H144" s="1" t="s">
        <v>61</v>
      </c>
      <c r="I144" s="1" t="s">
        <v>40</v>
      </c>
      <c r="J144" s="7">
        <v>148346</v>
      </c>
      <c r="K144" s="1">
        <v>812</v>
      </c>
      <c r="L144" s="7">
        <v>42406</v>
      </c>
      <c r="M144" s="1">
        <v>48</v>
      </c>
      <c r="N144" s="6">
        <v>0.19269999999999998</v>
      </c>
      <c r="O144" s="1" t="s">
        <v>5</v>
      </c>
      <c r="P144" s="1" t="s">
        <v>50</v>
      </c>
      <c r="Q144" s="1">
        <v>3</v>
      </c>
      <c r="R144" s="1">
        <v>1</v>
      </c>
      <c r="S144" s="1" t="s">
        <v>31</v>
      </c>
      <c r="T144" s="1" t="s">
        <v>31</v>
      </c>
      <c r="U144" s="1">
        <v>1</v>
      </c>
      <c r="V144" s="1">
        <v>150164</v>
      </c>
      <c r="W144" s="7">
        <v>1171.42</v>
      </c>
      <c r="X144" s="1">
        <v>0.54</v>
      </c>
      <c r="Y144" s="4">
        <v>44932</v>
      </c>
      <c r="Z144" s="1" t="s">
        <v>38</v>
      </c>
      <c r="AA144" s="1" t="s">
        <v>33</v>
      </c>
      <c r="AB144" s="36" t="str" cm="1">
        <f t="array" ref="AB144">_xlfn.IFS(K144&gt;650,"LOW",K144&gt;=550,"MEDIUM",K144&lt;550,"HIGH")</f>
        <v>LOW</v>
      </c>
    </row>
    <row r="145" spans="3:28" x14ac:dyDescent="0.3">
      <c r="C145" s="35" t="s">
        <v>3173</v>
      </c>
      <c r="D145" s="1" t="s">
        <v>1197</v>
      </c>
      <c r="E145" s="1">
        <v>48</v>
      </c>
      <c r="F145" s="1" t="s">
        <v>44</v>
      </c>
      <c r="G145" s="1" t="s">
        <v>45</v>
      </c>
      <c r="H145" s="1" t="s">
        <v>61</v>
      </c>
      <c r="I145" s="1" t="s">
        <v>57</v>
      </c>
      <c r="J145" s="7">
        <v>21951</v>
      </c>
      <c r="K145" s="1">
        <v>812</v>
      </c>
      <c r="L145" s="7">
        <v>31013</v>
      </c>
      <c r="M145" s="1">
        <v>12</v>
      </c>
      <c r="N145" s="6">
        <v>0.13059999999999999</v>
      </c>
      <c r="O145" s="1" t="s">
        <v>52</v>
      </c>
      <c r="P145" s="1" t="s">
        <v>47</v>
      </c>
      <c r="Q145" s="1">
        <v>2</v>
      </c>
      <c r="R145" s="1">
        <v>4</v>
      </c>
      <c r="S145" s="1" t="s">
        <v>31</v>
      </c>
      <c r="T145" s="1" t="s">
        <v>33</v>
      </c>
      <c r="U145" s="1">
        <v>0</v>
      </c>
      <c r="V145" s="1">
        <v>62372</v>
      </c>
      <c r="W145" s="7">
        <v>534.39</v>
      </c>
      <c r="X145" s="1">
        <v>0.91</v>
      </c>
      <c r="Y145" s="4">
        <v>44740</v>
      </c>
      <c r="Z145" s="1" t="s">
        <v>38</v>
      </c>
      <c r="AA145" s="1" t="s">
        <v>33</v>
      </c>
      <c r="AB145" s="36" t="str" cm="1">
        <f t="array" ref="AB145">_xlfn.IFS(K145&gt;650,"LOW",K145&gt;=550,"MEDIUM",K145&lt;550,"HIGH")</f>
        <v>LOW</v>
      </c>
    </row>
    <row r="146" spans="3:28" x14ac:dyDescent="0.3">
      <c r="C146" s="35" t="s">
        <v>3831</v>
      </c>
      <c r="D146" s="1" t="s">
        <v>1837</v>
      </c>
      <c r="E146" s="1">
        <v>27</v>
      </c>
      <c r="F146" s="1" t="s">
        <v>26</v>
      </c>
      <c r="G146" s="1" t="s">
        <v>27</v>
      </c>
      <c r="H146" s="1" t="s">
        <v>36</v>
      </c>
      <c r="I146" s="1" t="s">
        <v>29</v>
      </c>
      <c r="J146" s="7">
        <v>142735</v>
      </c>
      <c r="K146" s="1">
        <v>812</v>
      </c>
      <c r="L146" s="7">
        <v>28002</v>
      </c>
      <c r="M146" s="1">
        <v>24</v>
      </c>
      <c r="N146" s="6">
        <v>6.2199999999999998E-2</v>
      </c>
      <c r="O146" s="1" t="s">
        <v>63</v>
      </c>
      <c r="P146" s="1" t="s">
        <v>50</v>
      </c>
      <c r="Q146" s="1">
        <v>25</v>
      </c>
      <c r="R146" s="1">
        <v>0</v>
      </c>
      <c r="S146" s="1" t="s">
        <v>33</v>
      </c>
      <c r="T146" s="1" t="s">
        <v>31</v>
      </c>
      <c r="U146" s="1">
        <v>3</v>
      </c>
      <c r="V146" s="1">
        <v>92464</v>
      </c>
      <c r="W146" s="7">
        <v>1044.4100000000001</v>
      </c>
      <c r="X146" s="1">
        <v>0.99</v>
      </c>
      <c r="Y146" s="4">
        <v>44230</v>
      </c>
      <c r="Z146" s="1" t="s">
        <v>32</v>
      </c>
      <c r="AA146" s="1" t="s">
        <v>33</v>
      </c>
      <c r="AB146" s="36" t="str" cm="1">
        <f t="array" ref="AB146">_xlfn.IFS(K146&gt;650,"LOW",K146&gt;=550,"MEDIUM",K146&lt;550,"HIGH")</f>
        <v>LOW</v>
      </c>
    </row>
    <row r="147" spans="3:28" x14ac:dyDescent="0.3">
      <c r="C147" s="35" t="s">
        <v>3079</v>
      </c>
      <c r="D147" s="1" t="s">
        <v>1105</v>
      </c>
      <c r="E147" s="1">
        <v>46</v>
      </c>
      <c r="F147" s="1" t="s">
        <v>26</v>
      </c>
      <c r="G147" s="1" t="s">
        <v>35</v>
      </c>
      <c r="H147" s="1" t="s">
        <v>28</v>
      </c>
      <c r="I147" s="1" t="s">
        <v>29</v>
      </c>
      <c r="J147" s="7">
        <v>114276</v>
      </c>
      <c r="K147" s="1">
        <v>811</v>
      </c>
      <c r="L147" s="7">
        <v>8470</v>
      </c>
      <c r="M147" s="1">
        <v>48</v>
      </c>
      <c r="N147" s="6">
        <v>7.3099999999999998E-2</v>
      </c>
      <c r="O147" s="1" t="s">
        <v>52</v>
      </c>
      <c r="P147" s="1" t="s">
        <v>47</v>
      </c>
      <c r="Q147" s="1">
        <v>3</v>
      </c>
      <c r="R147" s="1">
        <v>1</v>
      </c>
      <c r="S147" s="1" t="s">
        <v>31</v>
      </c>
      <c r="T147" s="1" t="s">
        <v>31</v>
      </c>
      <c r="U147" s="1">
        <v>2</v>
      </c>
      <c r="V147" s="1">
        <v>140417</v>
      </c>
      <c r="W147" s="7">
        <v>1177.1600000000001</v>
      </c>
      <c r="X147" s="1">
        <v>0.75</v>
      </c>
      <c r="Y147" s="4">
        <v>44657</v>
      </c>
      <c r="Z147" s="1" t="s">
        <v>38</v>
      </c>
      <c r="AA147" s="1" t="s">
        <v>33</v>
      </c>
      <c r="AB147" s="36" t="str" cm="1">
        <f t="array" ref="AB147">_xlfn.IFS(K147&gt;650,"LOW",K147&gt;=550,"MEDIUM",K147&lt;550,"HIGH")</f>
        <v>LOW</v>
      </c>
    </row>
    <row r="148" spans="3:28" x14ac:dyDescent="0.3">
      <c r="C148" s="35" t="s">
        <v>3110</v>
      </c>
      <c r="D148" s="1" t="s">
        <v>1135</v>
      </c>
      <c r="E148" s="1">
        <v>43</v>
      </c>
      <c r="F148" s="1" t="s">
        <v>44</v>
      </c>
      <c r="G148" s="1" t="s">
        <v>45</v>
      </c>
      <c r="H148" s="1" t="s">
        <v>36</v>
      </c>
      <c r="I148" s="1" t="s">
        <v>57</v>
      </c>
      <c r="J148" s="7">
        <v>30929</v>
      </c>
      <c r="K148" s="1">
        <v>811</v>
      </c>
      <c r="L148" s="7">
        <v>36577</v>
      </c>
      <c r="M148" s="1">
        <v>12</v>
      </c>
      <c r="N148" s="6">
        <v>0.1517</v>
      </c>
      <c r="O148" s="1" t="s">
        <v>46</v>
      </c>
      <c r="P148" s="1" t="s">
        <v>30</v>
      </c>
      <c r="Q148" s="1">
        <v>16</v>
      </c>
      <c r="R148" s="1">
        <v>3</v>
      </c>
      <c r="S148" s="1" t="s">
        <v>31</v>
      </c>
      <c r="T148" s="1" t="s">
        <v>33</v>
      </c>
      <c r="U148" s="1">
        <v>2</v>
      </c>
      <c r="V148" s="1">
        <v>62118</v>
      </c>
      <c r="W148" s="7">
        <v>524.07000000000005</v>
      </c>
      <c r="X148" s="1">
        <v>0.71</v>
      </c>
      <c r="Y148" s="4">
        <v>45321</v>
      </c>
      <c r="Z148" s="1" t="s">
        <v>32</v>
      </c>
      <c r="AA148" s="1" t="s">
        <v>33</v>
      </c>
      <c r="AB148" s="36" t="str" cm="1">
        <f t="array" ref="AB148">_xlfn.IFS(K148&gt;650,"LOW",K148&gt;=550,"MEDIUM",K148&lt;550,"HIGH")</f>
        <v>LOW</v>
      </c>
    </row>
    <row r="149" spans="3:28" x14ac:dyDescent="0.3">
      <c r="C149" s="35" t="s">
        <v>2602</v>
      </c>
      <c r="D149" s="1" t="s">
        <v>632</v>
      </c>
      <c r="E149" s="1">
        <v>57</v>
      </c>
      <c r="F149" s="1" t="s">
        <v>44</v>
      </c>
      <c r="G149" s="1" t="s">
        <v>27</v>
      </c>
      <c r="H149" s="1" t="s">
        <v>36</v>
      </c>
      <c r="I149" s="1" t="s">
        <v>29</v>
      </c>
      <c r="J149" s="7">
        <v>92069</v>
      </c>
      <c r="K149" s="1">
        <v>810</v>
      </c>
      <c r="L149" s="7">
        <v>44625</v>
      </c>
      <c r="M149" s="1">
        <v>48</v>
      </c>
      <c r="N149" s="6">
        <v>0.13200000000000001</v>
      </c>
      <c r="O149" s="1" t="s">
        <v>41</v>
      </c>
      <c r="P149" s="1" t="s">
        <v>47</v>
      </c>
      <c r="Q149" s="1">
        <v>22</v>
      </c>
      <c r="R149" s="1">
        <v>0</v>
      </c>
      <c r="S149" s="1" t="s">
        <v>33</v>
      </c>
      <c r="T149" s="1" t="s">
        <v>33</v>
      </c>
      <c r="U149" s="1">
        <v>0</v>
      </c>
      <c r="V149" s="1">
        <v>121144</v>
      </c>
      <c r="W149" s="7">
        <v>1211.08</v>
      </c>
      <c r="X149" s="1">
        <v>0.67</v>
      </c>
      <c r="Y149" s="4">
        <v>45587</v>
      </c>
      <c r="Z149" s="1" t="s">
        <v>32</v>
      </c>
      <c r="AA149" s="1" t="s">
        <v>33</v>
      </c>
      <c r="AB149" s="36" t="str" cm="1">
        <f t="array" ref="AB149">_xlfn.IFS(K149&gt;650,"LOW",K149&gt;=550,"MEDIUM",K149&lt;550,"HIGH")</f>
        <v>LOW</v>
      </c>
    </row>
    <row r="150" spans="3:28" x14ac:dyDescent="0.3">
      <c r="C150" s="35" t="s">
        <v>3243</v>
      </c>
      <c r="D150" s="1" t="s">
        <v>1267</v>
      </c>
      <c r="E150" s="1">
        <v>50</v>
      </c>
      <c r="F150" s="1" t="s">
        <v>26</v>
      </c>
      <c r="G150" s="1" t="s">
        <v>56</v>
      </c>
      <c r="H150" s="1" t="s">
        <v>54</v>
      </c>
      <c r="I150" s="1" t="s">
        <v>40</v>
      </c>
      <c r="J150" s="7">
        <v>126732</v>
      </c>
      <c r="K150" s="1">
        <v>810</v>
      </c>
      <c r="L150" s="7">
        <v>7615</v>
      </c>
      <c r="M150" s="1">
        <v>60</v>
      </c>
      <c r="N150" s="6">
        <v>0.13980000000000001</v>
      </c>
      <c r="O150" s="1" t="s">
        <v>41</v>
      </c>
      <c r="P150" s="1" t="s">
        <v>50</v>
      </c>
      <c r="Q150" s="1">
        <v>6</v>
      </c>
      <c r="R150" s="1">
        <v>1</v>
      </c>
      <c r="S150" s="1" t="s">
        <v>31</v>
      </c>
      <c r="T150" s="1" t="s">
        <v>31</v>
      </c>
      <c r="U150" s="1">
        <v>0</v>
      </c>
      <c r="V150" s="1">
        <v>168443</v>
      </c>
      <c r="W150" s="7">
        <v>122.76</v>
      </c>
      <c r="X150" s="1">
        <v>0.75</v>
      </c>
      <c r="Y150" s="4">
        <v>44265</v>
      </c>
      <c r="Z150" s="1" t="s">
        <v>32</v>
      </c>
      <c r="AA150" s="1" t="s">
        <v>33</v>
      </c>
      <c r="AB150" s="36" t="str" cm="1">
        <f t="array" ref="AB150">_xlfn.IFS(K150&gt;650,"LOW",K150&gt;=550,"MEDIUM",K150&lt;550,"HIGH")</f>
        <v>LOW</v>
      </c>
    </row>
    <row r="151" spans="3:28" x14ac:dyDescent="0.3">
      <c r="C151" s="35" t="s">
        <v>3955</v>
      </c>
      <c r="D151" s="1" t="s">
        <v>1957</v>
      </c>
      <c r="E151" s="1">
        <v>64</v>
      </c>
      <c r="F151" s="1" t="s">
        <v>26</v>
      </c>
      <c r="G151" s="1" t="s">
        <v>45</v>
      </c>
      <c r="H151" s="1" t="s">
        <v>54</v>
      </c>
      <c r="I151" s="1" t="s">
        <v>40</v>
      </c>
      <c r="J151" s="7">
        <v>44485</v>
      </c>
      <c r="K151" s="1">
        <v>810</v>
      </c>
      <c r="L151" s="7">
        <v>20047</v>
      </c>
      <c r="M151" s="1">
        <v>24</v>
      </c>
      <c r="N151" s="6">
        <v>0.1598</v>
      </c>
      <c r="O151" s="1" t="s">
        <v>46</v>
      </c>
      <c r="P151" s="1" t="s">
        <v>47</v>
      </c>
      <c r="Q151" s="1">
        <v>8</v>
      </c>
      <c r="R151" s="1">
        <v>2</v>
      </c>
      <c r="S151" s="1" t="s">
        <v>33</v>
      </c>
      <c r="T151" s="1" t="s">
        <v>33</v>
      </c>
      <c r="U151" s="1">
        <v>0</v>
      </c>
      <c r="V151" s="1">
        <v>40909</v>
      </c>
      <c r="W151" s="7">
        <v>1652.61</v>
      </c>
      <c r="X151" s="1">
        <v>0.12</v>
      </c>
      <c r="Y151" s="4">
        <v>44931</v>
      </c>
      <c r="Z151" s="1" t="s">
        <v>38</v>
      </c>
      <c r="AA151" s="1" t="s">
        <v>33</v>
      </c>
      <c r="AB151" s="36" t="str" cm="1">
        <f t="array" ref="AB151">_xlfn.IFS(K151&gt;650,"LOW",K151&gt;=550,"MEDIUM",K151&lt;550,"HIGH")</f>
        <v>LOW</v>
      </c>
    </row>
    <row r="152" spans="3:28" x14ac:dyDescent="0.3">
      <c r="C152" s="35" t="s">
        <v>2064</v>
      </c>
      <c r="D152" s="1" t="s">
        <v>95</v>
      </c>
      <c r="E152" s="1">
        <v>34</v>
      </c>
      <c r="F152" s="1" t="s">
        <v>44</v>
      </c>
      <c r="G152" s="1" t="s">
        <v>56</v>
      </c>
      <c r="H152" s="1" t="s">
        <v>61</v>
      </c>
      <c r="I152" s="1" t="s">
        <v>40</v>
      </c>
      <c r="J152" s="7">
        <v>71742</v>
      </c>
      <c r="K152" s="1">
        <v>809</v>
      </c>
      <c r="L152" s="7">
        <v>13771</v>
      </c>
      <c r="M152" s="1">
        <v>12</v>
      </c>
      <c r="N152" s="6">
        <v>0.15259999999999999</v>
      </c>
      <c r="O152" s="1" t="s">
        <v>41</v>
      </c>
      <c r="P152" s="1" t="s">
        <v>50</v>
      </c>
      <c r="Q152" s="1">
        <v>12</v>
      </c>
      <c r="R152" s="1">
        <v>2</v>
      </c>
      <c r="S152" s="1" t="s">
        <v>31</v>
      </c>
      <c r="T152" s="1" t="s">
        <v>31</v>
      </c>
      <c r="U152" s="1">
        <v>0</v>
      </c>
      <c r="V152" s="1">
        <v>176148</v>
      </c>
      <c r="W152" s="7">
        <v>1669.49</v>
      </c>
      <c r="X152" s="1">
        <v>0.52</v>
      </c>
      <c r="Y152" s="4">
        <v>44553</v>
      </c>
      <c r="Z152" s="1" t="s">
        <v>38</v>
      </c>
      <c r="AA152" s="1" t="s">
        <v>31</v>
      </c>
      <c r="AB152" s="36" t="str" cm="1">
        <f t="array" ref="AB152">_xlfn.IFS(K152&gt;650,"LOW",K152&gt;=550,"MEDIUM",K152&lt;550,"HIGH")</f>
        <v>LOW</v>
      </c>
    </row>
    <row r="153" spans="3:28" x14ac:dyDescent="0.3">
      <c r="C153" s="35" t="s">
        <v>2520</v>
      </c>
      <c r="D153" s="1" t="s">
        <v>550</v>
      </c>
      <c r="E153" s="1">
        <v>27</v>
      </c>
      <c r="F153" s="1" t="s">
        <v>26</v>
      </c>
      <c r="G153" s="1" t="s">
        <v>35</v>
      </c>
      <c r="H153" s="1" t="s">
        <v>54</v>
      </c>
      <c r="I153" s="1" t="s">
        <v>29</v>
      </c>
      <c r="J153" s="7">
        <v>149457</v>
      </c>
      <c r="K153" s="1">
        <v>809</v>
      </c>
      <c r="L153" s="7">
        <v>13300</v>
      </c>
      <c r="M153" s="1">
        <v>36</v>
      </c>
      <c r="N153" s="6">
        <v>6.7799999999999999E-2</v>
      </c>
      <c r="O153" s="1" t="s">
        <v>52</v>
      </c>
      <c r="P153" s="1" t="s">
        <v>47</v>
      </c>
      <c r="Q153" s="1">
        <v>24</v>
      </c>
      <c r="R153" s="1">
        <v>3</v>
      </c>
      <c r="S153" s="1" t="s">
        <v>31</v>
      </c>
      <c r="T153" s="1" t="s">
        <v>33</v>
      </c>
      <c r="U153" s="1">
        <v>0</v>
      </c>
      <c r="V153" s="1">
        <v>160369</v>
      </c>
      <c r="W153" s="7">
        <v>1487.18</v>
      </c>
      <c r="X153" s="1">
        <v>0.56000000000000005</v>
      </c>
      <c r="Y153" s="4">
        <v>44685</v>
      </c>
      <c r="Z153" s="1" t="s">
        <v>38</v>
      </c>
      <c r="AA153" s="1" t="s">
        <v>33</v>
      </c>
      <c r="AB153" s="36" t="str" cm="1">
        <f t="array" ref="AB153">_xlfn.IFS(K153&gt;650,"LOW",K153&gt;=550,"MEDIUM",K153&lt;550,"HIGH")</f>
        <v>LOW</v>
      </c>
    </row>
    <row r="154" spans="3:28" x14ac:dyDescent="0.3">
      <c r="C154" s="35" t="s">
        <v>2721</v>
      </c>
      <c r="D154" s="1" t="s">
        <v>751</v>
      </c>
      <c r="E154" s="1">
        <v>23</v>
      </c>
      <c r="F154" s="1" t="s">
        <v>26</v>
      </c>
      <c r="G154" s="1" t="s">
        <v>27</v>
      </c>
      <c r="H154" s="1" t="s">
        <v>28</v>
      </c>
      <c r="I154" s="1" t="s">
        <v>57</v>
      </c>
      <c r="J154" s="7">
        <v>91805</v>
      </c>
      <c r="K154" s="1">
        <v>809</v>
      </c>
      <c r="L154" s="7">
        <v>38389</v>
      </c>
      <c r="M154" s="1">
        <v>24</v>
      </c>
      <c r="N154" s="6">
        <v>0.1711</v>
      </c>
      <c r="O154" s="1" t="s">
        <v>37</v>
      </c>
      <c r="P154" s="1" t="s">
        <v>47</v>
      </c>
      <c r="Q154" s="1">
        <v>15</v>
      </c>
      <c r="R154" s="1">
        <v>3</v>
      </c>
      <c r="S154" s="1" t="s">
        <v>31</v>
      </c>
      <c r="T154" s="1" t="s">
        <v>33</v>
      </c>
      <c r="U154" s="1">
        <v>1</v>
      </c>
      <c r="V154" s="1">
        <v>124798</v>
      </c>
      <c r="W154" s="7">
        <v>1532.31</v>
      </c>
      <c r="X154" s="1">
        <v>0.11</v>
      </c>
      <c r="Y154" s="4">
        <v>45215</v>
      </c>
      <c r="Z154" s="1" t="s">
        <v>38</v>
      </c>
      <c r="AA154" s="1" t="s">
        <v>33</v>
      </c>
      <c r="AB154" s="36" t="str" cm="1">
        <f t="array" ref="AB154">_xlfn.IFS(K154&gt;650,"LOW",K154&gt;=550,"MEDIUM",K154&lt;550,"HIGH")</f>
        <v>LOW</v>
      </c>
    </row>
    <row r="155" spans="3:28" x14ac:dyDescent="0.3">
      <c r="C155" s="35" t="s">
        <v>3574</v>
      </c>
      <c r="D155" s="1" t="s">
        <v>1591</v>
      </c>
      <c r="E155" s="1">
        <v>51</v>
      </c>
      <c r="F155" s="1" t="s">
        <v>26</v>
      </c>
      <c r="G155" s="1" t="s">
        <v>45</v>
      </c>
      <c r="H155" s="1" t="s">
        <v>36</v>
      </c>
      <c r="I155" s="1" t="s">
        <v>40</v>
      </c>
      <c r="J155" s="7">
        <v>74703</v>
      </c>
      <c r="K155" s="1">
        <v>809</v>
      </c>
      <c r="L155" s="7">
        <v>4664</v>
      </c>
      <c r="M155" s="1">
        <v>48</v>
      </c>
      <c r="N155" s="6">
        <v>5.9699999999999996E-2</v>
      </c>
      <c r="O155" s="1" t="s">
        <v>37</v>
      </c>
      <c r="P155" s="1" t="s">
        <v>30</v>
      </c>
      <c r="Q155" s="1">
        <v>9</v>
      </c>
      <c r="R155" s="1">
        <v>2</v>
      </c>
      <c r="S155" s="1" t="s">
        <v>31</v>
      </c>
      <c r="T155" s="1" t="s">
        <v>33</v>
      </c>
      <c r="U155" s="1">
        <v>2</v>
      </c>
      <c r="V155" s="1">
        <v>64190</v>
      </c>
      <c r="W155" s="7">
        <v>612.89</v>
      </c>
      <c r="X155" s="1">
        <v>0.92</v>
      </c>
      <c r="Y155" s="4">
        <v>44799</v>
      </c>
      <c r="Z155" s="1" t="s">
        <v>32</v>
      </c>
      <c r="AA155" s="1" t="s">
        <v>33</v>
      </c>
      <c r="AB155" s="36" t="str" cm="1">
        <f t="array" ref="AB155">_xlfn.IFS(K155&gt;650,"LOW",K155&gt;=550,"MEDIUM",K155&lt;550,"HIGH")</f>
        <v>LOW</v>
      </c>
    </row>
    <row r="156" spans="3:28" x14ac:dyDescent="0.3">
      <c r="C156" s="35" t="s">
        <v>2089</v>
      </c>
      <c r="D156" s="1" t="s">
        <v>120</v>
      </c>
      <c r="E156" s="1">
        <v>56</v>
      </c>
      <c r="F156" s="1" t="s">
        <v>26</v>
      </c>
      <c r="G156" s="1" t="s">
        <v>56</v>
      </c>
      <c r="H156" s="1" t="s">
        <v>36</v>
      </c>
      <c r="I156" s="1" t="s">
        <v>57</v>
      </c>
      <c r="J156" s="7">
        <v>74362</v>
      </c>
      <c r="K156" s="1">
        <v>808</v>
      </c>
      <c r="L156" s="7">
        <v>28180</v>
      </c>
      <c r="M156" s="1">
        <v>12</v>
      </c>
      <c r="N156" s="6">
        <v>0.12839999999999999</v>
      </c>
      <c r="O156" s="1" t="s">
        <v>52</v>
      </c>
      <c r="P156" s="1" t="s">
        <v>47</v>
      </c>
      <c r="Q156" s="1">
        <v>20</v>
      </c>
      <c r="R156" s="1">
        <v>4</v>
      </c>
      <c r="S156" s="1" t="s">
        <v>33</v>
      </c>
      <c r="T156" s="1" t="s">
        <v>33</v>
      </c>
      <c r="U156" s="1">
        <v>3</v>
      </c>
      <c r="V156" s="1">
        <v>189692</v>
      </c>
      <c r="W156" s="7">
        <v>938.88</v>
      </c>
      <c r="X156" s="1">
        <v>0.93</v>
      </c>
      <c r="Y156" s="4">
        <v>45120</v>
      </c>
      <c r="Z156" s="1" t="s">
        <v>38</v>
      </c>
      <c r="AA156" s="1" t="s">
        <v>31</v>
      </c>
      <c r="AB156" s="36" t="str" cm="1">
        <f t="array" ref="AB156">_xlfn.IFS(K156&gt;650,"LOW",K156&gt;=550,"MEDIUM",K156&lt;550,"HIGH")</f>
        <v>LOW</v>
      </c>
    </row>
    <row r="157" spans="3:28" x14ac:dyDescent="0.3">
      <c r="C157" s="35" t="s">
        <v>2398</v>
      </c>
      <c r="D157" s="1" t="s">
        <v>428</v>
      </c>
      <c r="E157" s="1">
        <v>52</v>
      </c>
      <c r="F157" s="1" t="s">
        <v>44</v>
      </c>
      <c r="G157" s="1" t="s">
        <v>45</v>
      </c>
      <c r="H157" s="1" t="s">
        <v>61</v>
      </c>
      <c r="I157" s="1" t="s">
        <v>29</v>
      </c>
      <c r="J157" s="7">
        <v>47027</v>
      </c>
      <c r="K157" s="1">
        <v>808</v>
      </c>
      <c r="L157" s="7">
        <v>30739</v>
      </c>
      <c r="M157" s="1">
        <v>24</v>
      </c>
      <c r="N157" s="6">
        <v>0.17249999999999999</v>
      </c>
      <c r="O157" s="1" t="s">
        <v>46</v>
      </c>
      <c r="P157" s="1" t="s">
        <v>50</v>
      </c>
      <c r="Q157" s="1">
        <v>5</v>
      </c>
      <c r="R157" s="1">
        <v>1</v>
      </c>
      <c r="S157" s="1" t="s">
        <v>33</v>
      </c>
      <c r="T157" s="1" t="s">
        <v>33</v>
      </c>
      <c r="U157" s="1">
        <v>1</v>
      </c>
      <c r="V157" s="1">
        <v>197386</v>
      </c>
      <c r="W157" s="7">
        <v>526.02</v>
      </c>
      <c r="X157" s="1">
        <v>0.28999999999999998</v>
      </c>
      <c r="Y157" s="4">
        <v>44523</v>
      </c>
      <c r="Z157" s="1" t="s">
        <v>32</v>
      </c>
      <c r="AA157" s="1" t="s">
        <v>33</v>
      </c>
      <c r="AB157" s="36" t="str" cm="1">
        <f t="array" ref="AB157">_xlfn.IFS(K157&gt;650,"LOW",K157&gt;=550,"MEDIUM",K157&lt;550,"HIGH")</f>
        <v>LOW</v>
      </c>
    </row>
    <row r="158" spans="3:28" x14ac:dyDescent="0.3">
      <c r="C158" s="35" t="s">
        <v>3847</v>
      </c>
      <c r="D158" s="1" t="s">
        <v>1853</v>
      </c>
      <c r="E158" s="1">
        <v>54</v>
      </c>
      <c r="F158" s="1" t="s">
        <v>26</v>
      </c>
      <c r="G158" s="1" t="s">
        <v>35</v>
      </c>
      <c r="H158" s="1" t="s">
        <v>54</v>
      </c>
      <c r="I158" s="1" t="s">
        <v>57</v>
      </c>
      <c r="J158" s="7">
        <v>58931</v>
      </c>
      <c r="K158" s="1">
        <v>808</v>
      </c>
      <c r="L158" s="7">
        <v>35722</v>
      </c>
      <c r="M158" s="1">
        <v>48</v>
      </c>
      <c r="N158" s="6">
        <v>8.2500000000000004E-2</v>
      </c>
      <c r="O158" s="1" t="s">
        <v>46</v>
      </c>
      <c r="P158" s="1" t="s">
        <v>47</v>
      </c>
      <c r="Q158" s="1">
        <v>10</v>
      </c>
      <c r="R158" s="1">
        <v>1</v>
      </c>
      <c r="S158" s="1" t="s">
        <v>33</v>
      </c>
      <c r="T158" s="1" t="s">
        <v>33</v>
      </c>
      <c r="U158" s="1">
        <v>2</v>
      </c>
      <c r="V158" s="1">
        <v>119287</v>
      </c>
      <c r="W158" s="7">
        <v>310.77999999999997</v>
      </c>
      <c r="X158" s="1">
        <v>0.84</v>
      </c>
      <c r="Y158" s="4">
        <v>45507</v>
      </c>
      <c r="Z158" s="1" t="s">
        <v>38</v>
      </c>
      <c r="AA158" s="1" t="s">
        <v>33</v>
      </c>
      <c r="AB158" s="36" t="str" cm="1">
        <f t="array" ref="AB158">_xlfn.IFS(K158&gt;650,"LOW",K158&gt;=550,"MEDIUM",K158&lt;550,"HIGH")</f>
        <v>LOW</v>
      </c>
    </row>
    <row r="159" spans="3:28" x14ac:dyDescent="0.3">
      <c r="C159" s="35" t="s">
        <v>2474</v>
      </c>
      <c r="D159" s="1" t="s">
        <v>504</v>
      </c>
      <c r="E159" s="1">
        <v>51</v>
      </c>
      <c r="F159" s="1" t="s">
        <v>44</v>
      </c>
      <c r="G159" s="1" t="s">
        <v>45</v>
      </c>
      <c r="H159" s="1" t="s">
        <v>54</v>
      </c>
      <c r="I159" s="1" t="s">
        <v>40</v>
      </c>
      <c r="J159" s="7">
        <v>36559</v>
      </c>
      <c r="K159" s="1">
        <v>807</v>
      </c>
      <c r="L159" s="7">
        <v>47008</v>
      </c>
      <c r="M159" s="1">
        <v>24</v>
      </c>
      <c r="N159" s="6">
        <v>0.17649999999999999</v>
      </c>
      <c r="O159" s="1" t="s">
        <v>52</v>
      </c>
      <c r="P159" s="1" t="s">
        <v>50</v>
      </c>
      <c r="Q159" s="1">
        <v>4</v>
      </c>
      <c r="R159" s="1">
        <v>1</v>
      </c>
      <c r="S159" s="1" t="s">
        <v>31</v>
      </c>
      <c r="T159" s="1" t="s">
        <v>31</v>
      </c>
      <c r="U159" s="1">
        <v>4</v>
      </c>
      <c r="V159" s="1">
        <v>6959</v>
      </c>
      <c r="W159" s="7">
        <v>1577.64</v>
      </c>
      <c r="X159" s="1">
        <v>0.25</v>
      </c>
      <c r="Y159" s="4">
        <v>44875</v>
      </c>
      <c r="Z159" s="1" t="s">
        <v>38</v>
      </c>
      <c r="AA159" s="1" t="s">
        <v>33</v>
      </c>
      <c r="AB159" s="36" t="str" cm="1">
        <f t="array" ref="AB159">_xlfn.IFS(K159&gt;650,"LOW",K159&gt;=550,"MEDIUM",K159&lt;550,"HIGH")</f>
        <v>LOW</v>
      </c>
    </row>
    <row r="160" spans="3:28" x14ac:dyDescent="0.3">
      <c r="C160" s="35" t="s">
        <v>3662</v>
      </c>
      <c r="D160" s="1" t="s">
        <v>1674</v>
      </c>
      <c r="E160" s="1">
        <v>34</v>
      </c>
      <c r="F160" s="1" t="s">
        <v>26</v>
      </c>
      <c r="G160" s="1" t="s">
        <v>56</v>
      </c>
      <c r="H160" s="1" t="s">
        <v>36</v>
      </c>
      <c r="I160" s="1" t="s">
        <v>57</v>
      </c>
      <c r="J160" s="7">
        <v>117003</v>
      </c>
      <c r="K160" s="1">
        <v>807</v>
      </c>
      <c r="L160" s="7">
        <v>24996</v>
      </c>
      <c r="M160" s="1">
        <v>36</v>
      </c>
      <c r="N160" s="6">
        <v>0.1149</v>
      </c>
      <c r="O160" s="1" t="s">
        <v>37</v>
      </c>
      <c r="P160" s="1" t="s">
        <v>50</v>
      </c>
      <c r="Q160" s="1">
        <v>10</v>
      </c>
      <c r="R160" s="1">
        <v>2</v>
      </c>
      <c r="S160" s="1" t="s">
        <v>33</v>
      </c>
      <c r="T160" s="1" t="s">
        <v>33</v>
      </c>
      <c r="U160" s="1">
        <v>0</v>
      </c>
      <c r="V160" s="1">
        <v>19558</v>
      </c>
      <c r="W160" s="7">
        <v>489.98</v>
      </c>
      <c r="X160" s="1">
        <v>0.52</v>
      </c>
      <c r="Y160" s="4">
        <v>44884</v>
      </c>
      <c r="Z160" s="1" t="s">
        <v>32</v>
      </c>
      <c r="AA160" s="1" t="s">
        <v>33</v>
      </c>
      <c r="AB160" s="36" t="str" cm="1">
        <f t="array" ref="AB160">_xlfn.IFS(K160&gt;650,"LOW",K160&gt;=550,"MEDIUM",K160&lt;550,"HIGH")</f>
        <v>LOW</v>
      </c>
    </row>
    <row r="161" spans="3:28" x14ac:dyDescent="0.3">
      <c r="C161" s="35" t="s">
        <v>3879</v>
      </c>
      <c r="D161" s="1" t="s">
        <v>1885</v>
      </c>
      <c r="E161" s="1">
        <v>59</v>
      </c>
      <c r="F161" s="1" t="s">
        <v>44</v>
      </c>
      <c r="G161" s="1" t="s">
        <v>56</v>
      </c>
      <c r="H161" s="1" t="s">
        <v>61</v>
      </c>
      <c r="I161" s="1" t="s">
        <v>59</v>
      </c>
      <c r="J161" s="7">
        <v>102143</v>
      </c>
      <c r="K161" s="1">
        <v>807</v>
      </c>
      <c r="L161" s="7">
        <v>2922</v>
      </c>
      <c r="M161" s="1">
        <v>24</v>
      </c>
      <c r="N161" s="6">
        <v>0.1008</v>
      </c>
      <c r="O161" s="1" t="s">
        <v>52</v>
      </c>
      <c r="P161" s="1" t="s">
        <v>50</v>
      </c>
      <c r="Q161" s="1">
        <v>29</v>
      </c>
      <c r="R161" s="1">
        <v>2</v>
      </c>
      <c r="S161" s="1" t="s">
        <v>31</v>
      </c>
      <c r="T161" s="1" t="s">
        <v>33</v>
      </c>
      <c r="U161" s="1">
        <v>0</v>
      </c>
      <c r="V161" s="1">
        <v>85230</v>
      </c>
      <c r="W161" s="7">
        <v>1182.74</v>
      </c>
      <c r="X161" s="1">
        <v>0.44</v>
      </c>
      <c r="Y161" s="4">
        <v>44522</v>
      </c>
      <c r="Z161" s="1" t="s">
        <v>38</v>
      </c>
      <c r="AA161" s="1" t="s">
        <v>33</v>
      </c>
      <c r="AB161" s="36" t="str" cm="1">
        <f t="array" ref="AB161">_xlfn.IFS(K161&gt;650,"LOW",K161&gt;=550,"MEDIUM",K161&lt;550,"HIGH")</f>
        <v>LOW</v>
      </c>
    </row>
    <row r="162" spans="3:28" x14ac:dyDescent="0.3">
      <c r="C162" s="35" t="s">
        <v>3697</v>
      </c>
      <c r="D162" s="1" t="s">
        <v>1708</v>
      </c>
      <c r="E162" s="1">
        <v>28</v>
      </c>
      <c r="F162" s="1" t="s">
        <v>44</v>
      </c>
      <c r="G162" s="1" t="s">
        <v>56</v>
      </c>
      <c r="H162" s="1" t="s">
        <v>54</v>
      </c>
      <c r="I162" s="1" t="s">
        <v>40</v>
      </c>
      <c r="J162" s="7">
        <v>55010</v>
      </c>
      <c r="K162" s="1">
        <v>806</v>
      </c>
      <c r="L162" s="7">
        <v>27598</v>
      </c>
      <c r="M162" s="1">
        <v>24</v>
      </c>
      <c r="N162" s="6">
        <v>7.4900000000000008E-2</v>
      </c>
      <c r="O162" s="1" t="s">
        <v>37</v>
      </c>
      <c r="P162" s="1" t="s">
        <v>50</v>
      </c>
      <c r="Q162" s="1">
        <v>20</v>
      </c>
      <c r="R162" s="1">
        <v>1</v>
      </c>
      <c r="S162" s="1" t="s">
        <v>31</v>
      </c>
      <c r="T162" s="1" t="s">
        <v>31</v>
      </c>
      <c r="U162" s="1">
        <v>2</v>
      </c>
      <c r="V162" s="1">
        <v>78466</v>
      </c>
      <c r="W162" s="7">
        <v>1507.49</v>
      </c>
      <c r="X162" s="1">
        <v>0.53</v>
      </c>
      <c r="Y162" s="4">
        <v>44786</v>
      </c>
      <c r="Z162" s="1" t="s">
        <v>32</v>
      </c>
      <c r="AA162" s="1" t="s">
        <v>33</v>
      </c>
      <c r="AB162" s="36" t="str" cm="1">
        <f t="array" ref="AB162">_xlfn.IFS(K162&gt;650,"LOW",K162&gt;=550,"MEDIUM",K162&lt;550,"HIGH")</f>
        <v>LOW</v>
      </c>
    </row>
    <row r="163" spans="3:28" x14ac:dyDescent="0.3">
      <c r="C163" s="35" t="s">
        <v>2290</v>
      </c>
      <c r="D163" s="1" t="s">
        <v>321</v>
      </c>
      <c r="E163" s="1">
        <v>31</v>
      </c>
      <c r="F163" s="1" t="s">
        <v>26</v>
      </c>
      <c r="G163" s="1" t="s">
        <v>27</v>
      </c>
      <c r="H163" s="1" t="s">
        <v>61</v>
      </c>
      <c r="I163" s="1" t="s">
        <v>57</v>
      </c>
      <c r="J163" s="7">
        <v>31437</v>
      </c>
      <c r="K163" s="1">
        <v>805</v>
      </c>
      <c r="L163" s="7">
        <v>4464</v>
      </c>
      <c r="M163" s="1">
        <v>48</v>
      </c>
      <c r="N163" s="6">
        <v>0.1643</v>
      </c>
      <c r="O163" s="1" t="s">
        <v>37</v>
      </c>
      <c r="P163" s="1" t="s">
        <v>30</v>
      </c>
      <c r="Q163" s="1">
        <v>14</v>
      </c>
      <c r="R163" s="1">
        <v>2</v>
      </c>
      <c r="S163" s="1" t="s">
        <v>31</v>
      </c>
      <c r="T163" s="1" t="s">
        <v>31</v>
      </c>
      <c r="U163" s="1">
        <v>0</v>
      </c>
      <c r="V163" s="1">
        <v>96774</v>
      </c>
      <c r="W163" s="7">
        <v>1472.72</v>
      </c>
      <c r="X163" s="1">
        <v>0.85</v>
      </c>
      <c r="Y163" s="4">
        <v>45320</v>
      </c>
      <c r="Z163" s="1" t="s">
        <v>38</v>
      </c>
      <c r="AA163" s="1" t="s">
        <v>31</v>
      </c>
      <c r="AB163" s="36" t="str" cm="1">
        <f t="array" ref="AB163">_xlfn.IFS(K163&gt;650,"LOW",K163&gt;=550,"MEDIUM",K163&lt;550,"HIGH")</f>
        <v>LOW</v>
      </c>
    </row>
    <row r="164" spans="3:28" x14ac:dyDescent="0.3">
      <c r="C164" s="35" t="s">
        <v>2996</v>
      </c>
      <c r="D164" s="1" t="s">
        <v>1023</v>
      </c>
      <c r="E164" s="1">
        <v>46</v>
      </c>
      <c r="F164" s="1" t="s">
        <v>26</v>
      </c>
      <c r="G164" s="1" t="s">
        <v>56</v>
      </c>
      <c r="H164" s="1" t="s">
        <v>54</v>
      </c>
      <c r="I164" s="1" t="s">
        <v>40</v>
      </c>
      <c r="J164" s="7">
        <v>25057</v>
      </c>
      <c r="K164" s="1">
        <v>805</v>
      </c>
      <c r="L164" s="7">
        <v>19907</v>
      </c>
      <c r="M164" s="1">
        <v>12</v>
      </c>
      <c r="N164" s="6">
        <v>0.16750000000000001</v>
      </c>
      <c r="O164" s="1" t="s">
        <v>5</v>
      </c>
      <c r="P164" s="1" t="s">
        <v>47</v>
      </c>
      <c r="Q164" s="1">
        <v>16</v>
      </c>
      <c r="R164" s="1">
        <v>1</v>
      </c>
      <c r="S164" s="1" t="s">
        <v>33</v>
      </c>
      <c r="T164" s="1" t="s">
        <v>33</v>
      </c>
      <c r="U164" s="1">
        <v>0</v>
      </c>
      <c r="V164" s="1">
        <v>124188</v>
      </c>
      <c r="W164" s="7">
        <v>567.27</v>
      </c>
      <c r="X164" s="1">
        <v>0.86</v>
      </c>
      <c r="Y164" s="4">
        <v>44066</v>
      </c>
      <c r="Z164" s="1" t="s">
        <v>32</v>
      </c>
      <c r="AA164" s="1" t="s">
        <v>33</v>
      </c>
      <c r="AB164" s="36" t="str" cm="1">
        <f t="array" ref="AB164">_xlfn.IFS(K164&gt;650,"LOW",K164&gt;=550,"MEDIUM",K164&lt;550,"HIGH")</f>
        <v>LOW</v>
      </c>
    </row>
    <row r="165" spans="3:28" x14ac:dyDescent="0.3">
      <c r="C165" s="35" t="s">
        <v>3184</v>
      </c>
      <c r="D165" s="1" t="s">
        <v>1208</v>
      </c>
      <c r="E165" s="1">
        <v>30</v>
      </c>
      <c r="F165" s="1" t="s">
        <v>44</v>
      </c>
      <c r="G165" s="1" t="s">
        <v>45</v>
      </c>
      <c r="H165" s="1" t="s">
        <v>54</v>
      </c>
      <c r="I165" s="1" t="s">
        <v>57</v>
      </c>
      <c r="J165" s="7">
        <v>20595</v>
      </c>
      <c r="K165" s="1">
        <v>805</v>
      </c>
      <c r="L165" s="7">
        <v>5030</v>
      </c>
      <c r="M165" s="1">
        <v>36</v>
      </c>
      <c r="N165" s="6">
        <v>0.12050000000000001</v>
      </c>
      <c r="O165" s="1" t="s">
        <v>37</v>
      </c>
      <c r="P165" s="1" t="s">
        <v>50</v>
      </c>
      <c r="Q165" s="1">
        <v>16</v>
      </c>
      <c r="R165" s="1">
        <v>1</v>
      </c>
      <c r="S165" s="1" t="s">
        <v>31</v>
      </c>
      <c r="T165" s="1" t="s">
        <v>33</v>
      </c>
      <c r="U165" s="1">
        <v>3</v>
      </c>
      <c r="V165" s="1">
        <v>138485</v>
      </c>
      <c r="W165" s="7">
        <v>1494.13</v>
      </c>
      <c r="X165" s="1">
        <v>0.45</v>
      </c>
      <c r="Y165" s="4">
        <v>44121</v>
      </c>
      <c r="Z165" s="1" t="s">
        <v>32</v>
      </c>
      <c r="AA165" s="1" t="s">
        <v>33</v>
      </c>
      <c r="AB165" s="36" t="str" cm="1">
        <f t="array" ref="AB165">_xlfn.IFS(K165&gt;650,"LOW",K165&gt;=550,"MEDIUM",K165&lt;550,"HIGH")</f>
        <v>LOW</v>
      </c>
    </row>
    <row r="166" spans="3:28" x14ac:dyDescent="0.3">
      <c r="C166" s="35" t="s">
        <v>2275</v>
      </c>
      <c r="D166" s="1" t="s">
        <v>306</v>
      </c>
      <c r="E166" s="1">
        <v>21</v>
      </c>
      <c r="F166" s="1" t="s">
        <v>44</v>
      </c>
      <c r="G166" s="1" t="s">
        <v>45</v>
      </c>
      <c r="H166" s="1" t="s">
        <v>54</v>
      </c>
      <c r="I166" s="1" t="s">
        <v>59</v>
      </c>
      <c r="J166" s="7">
        <v>86060</v>
      </c>
      <c r="K166" s="1">
        <v>804</v>
      </c>
      <c r="L166" s="7">
        <v>48358</v>
      </c>
      <c r="M166" s="1">
        <v>36</v>
      </c>
      <c r="N166" s="6">
        <v>0.1754</v>
      </c>
      <c r="O166" s="1" t="s">
        <v>46</v>
      </c>
      <c r="P166" s="1" t="s">
        <v>50</v>
      </c>
      <c r="Q166" s="1">
        <v>20</v>
      </c>
      <c r="R166" s="1">
        <v>1</v>
      </c>
      <c r="S166" s="1" t="s">
        <v>33</v>
      </c>
      <c r="T166" s="1" t="s">
        <v>33</v>
      </c>
      <c r="U166" s="1">
        <v>3</v>
      </c>
      <c r="V166" s="1">
        <v>18358</v>
      </c>
      <c r="W166" s="7">
        <v>493.09</v>
      </c>
      <c r="X166" s="1">
        <v>0.38</v>
      </c>
      <c r="Y166" s="4">
        <v>44608</v>
      </c>
      <c r="Z166" s="1" t="s">
        <v>38</v>
      </c>
      <c r="AA166" s="1" t="s">
        <v>33</v>
      </c>
      <c r="AB166" s="36" t="str" cm="1">
        <f t="array" ref="AB166">_xlfn.IFS(K166&gt;650,"LOW",K166&gt;=550,"MEDIUM",K166&lt;550,"HIGH")</f>
        <v>LOW</v>
      </c>
    </row>
    <row r="167" spans="3:28" x14ac:dyDescent="0.3">
      <c r="C167" s="35" t="s">
        <v>3625</v>
      </c>
      <c r="D167" s="1" t="s">
        <v>1637</v>
      </c>
      <c r="E167" s="1">
        <v>37</v>
      </c>
      <c r="F167" s="1" t="s">
        <v>26</v>
      </c>
      <c r="G167" s="1" t="s">
        <v>56</v>
      </c>
      <c r="H167" s="1" t="s">
        <v>54</v>
      </c>
      <c r="I167" s="1" t="s">
        <v>40</v>
      </c>
      <c r="J167" s="7">
        <v>124823</v>
      </c>
      <c r="K167" s="1">
        <v>804</v>
      </c>
      <c r="L167" s="7">
        <v>22804</v>
      </c>
      <c r="M167" s="1">
        <v>60</v>
      </c>
      <c r="N167" s="6">
        <v>9.6600000000000005E-2</v>
      </c>
      <c r="O167" s="1" t="s">
        <v>46</v>
      </c>
      <c r="P167" s="1" t="s">
        <v>30</v>
      </c>
      <c r="Q167" s="1">
        <v>14</v>
      </c>
      <c r="R167" s="1">
        <v>4</v>
      </c>
      <c r="S167" s="1" t="s">
        <v>31</v>
      </c>
      <c r="T167" s="1" t="s">
        <v>31</v>
      </c>
      <c r="U167" s="1">
        <v>1</v>
      </c>
      <c r="V167" s="1">
        <v>86214</v>
      </c>
      <c r="W167" s="7">
        <v>286.06</v>
      </c>
      <c r="X167" s="1">
        <v>0.13</v>
      </c>
      <c r="Y167" s="4">
        <v>45801</v>
      </c>
      <c r="Z167" s="1" t="s">
        <v>38</v>
      </c>
      <c r="AA167" s="1" t="s">
        <v>33</v>
      </c>
      <c r="AB167" s="36" t="str" cm="1">
        <f t="array" ref="AB167">_xlfn.IFS(K167&gt;650,"LOW",K167&gt;=550,"MEDIUM",K167&lt;550,"HIGH")</f>
        <v>LOW</v>
      </c>
    </row>
    <row r="168" spans="3:28" x14ac:dyDescent="0.3">
      <c r="C168" s="35" t="s">
        <v>2277</v>
      </c>
      <c r="D168" s="1" t="s">
        <v>308</v>
      </c>
      <c r="E168" s="1">
        <v>25</v>
      </c>
      <c r="F168" s="1" t="s">
        <v>44</v>
      </c>
      <c r="G168" s="1" t="s">
        <v>45</v>
      </c>
      <c r="H168" s="1" t="s">
        <v>54</v>
      </c>
      <c r="I168" s="1" t="s">
        <v>29</v>
      </c>
      <c r="J168" s="7">
        <v>28399</v>
      </c>
      <c r="K168" s="1">
        <v>803</v>
      </c>
      <c r="L168" s="7">
        <v>14864</v>
      </c>
      <c r="M168" s="1">
        <v>24</v>
      </c>
      <c r="N168" s="6">
        <v>0.1734</v>
      </c>
      <c r="O168" s="1" t="s">
        <v>37</v>
      </c>
      <c r="P168" s="1" t="s">
        <v>50</v>
      </c>
      <c r="Q168" s="1">
        <v>9</v>
      </c>
      <c r="R168" s="1">
        <v>2</v>
      </c>
      <c r="S168" s="1" t="s">
        <v>31</v>
      </c>
      <c r="T168" s="1" t="s">
        <v>33</v>
      </c>
      <c r="U168" s="1">
        <v>0</v>
      </c>
      <c r="V168" s="1">
        <v>83857</v>
      </c>
      <c r="W168" s="7">
        <v>1810.2</v>
      </c>
      <c r="X168" s="1">
        <v>0.13</v>
      </c>
      <c r="Y168" s="4">
        <v>44571</v>
      </c>
      <c r="Z168" s="1" t="s">
        <v>32</v>
      </c>
      <c r="AA168" s="1" t="s">
        <v>33</v>
      </c>
      <c r="AB168" s="36" t="str" cm="1">
        <f t="array" ref="AB168">_xlfn.IFS(K168&gt;650,"LOW",K168&gt;=550,"MEDIUM",K168&lt;550,"HIGH")</f>
        <v>LOW</v>
      </c>
    </row>
    <row r="169" spans="3:28" x14ac:dyDescent="0.3">
      <c r="C169" s="35" t="s">
        <v>2806</v>
      </c>
      <c r="D169" s="1" t="s">
        <v>834</v>
      </c>
      <c r="E169" s="1">
        <v>23</v>
      </c>
      <c r="F169" s="1" t="s">
        <v>26</v>
      </c>
      <c r="G169" s="1" t="s">
        <v>35</v>
      </c>
      <c r="H169" s="1" t="s">
        <v>61</v>
      </c>
      <c r="I169" s="1" t="s">
        <v>59</v>
      </c>
      <c r="J169" s="7">
        <v>149557</v>
      </c>
      <c r="K169" s="1">
        <v>803</v>
      </c>
      <c r="L169" s="7">
        <v>9176</v>
      </c>
      <c r="M169" s="1">
        <v>60</v>
      </c>
      <c r="N169" s="6">
        <v>6.5700000000000008E-2</v>
      </c>
      <c r="O169" s="1" t="s">
        <v>63</v>
      </c>
      <c r="P169" s="1" t="s">
        <v>50</v>
      </c>
      <c r="Q169" s="1">
        <v>3</v>
      </c>
      <c r="R169" s="1">
        <v>0</v>
      </c>
      <c r="S169" s="1" t="s">
        <v>33</v>
      </c>
      <c r="T169" s="1" t="s">
        <v>33</v>
      </c>
      <c r="U169" s="1">
        <v>4</v>
      </c>
      <c r="V169" s="1">
        <v>39794</v>
      </c>
      <c r="W169" s="7">
        <v>1545.47</v>
      </c>
      <c r="X169" s="1">
        <v>0.18</v>
      </c>
      <c r="Y169" s="4">
        <v>45789</v>
      </c>
      <c r="Z169" s="1" t="s">
        <v>32</v>
      </c>
      <c r="AA169" s="1" t="s">
        <v>33</v>
      </c>
      <c r="AB169" s="36" t="str" cm="1">
        <f t="array" ref="AB169">_xlfn.IFS(K169&gt;650,"LOW",K169&gt;=550,"MEDIUM",K169&lt;550,"HIGH")</f>
        <v>LOW</v>
      </c>
    </row>
    <row r="170" spans="3:28" x14ac:dyDescent="0.3">
      <c r="C170" s="35" t="s">
        <v>2937</v>
      </c>
      <c r="D170" s="1" t="s">
        <v>965</v>
      </c>
      <c r="E170" s="1">
        <v>21</v>
      </c>
      <c r="F170" s="1" t="s">
        <v>26</v>
      </c>
      <c r="G170" s="1" t="s">
        <v>27</v>
      </c>
      <c r="H170" s="1" t="s">
        <v>28</v>
      </c>
      <c r="I170" s="1" t="s">
        <v>57</v>
      </c>
      <c r="J170" s="7">
        <v>67657</v>
      </c>
      <c r="K170" s="1">
        <v>803</v>
      </c>
      <c r="L170" s="7">
        <v>30782</v>
      </c>
      <c r="M170" s="1">
        <v>12</v>
      </c>
      <c r="N170" s="6">
        <v>9.6799999999999997E-2</v>
      </c>
      <c r="O170" s="1" t="s">
        <v>5</v>
      </c>
      <c r="P170" s="1" t="s">
        <v>47</v>
      </c>
      <c r="Q170" s="1">
        <v>2</v>
      </c>
      <c r="R170" s="1">
        <v>0</v>
      </c>
      <c r="S170" s="1" t="s">
        <v>33</v>
      </c>
      <c r="T170" s="1" t="s">
        <v>33</v>
      </c>
      <c r="U170" s="1">
        <v>0</v>
      </c>
      <c r="V170" s="1">
        <v>152252</v>
      </c>
      <c r="W170" s="7">
        <v>436.4</v>
      </c>
      <c r="X170" s="1">
        <v>0.52</v>
      </c>
      <c r="Y170" s="4">
        <v>44813</v>
      </c>
      <c r="Z170" s="1" t="s">
        <v>32</v>
      </c>
      <c r="AA170" s="1" t="s">
        <v>33</v>
      </c>
      <c r="AB170" s="36" t="str" cm="1">
        <f t="array" ref="AB170">_xlfn.IFS(K170&gt;650,"LOW",K170&gt;=550,"MEDIUM",K170&lt;550,"HIGH")</f>
        <v>LOW</v>
      </c>
    </row>
    <row r="171" spans="3:28" x14ac:dyDescent="0.3">
      <c r="C171" s="35" t="s">
        <v>2092</v>
      </c>
      <c r="D171" s="1" t="s">
        <v>123</v>
      </c>
      <c r="E171" s="1">
        <v>35</v>
      </c>
      <c r="F171" s="1" t="s">
        <v>26</v>
      </c>
      <c r="G171" s="1" t="s">
        <v>56</v>
      </c>
      <c r="H171" s="1" t="s">
        <v>28</v>
      </c>
      <c r="I171" s="1" t="s">
        <v>40</v>
      </c>
      <c r="J171" s="7">
        <v>70341</v>
      </c>
      <c r="K171" s="1">
        <v>802</v>
      </c>
      <c r="L171" s="7">
        <v>14080</v>
      </c>
      <c r="M171" s="1">
        <v>24</v>
      </c>
      <c r="N171" s="6">
        <v>0.10460000000000001</v>
      </c>
      <c r="O171" s="1" t="s">
        <v>52</v>
      </c>
      <c r="P171" s="1" t="s">
        <v>30</v>
      </c>
      <c r="Q171" s="1">
        <v>13</v>
      </c>
      <c r="R171" s="1">
        <v>1</v>
      </c>
      <c r="S171" s="1" t="s">
        <v>33</v>
      </c>
      <c r="T171" s="1" t="s">
        <v>31</v>
      </c>
      <c r="U171" s="1">
        <v>3</v>
      </c>
      <c r="V171" s="1">
        <v>71831</v>
      </c>
      <c r="W171" s="7">
        <v>1492.93</v>
      </c>
      <c r="X171" s="1">
        <v>0.71</v>
      </c>
      <c r="Y171" s="4">
        <v>44695</v>
      </c>
      <c r="Z171" s="1" t="s">
        <v>32</v>
      </c>
      <c r="AA171" s="1" t="s">
        <v>33</v>
      </c>
      <c r="AB171" s="36" t="str" cm="1">
        <f t="array" ref="AB171">_xlfn.IFS(K171&gt;650,"LOW",K171&gt;=550,"MEDIUM",K171&lt;550,"HIGH")</f>
        <v>LOW</v>
      </c>
    </row>
    <row r="172" spans="3:28" x14ac:dyDescent="0.3">
      <c r="C172" s="35" t="s">
        <v>2773</v>
      </c>
      <c r="D172" s="1" t="s">
        <v>801</v>
      </c>
      <c r="E172" s="1">
        <v>35</v>
      </c>
      <c r="F172" s="1" t="s">
        <v>26</v>
      </c>
      <c r="G172" s="1" t="s">
        <v>56</v>
      </c>
      <c r="H172" s="1" t="s">
        <v>61</v>
      </c>
      <c r="I172" s="1" t="s">
        <v>40</v>
      </c>
      <c r="J172" s="7">
        <v>60927</v>
      </c>
      <c r="K172" s="1">
        <v>802</v>
      </c>
      <c r="L172" s="7">
        <v>19170</v>
      </c>
      <c r="M172" s="1">
        <v>12</v>
      </c>
      <c r="N172" s="6">
        <v>5.5300000000000002E-2</v>
      </c>
      <c r="O172" s="1" t="s">
        <v>63</v>
      </c>
      <c r="P172" s="1" t="s">
        <v>47</v>
      </c>
      <c r="Q172" s="1">
        <v>29</v>
      </c>
      <c r="R172" s="1">
        <v>0</v>
      </c>
      <c r="S172" s="1" t="s">
        <v>31</v>
      </c>
      <c r="T172" s="1" t="s">
        <v>31</v>
      </c>
      <c r="U172" s="1">
        <v>2</v>
      </c>
      <c r="V172" s="1">
        <v>132273</v>
      </c>
      <c r="W172" s="7">
        <v>1471.33</v>
      </c>
      <c r="X172" s="1">
        <v>0.12</v>
      </c>
      <c r="Y172" s="4">
        <v>45090</v>
      </c>
      <c r="Z172" s="1" t="s">
        <v>38</v>
      </c>
      <c r="AA172" s="1" t="s">
        <v>33</v>
      </c>
      <c r="AB172" s="36" t="str" cm="1">
        <f t="array" ref="AB172">_xlfn.IFS(K172&gt;650,"LOW",K172&gt;=550,"MEDIUM",K172&lt;550,"HIGH")</f>
        <v>LOW</v>
      </c>
    </row>
    <row r="173" spans="3:28" x14ac:dyDescent="0.3">
      <c r="C173" s="35" t="s">
        <v>3085</v>
      </c>
      <c r="D173" s="1" t="s">
        <v>1111</v>
      </c>
      <c r="E173" s="1">
        <v>60</v>
      </c>
      <c r="F173" s="1" t="s">
        <v>44</v>
      </c>
      <c r="G173" s="1" t="s">
        <v>27</v>
      </c>
      <c r="H173" s="1" t="s">
        <v>61</v>
      </c>
      <c r="I173" s="1" t="s">
        <v>40</v>
      </c>
      <c r="J173" s="7">
        <v>55031</v>
      </c>
      <c r="K173" s="1">
        <v>802</v>
      </c>
      <c r="L173" s="7">
        <v>49293</v>
      </c>
      <c r="M173" s="1">
        <v>24</v>
      </c>
      <c r="N173" s="6">
        <v>0.113</v>
      </c>
      <c r="O173" s="1" t="s">
        <v>46</v>
      </c>
      <c r="P173" s="1" t="s">
        <v>47</v>
      </c>
      <c r="Q173" s="1">
        <v>24</v>
      </c>
      <c r="R173" s="1">
        <v>4</v>
      </c>
      <c r="S173" s="1" t="s">
        <v>31</v>
      </c>
      <c r="T173" s="1" t="s">
        <v>31</v>
      </c>
      <c r="U173" s="1">
        <v>2</v>
      </c>
      <c r="V173" s="1">
        <v>149517</v>
      </c>
      <c r="W173" s="7">
        <v>1773.44</v>
      </c>
      <c r="X173" s="1">
        <v>0.43</v>
      </c>
      <c r="Y173" s="4">
        <v>44082</v>
      </c>
      <c r="Z173" s="1" t="s">
        <v>38</v>
      </c>
      <c r="AA173" s="1" t="s">
        <v>33</v>
      </c>
      <c r="AB173" s="36" t="str" cm="1">
        <f t="array" ref="AB173">_xlfn.IFS(K173&gt;650,"LOW",K173&gt;=550,"MEDIUM",K173&lt;550,"HIGH")</f>
        <v>LOW</v>
      </c>
    </row>
    <row r="174" spans="3:28" x14ac:dyDescent="0.3">
      <c r="C174" s="35" t="s">
        <v>3306</v>
      </c>
      <c r="D174" s="1" t="s">
        <v>1329</v>
      </c>
      <c r="E174" s="1">
        <v>21</v>
      </c>
      <c r="F174" s="1" t="s">
        <v>44</v>
      </c>
      <c r="G174" s="1" t="s">
        <v>35</v>
      </c>
      <c r="H174" s="1" t="s">
        <v>54</v>
      </c>
      <c r="I174" s="1" t="s">
        <v>40</v>
      </c>
      <c r="J174" s="7">
        <v>113710</v>
      </c>
      <c r="K174" s="1">
        <v>802</v>
      </c>
      <c r="L174" s="7">
        <v>19030</v>
      </c>
      <c r="M174" s="1">
        <v>36</v>
      </c>
      <c r="N174" s="6">
        <v>8.2799999999999999E-2</v>
      </c>
      <c r="O174" s="1" t="s">
        <v>63</v>
      </c>
      <c r="P174" s="1" t="s">
        <v>47</v>
      </c>
      <c r="Q174" s="1">
        <v>11</v>
      </c>
      <c r="R174" s="1">
        <v>4</v>
      </c>
      <c r="S174" s="1" t="s">
        <v>33</v>
      </c>
      <c r="T174" s="1" t="s">
        <v>33</v>
      </c>
      <c r="U174" s="1">
        <v>4</v>
      </c>
      <c r="V174" s="1">
        <v>80366</v>
      </c>
      <c r="W174" s="7">
        <v>1742.88</v>
      </c>
      <c r="X174" s="1">
        <v>0.87</v>
      </c>
      <c r="Y174" s="4">
        <v>44213</v>
      </c>
      <c r="Z174" s="1" t="s">
        <v>38</v>
      </c>
      <c r="AA174" s="1" t="s">
        <v>33</v>
      </c>
      <c r="AB174" s="36" t="str" cm="1">
        <f t="array" ref="AB174">_xlfn.IFS(K174&gt;650,"LOW",K174&gt;=550,"MEDIUM",K174&lt;550,"HIGH")</f>
        <v>LOW</v>
      </c>
    </row>
    <row r="175" spans="3:28" x14ac:dyDescent="0.3">
      <c r="C175" s="35" t="s">
        <v>3374</v>
      </c>
      <c r="D175" s="1" t="s">
        <v>1395</v>
      </c>
      <c r="E175" s="1">
        <v>45</v>
      </c>
      <c r="F175" s="1" t="s">
        <v>44</v>
      </c>
      <c r="G175" s="1" t="s">
        <v>27</v>
      </c>
      <c r="H175" s="1" t="s">
        <v>61</v>
      </c>
      <c r="I175" s="1" t="s">
        <v>57</v>
      </c>
      <c r="J175" s="7">
        <v>119468</v>
      </c>
      <c r="K175" s="1">
        <v>802</v>
      </c>
      <c r="L175" s="7">
        <v>35010</v>
      </c>
      <c r="M175" s="1">
        <v>36</v>
      </c>
      <c r="N175" s="6">
        <v>0.19260000000000002</v>
      </c>
      <c r="O175" s="1" t="s">
        <v>41</v>
      </c>
      <c r="P175" s="1" t="s">
        <v>50</v>
      </c>
      <c r="Q175" s="1">
        <v>22</v>
      </c>
      <c r="R175" s="1">
        <v>4</v>
      </c>
      <c r="S175" s="1" t="s">
        <v>33</v>
      </c>
      <c r="T175" s="1" t="s">
        <v>33</v>
      </c>
      <c r="U175" s="1">
        <v>3</v>
      </c>
      <c r="V175" s="1">
        <v>59094</v>
      </c>
      <c r="W175" s="7">
        <v>1027.3800000000001</v>
      </c>
      <c r="X175" s="1">
        <v>0.92</v>
      </c>
      <c r="Y175" s="4">
        <v>45189</v>
      </c>
      <c r="Z175" s="1" t="s">
        <v>38</v>
      </c>
      <c r="AA175" s="1" t="s">
        <v>33</v>
      </c>
      <c r="AB175" s="36" t="str" cm="1">
        <f t="array" ref="AB175">_xlfn.IFS(K175&gt;650,"LOW",K175&gt;=550,"MEDIUM",K175&lt;550,"HIGH")</f>
        <v>LOW</v>
      </c>
    </row>
    <row r="176" spans="3:28" x14ac:dyDescent="0.3">
      <c r="C176" s="35" t="s">
        <v>3460</v>
      </c>
      <c r="D176" s="1" t="s">
        <v>1478</v>
      </c>
      <c r="E176" s="1">
        <v>38</v>
      </c>
      <c r="F176" s="1" t="s">
        <v>26</v>
      </c>
      <c r="G176" s="1" t="s">
        <v>27</v>
      </c>
      <c r="H176" s="1" t="s">
        <v>36</v>
      </c>
      <c r="I176" s="1" t="s">
        <v>29</v>
      </c>
      <c r="J176" s="7">
        <v>122097</v>
      </c>
      <c r="K176" s="1">
        <v>802</v>
      </c>
      <c r="L176" s="7">
        <v>28690</v>
      </c>
      <c r="M176" s="1">
        <v>60</v>
      </c>
      <c r="N176" s="6">
        <v>0.1782</v>
      </c>
      <c r="O176" s="1" t="s">
        <v>37</v>
      </c>
      <c r="P176" s="1" t="s">
        <v>47</v>
      </c>
      <c r="Q176" s="1">
        <v>19</v>
      </c>
      <c r="R176" s="1">
        <v>2</v>
      </c>
      <c r="S176" s="1" t="s">
        <v>33</v>
      </c>
      <c r="T176" s="1" t="s">
        <v>33</v>
      </c>
      <c r="U176" s="1">
        <v>4</v>
      </c>
      <c r="V176" s="1">
        <v>148695</v>
      </c>
      <c r="W176" s="7">
        <v>141.13999999999999</v>
      </c>
      <c r="X176" s="1">
        <v>0.33</v>
      </c>
      <c r="Y176" s="4">
        <v>44628</v>
      </c>
      <c r="Z176" s="1" t="s">
        <v>38</v>
      </c>
      <c r="AA176" s="1" t="s">
        <v>33</v>
      </c>
      <c r="AB176" s="36" t="str" cm="1">
        <f t="array" ref="AB176">_xlfn.IFS(K176&gt;650,"LOW",K176&gt;=550,"MEDIUM",K176&lt;550,"HIGH")</f>
        <v>LOW</v>
      </c>
    </row>
    <row r="177" spans="3:28" x14ac:dyDescent="0.3">
      <c r="C177" s="35" t="s">
        <v>3512</v>
      </c>
      <c r="D177" s="1" t="s">
        <v>1529</v>
      </c>
      <c r="E177" s="1">
        <v>57</v>
      </c>
      <c r="F177" s="1" t="s">
        <v>44</v>
      </c>
      <c r="G177" s="1" t="s">
        <v>45</v>
      </c>
      <c r="H177" s="1" t="s">
        <v>28</v>
      </c>
      <c r="I177" s="1" t="s">
        <v>29</v>
      </c>
      <c r="J177" s="7">
        <v>79758</v>
      </c>
      <c r="K177" s="1">
        <v>802</v>
      </c>
      <c r="L177" s="7">
        <v>43443</v>
      </c>
      <c r="M177" s="1">
        <v>48</v>
      </c>
      <c r="N177" s="6">
        <v>0.13300000000000001</v>
      </c>
      <c r="O177" s="1" t="s">
        <v>5</v>
      </c>
      <c r="P177" s="1" t="s">
        <v>50</v>
      </c>
      <c r="Q177" s="1">
        <v>23</v>
      </c>
      <c r="R177" s="1">
        <v>0</v>
      </c>
      <c r="S177" s="1" t="s">
        <v>33</v>
      </c>
      <c r="T177" s="1" t="s">
        <v>33</v>
      </c>
      <c r="U177" s="1">
        <v>3</v>
      </c>
      <c r="V177" s="1">
        <v>193847</v>
      </c>
      <c r="W177" s="7">
        <v>1364.86</v>
      </c>
      <c r="X177" s="1">
        <v>0.36</v>
      </c>
      <c r="Y177" s="4">
        <v>44760</v>
      </c>
      <c r="Z177" s="1" t="s">
        <v>32</v>
      </c>
      <c r="AA177" s="1" t="s">
        <v>33</v>
      </c>
      <c r="AB177" s="36" t="str" cm="1">
        <f t="array" ref="AB177">_xlfn.IFS(K177&gt;650,"LOW",K177&gt;=550,"MEDIUM",K177&lt;550,"HIGH")</f>
        <v>LOW</v>
      </c>
    </row>
    <row r="178" spans="3:28" x14ac:dyDescent="0.3">
      <c r="C178" s="35" t="s">
        <v>3629</v>
      </c>
      <c r="D178" s="1" t="s">
        <v>1641</v>
      </c>
      <c r="E178" s="1">
        <v>46</v>
      </c>
      <c r="F178" s="1" t="s">
        <v>26</v>
      </c>
      <c r="G178" s="1" t="s">
        <v>56</v>
      </c>
      <c r="H178" s="1" t="s">
        <v>54</v>
      </c>
      <c r="I178" s="1" t="s">
        <v>59</v>
      </c>
      <c r="J178" s="7">
        <v>44014</v>
      </c>
      <c r="K178" s="1">
        <v>802</v>
      </c>
      <c r="L178" s="7">
        <v>43749</v>
      </c>
      <c r="M178" s="1">
        <v>24</v>
      </c>
      <c r="N178" s="6">
        <v>6.6699999999999995E-2</v>
      </c>
      <c r="O178" s="1" t="s">
        <v>63</v>
      </c>
      <c r="P178" s="1" t="s">
        <v>47</v>
      </c>
      <c r="Q178" s="1">
        <v>4</v>
      </c>
      <c r="R178" s="1">
        <v>4</v>
      </c>
      <c r="S178" s="1" t="s">
        <v>33</v>
      </c>
      <c r="T178" s="1" t="s">
        <v>33</v>
      </c>
      <c r="U178" s="1">
        <v>3</v>
      </c>
      <c r="V178" s="1">
        <v>144594</v>
      </c>
      <c r="W178" s="7">
        <v>221.61</v>
      </c>
      <c r="X178" s="1">
        <v>0.5</v>
      </c>
      <c r="Y178" s="4">
        <v>44942</v>
      </c>
      <c r="Z178" s="1" t="s">
        <v>32</v>
      </c>
      <c r="AA178" s="1" t="s">
        <v>33</v>
      </c>
      <c r="AB178" s="36" t="str" cm="1">
        <f t="array" ref="AB178">_xlfn.IFS(K178&gt;650,"LOW",K178&gt;=550,"MEDIUM",K178&lt;550,"HIGH")</f>
        <v>LOW</v>
      </c>
    </row>
    <row r="179" spans="3:28" x14ac:dyDescent="0.3">
      <c r="C179" s="35" t="s">
        <v>3037</v>
      </c>
      <c r="D179" s="1" t="s">
        <v>1064</v>
      </c>
      <c r="E179" s="1">
        <v>57</v>
      </c>
      <c r="F179" s="1" t="s">
        <v>26</v>
      </c>
      <c r="G179" s="1" t="s">
        <v>27</v>
      </c>
      <c r="H179" s="1" t="s">
        <v>28</v>
      </c>
      <c r="I179" s="1" t="s">
        <v>29</v>
      </c>
      <c r="J179" s="7">
        <v>145788</v>
      </c>
      <c r="K179" s="1">
        <v>801</v>
      </c>
      <c r="L179" s="7">
        <v>11363</v>
      </c>
      <c r="M179" s="1">
        <v>24</v>
      </c>
      <c r="N179" s="6">
        <v>0.12990000000000002</v>
      </c>
      <c r="O179" s="1" t="s">
        <v>5</v>
      </c>
      <c r="P179" s="1" t="s">
        <v>47</v>
      </c>
      <c r="Q179" s="1">
        <v>23</v>
      </c>
      <c r="R179" s="1">
        <v>2</v>
      </c>
      <c r="S179" s="1" t="s">
        <v>33</v>
      </c>
      <c r="T179" s="1" t="s">
        <v>33</v>
      </c>
      <c r="U179" s="1">
        <v>3</v>
      </c>
      <c r="V179" s="1">
        <v>193724</v>
      </c>
      <c r="W179" s="7">
        <v>470.19</v>
      </c>
      <c r="X179" s="1">
        <v>0.89</v>
      </c>
      <c r="Y179" s="4">
        <v>44092</v>
      </c>
      <c r="Z179" s="1" t="s">
        <v>32</v>
      </c>
      <c r="AA179" s="1" t="s">
        <v>31</v>
      </c>
      <c r="AB179" s="36" t="str" cm="1">
        <f t="array" ref="AB179">_xlfn.IFS(K179&gt;650,"LOW",K179&gt;=550,"MEDIUM",K179&lt;550,"HIGH")</f>
        <v>LOW</v>
      </c>
    </row>
    <row r="180" spans="3:28" x14ac:dyDescent="0.3">
      <c r="C180" s="35" t="s">
        <v>3433</v>
      </c>
      <c r="D180" s="1" t="s">
        <v>1452</v>
      </c>
      <c r="E180" s="1">
        <v>62</v>
      </c>
      <c r="F180" s="1" t="s">
        <v>44</v>
      </c>
      <c r="G180" s="1" t="s">
        <v>27</v>
      </c>
      <c r="H180" s="1" t="s">
        <v>54</v>
      </c>
      <c r="I180" s="1" t="s">
        <v>40</v>
      </c>
      <c r="J180" s="7">
        <v>94702</v>
      </c>
      <c r="K180" s="1">
        <v>801</v>
      </c>
      <c r="L180" s="7">
        <v>10114</v>
      </c>
      <c r="M180" s="1">
        <v>48</v>
      </c>
      <c r="N180" s="6">
        <v>9.1300000000000006E-2</v>
      </c>
      <c r="O180" s="1" t="s">
        <v>52</v>
      </c>
      <c r="P180" s="1" t="s">
        <v>50</v>
      </c>
      <c r="Q180" s="1">
        <v>25</v>
      </c>
      <c r="R180" s="1">
        <v>2</v>
      </c>
      <c r="S180" s="1" t="s">
        <v>33</v>
      </c>
      <c r="T180" s="1" t="s">
        <v>33</v>
      </c>
      <c r="U180" s="1">
        <v>1</v>
      </c>
      <c r="V180" s="1">
        <v>65064</v>
      </c>
      <c r="W180" s="7">
        <v>1535.82</v>
      </c>
      <c r="X180" s="1">
        <v>0.42</v>
      </c>
      <c r="Y180" s="4">
        <v>44441</v>
      </c>
      <c r="Z180" s="1" t="s">
        <v>38</v>
      </c>
      <c r="AA180" s="1" t="s">
        <v>33</v>
      </c>
      <c r="AB180" s="36" t="str" cm="1">
        <f t="array" ref="AB180">_xlfn.IFS(K180&gt;650,"LOW",K180&gt;=550,"MEDIUM",K180&lt;550,"HIGH")</f>
        <v>LOW</v>
      </c>
    </row>
    <row r="181" spans="3:28" x14ac:dyDescent="0.3">
      <c r="C181" s="35" t="s">
        <v>3490</v>
      </c>
      <c r="D181" s="1" t="s">
        <v>1508</v>
      </c>
      <c r="E181" s="1">
        <v>23</v>
      </c>
      <c r="F181" s="1" t="s">
        <v>26</v>
      </c>
      <c r="G181" s="1" t="s">
        <v>56</v>
      </c>
      <c r="H181" s="1" t="s">
        <v>28</v>
      </c>
      <c r="I181" s="1" t="s">
        <v>57</v>
      </c>
      <c r="J181" s="7">
        <v>75206</v>
      </c>
      <c r="K181" s="1">
        <v>801</v>
      </c>
      <c r="L181" s="7">
        <v>25824</v>
      </c>
      <c r="M181" s="1">
        <v>36</v>
      </c>
      <c r="N181" s="6">
        <v>0.10199999999999999</v>
      </c>
      <c r="O181" s="1" t="s">
        <v>63</v>
      </c>
      <c r="P181" s="1" t="s">
        <v>50</v>
      </c>
      <c r="Q181" s="1">
        <v>5</v>
      </c>
      <c r="R181" s="1">
        <v>2</v>
      </c>
      <c r="S181" s="1" t="s">
        <v>33</v>
      </c>
      <c r="T181" s="1" t="s">
        <v>31</v>
      </c>
      <c r="U181" s="1">
        <v>4</v>
      </c>
      <c r="V181" s="1">
        <v>105846</v>
      </c>
      <c r="W181" s="7">
        <v>1033.47</v>
      </c>
      <c r="X181" s="1">
        <v>0.55000000000000004</v>
      </c>
      <c r="Y181" s="4">
        <v>45212</v>
      </c>
      <c r="Z181" s="1" t="s">
        <v>32</v>
      </c>
      <c r="AA181" s="1" t="s">
        <v>33</v>
      </c>
      <c r="AB181" s="36" t="str" cm="1">
        <f t="array" ref="AB181">_xlfn.IFS(K181&gt;650,"LOW",K181&gt;=550,"MEDIUM",K181&lt;550,"HIGH")</f>
        <v>LOW</v>
      </c>
    </row>
    <row r="182" spans="3:28" x14ac:dyDescent="0.3">
      <c r="C182" s="35" t="s">
        <v>3498</v>
      </c>
      <c r="D182" s="1" t="s">
        <v>1515</v>
      </c>
      <c r="E182" s="1">
        <v>62</v>
      </c>
      <c r="F182" s="1" t="s">
        <v>26</v>
      </c>
      <c r="G182" s="1" t="s">
        <v>45</v>
      </c>
      <c r="H182" s="1" t="s">
        <v>54</v>
      </c>
      <c r="I182" s="1" t="s">
        <v>59</v>
      </c>
      <c r="J182" s="7">
        <v>24581</v>
      </c>
      <c r="K182" s="1">
        <v>801</v>
      </c>
      <c r="L182" s="7">
        <v>1722</v>
      </c>
      <c r="M182" s="1">
        <v>48</v>
      </c>
      <c r="N182" s="6">
        <v>0.19589999999999999</v>
      </c>
      <c r="O182" s="1" t="s">
        <v>37</v>
      </c>
      <c r="P182" s="1" t="s">
        <v>47</v>
      </c>
      <c r="Q182" s="1">
        <v>10</v>
      </c>
      <c r="R182" s="1">
        <v>0</v>
      </c>
      <c r="S182" s="1" t="s">
        <v>33</v>
      </c>
      <c r="T182" s="1" t="s">
        <v>31</v>
      </c>
      <c r="U182" s="1">
        <v>0</v>
      </c>
      <c r="V182" s="1">
        <v>79987</v>
      </c>
      <c r="W182" s="7">
        <v>315.56</v>
      </c>
      <c r="X182" s="1">
        <v>0.75</v>
      </c>
      <c r="Y182" s="4">
        <v>44295</v>
      </c>
      <c r="Z182" s="1" t="s">
        <v>38</v>
      </c>
      <c r="AA182" s="1" t="s">
        <v>33</v>
      </c>
      <c r="AB182" s="36" t="str" cm="1">
        <f t="array" ref="AB182">_xlfn.IFS(K182&gt;650,"LOW",K182&gt;=550,"MEDIUM",K182&lt;550,"HIGH")</f>
        <v>LOW</v>
      </c>
    </row>
    <row r="183" spans="3:28" x14ac:dyDescent="0.3">
      <c r="C183" s="35" t="s">
        <v>3632</v>
      </c>
      <c r="D183" s="1" t="s">
        <v>1644</v>
      </c>
      <c r="E183" s="1">
        <v>49</v>
      </c>
      <c r="F183" s="1" t="s">
        <v>44</v>
      </c>
      <c r="G183" s="1" t="s">
        <v>27</v>
      </c>
      <c r="H183" s="1" t="s">
        <v>28</v>
      </c>
      <c r="I183" s="1" t="s">
        <v>59</v>
      </c>
      <c r="J183" s="7">
        <v>130163</v>
      </c>
      <c r="K183" s="1">
        <v>801</v>
      </c>
      <c r="L183" s="7">
        <v>14697</v>
      </c>
      <c r="M183" s="1">
        <v>48</v>
      </c>
      <c r="N183" s="6">
        <v>7.3300000000000004E-2</v>
      </c>
      <c r="O183" s="1" t="s">
        <v>5</v>
      </c>
      <c r="P183" s="1" t="s">
        <v>47</v>
      </c>
      <c r="Q183" s="1">
        <v>3</v>
      </c>
      <c r="R183" s="1">
        <v>3</v>
      </c>
      <c r="S183" s="1" t="s">
        <v>31</v>
      </c>
      <c r="T183" s="1" t="s">
        <v>31</v>
      </c>
      <c r="U183" s="1">
        <v>0</v>
      </c>
      <c r="V183" s="1">
        <v>134644</v>
      </c>
      <c r="W183" s="7">
        <v>785.97</v>
      </c>
      <c r="X183" s="1">
        <v>0.75</v>
      </c>
      <c r="Y183" s="4">
        <v>45440</v>
      </c>
      <c r="Z183" s="1" t="s">
        <v>38</v>
      </c>
      <c r="AA183" s="1" t="s">
        <v>33</v>
      </c>
      <c r="AB183" s="36" t="str" cm="1">
        <f t="array" ref="AB183">_xlfn.IFS(K183&gt;650,"LOW",K183&gt;=550,"MEDIUM",K183&lt;550,"HIGH")</f>
        <v>LOW</v>
      </c>
    </row>
    <row r="184" spans="3:28" x14ac:dyDescent="0.3">
      <c r="C184" s="35" t="s">
        <v>3668</v>
      </c>
      <c r="D184" s="1" t="s">
        <v>1680</v>
      </c>
      <c r="E184" s="1">
        <v>37</v>
      </c>
      <c r="F184" s="1" t="s">
        <v>26</v>
      </c>
      <c r="G184" s="1" t="s">
        <v>27</v>
      </c>
      <c r="H184" s="1" t="s">
        <v>61</v>
      </c>
      <c r="I184" s="1" t="s">
        <v>40</v>
      </c>
      <c r="J184" s="7">
        <v>71507</v>
      </c>
      <c r="K184" s="1">
        <v>801</v>
      </c>
      <c r="L184" s="7">
        <v>7608</v>
      </c>
      <c r="M184" s="1">
        <v>48</v>
      </c>
      <c r="N184" s="6">
        <v>0.12130000000000001</v>
      </c>
      <c r="O184" s="1" t="s">
        <v>46</v>
      </c>
      <c r="P184" s="1" t="s">
        <v>30</v>
      </c>
      <c r="Q184" s="1">
        <v>25</v>
      </c>
      <c r="R184" s="1">
        <v>2</v>
      </c>
      <c r="S184" s="1" t="s">
        <v>33</v>
      </c>
      <c r="T184" s="1" t="s">
        <v>33</v>
      </c>
      <c r="U184" s="1">
        <v>4</v>
      </c>
      <c r="V184" s="1">
        <v>164313</v>
      </c>
      <c r="W184" s="7">
        <v>276.5</v>
      </c>
      <c r="X184" s="1">
        <v>0.16</v>
      </c>
      <c r="Y184" s="4">
        <v>44834</v>
      </c>
      <c r="Z184" s="1" t="s">
        <v>32</v>
      </c>
      <c r="AA184" s="1" t="s">
        <v>33</v>
      </c>
      <c r="AB184" s="36" t="str" cm="1">
        <f t="array" ref="AB184">_xlfn.IFS(K184&gt;650,"LOW",K184&gt;=550,"MEDIUM",K184&lt;550,"HIGH")</f>
        <v>LOW</v>
      </c>
    </row>
    <row r="185" spans="3:28" x14ac:dyDescent="0.3">
      <c r="C185" s="35" t="s">
        <v>3004</v>
      </c>
      <c r="D185" s="1" t="s">
        <v>1031</v>
      </c>
      <c r="E185" s="1">
        <v>59</v>
      </c>
      <c r="F185" s="1" t="s">
        <v>44</v>
      </c>
      <c r="G185" s="1" t="s">
        <v>56</v>
      </c>
      <c r="H185" s="1" t="s">
        <v>28</v>
      </c>
      <c r="I185" s="1" t="s">
        <v>57</v>
      </c>
      <c r="J185" s="7">
        <v>103028</v>
      </c>
      <c r="K185" s="1">
        <v>800</v>
      </c>
      <c r="L185" s="7">
        <v>34387</v>
      </c>
      <c r="M185" s="1">
        <v>48</v>
      </c>
      <c r="N185" s="6">
        <v>0.11310000000000001</v>
      </c>
      <c r="O185" s="1" t="s">
        <v>46</v>
      </c>
      <c r="P185" s="1" t="s">
        <v>50</v>
      </c>
      <c r="Q185" s="1">
        <v>21</v>
      </c>
      <c r="R185" s="1">
        <v>3</v>
      </c>
      <c r="S185" s="1" t="s">
        <v>31</v>
      </c>
      <c r="T185" s="1" t="s">
        <v>31</v>
      </c>
      <c r="U185" s="1">
        <v>3</v>
      </c>
      <c r="V185" s="1">
        <v>92340</v>
      </c>
      <c r="W185" s="7">
        <v>1056.1400000000001</v>
      </c>
      <c r="X185" s="1">
        <v>0.18</v>
      </c>
      <c r="Y185" s="4">
        <v>44457</v>
      </c>
      <c r="Z185" s="1" t="s">
        <v>38</v>
      </c>
      <c r="AA185" s="1" t="s">
        <v>33</v>
      </c>
      <c r="AB185" s="36" t="str" cm="1">
        <f t="array" ref="AB185">_xlfn.IFS(K185&gt;650,"LOW",K185&gt;=550,"MEDIUM",K185&lt;550,"HIGH")</f>
        <v>LOW</v>
      </c>
    </row>
    <row r="186" spans="3:28" x14ac:dyDescent="0.3">
      <c r="C186" s="35" t="s">
        <v>3584</v>
      </c>
      <c r="D186" s="1" t="s">
        <v>1598</v>
      </c>
      <c r="E186" s="1">
        <v>56</v>
      </c>
      <c r="F186" s="1" t="s">
        <v>26</v>
      </c>
      <c r="G186" s="1" t="s">
        <v>27</v>
      </c>
      <c r="H186" s="1" t="s">
        <v>54</v>
      </c>
      <c r="I186" s="1" t="s">
        <v>29</v>
      </c>
      <c r="J186" s="7">
        <v>118682</v>
      </c>
      <c r="K186" s="1">
        <v>800</v>
      </c>
      <c r="L186" s="7">
        <v>47211</v>
      </c>
      <c r="M186" s="1">
        <v>60</v>
      </c>
      <c r="N186" s="6">
        <v>0.1363</v>
      </c>
      <c r="O186" s="1" t="s">
        <v>5</v>
      </c>
      <c r="P186" s="1" t="s">
        <v>50</v>
      </c>
      <c r="Q186" s="1">
        <v>11</v>
      </c>
      <c r="R186" s="1">
        <v>3</v>
      </c>
      <c r="S186" s="1" t="s">
        <v>33</v>
      </c>
      <c r="T186" s="1" t="s">
        <v>31</v>
      </c>
      <c r="U186" s="1">
        <v>2</v>
      </c>
      <c r="V186" s="1">
        <v>18030</v>
      </c>
      <c r="W186" s="7">
        <v>1474.72</v>
      </c>
      <c r="X186" s="1">
        <v>0.16</v>
      </c>
      <c r="Y186" s="4">
        <v>44697</v>
      </c>
      <c r="Z186" s="1" t="s">
        <v>32</v>
      </c>
      <c r="AA186" s="1" t="s">
        <v>33</v>
      </c>
      <c r="AB186" s="36" t="str" cm="1">
        <f t="array" ref="AB186">_xlfn.IFS(K186&gt;650,"LOW",K186&gt;=550,"MEDIUM",K186&lt;550,"HIGH")</f>
        <v>LOW</v>
      </c>
    </row>
    <row r="187" spans="3:28" x14ac:dyDescent="0.3">
      <c r="C187" s="35" t="s">
        <v>2094</v>
      </c>
      <c r="D187" s="1" t="s">
        <v>125</v>
      </c>
      <c r="E187" s="1">
        <v>34</v>
      </c>
      <c r="F187" s="1" t="s">
        <v>26</v>
      </c>
      <c r="G187" s="1" t="s">
        <v>35</v>
      </c>
      <c r="H187" s="1" t="s">
        <v>61</v>
      </c>
      <c r="I187" s="1" t="s">
        <v>40</v>
      </c>
      <c r="J187" s="7">
        <v>122399</v>
      </c>
      <c r="K187" s="1">
        <v>799</v>
      </c>
      <c r="L187" s="7">
        <v>10916</v>
      </c>
      <c r="M187" s="1">
        <v>48</v>
      </c>
      <c r="N187" s="6">
        <v>0.12050000000000001</v>
      </c>
      <c r="O187" s="1" t="s">
        <v>63</v>
      </c>
      <c r="P187" s="1" t="s">
        <v>50</v>
      </c>
      <c r="Q187" s="1">
        <v>17</v>
      </c>
      <c r="R187" s="1">
        <v>1</v>
      </c>
      <c r="S187" s="1" t="s">
        <v>33</v>
      </c>
      <c r="T187" s="1" t="s">
        <v>31</v>
      </c>
      <c r="U187" s="1">
        <v>2</v>
      </c>
      <c r="V187" s="1">
        <v>7103</v>
      </c>
      <c r="W187" s="7">
        <v>1947.96</v>
      </c>
      <c r="X187" s="1">
        <v>0.93</v>
      </c>
      <c r="Y187" s="4">
        <v>44503</v>
      </c>
      <c r="Z187" s="1" t="s">
        <v>32</v>
      </c>
      <c r="AA187" s="1" t="s">
        <v>33</v>
      </c>
      <c r="AB187" s="36" t="str" cm="1">
        <f t="array" ref="AB187">_xlfn.IFS(K187&gt;650,"LOW",K187&gt;=550,"MEDIUM",K187&lt;550,"HIGH")</f>
        <v>LOW</v>
      </c>
    </row>
    <row r="188" spans="3:28" x14ac:dyDescent="0.3">
      <c r="C188" s="35" t="s">
        <v>3092</v>
      </c>
      <c r="D188" s="1" t="s">
        <v>1117</v>
      </c>
      <c r="E188" s="1">
        <v>57</v>
      </c>
      <c r="F188" s="1" t="s">
        <v>26</v>
      </c>
      <c r="G188" s="1" t="s">
        <v>27</v>
      </c>
      <c r="H188" s="1" t="s">
        <v>36</v>
      </c>
      <c r="I188" s="1" t="s">
        <v>40</v>
      </c>
      <c r="J188" s="7">
        <v>85867</v>
      </c>
      <c r="K188" s="1">
        <v>799</v>
      </c>
      <c r="L188" s="7">
        <v>12280</v>
      </c>
      <c r="M188" s="1">
        <v>60</v>
      </c>
      <c r="N188" s="6">
        <v>0.10369999999999999</v>
      </c>
      <c r="O188" s="1" t="s">
        <v>52</v>
      </c>
      <c r="P188" s="1" t="s">
        <v>30</v>
      </c>
      <c r="Q188" s="1">
        <v>10</v>
      </c>
      <c r="R188" s="1">
        <v>0</v>
      </c>
      <c r="S188" s="1" t="s">
        <v>31</v>
      </c>
      <c r="T188" s="1" t="s">
        <v>31</v>
      </c>
      <c r="U188" s="1">
        <v>3</v>
      </c>
      <c r="V188" s="1">
        <v>141113</v>
      </c>
      <c r="W188" s="7">
        <v>1602.25</v>
      </c>
      <c r="X188" s="1">
        <v>0.59</v>
      </c>
      <c r="Y188" s="4">
        <v>45314</v>
      </c>
      <c r="Z188" s="1" t="s">
        <v>38</v>
      </c>
      <c r="AA188" s="1" t="s">
        <v>33</v>
      </c>
      <c r="AB188" s="36" t="str" cm="1">
        <f t="array" ref="AB188">_xlfn.IFS(K188&gt;650,"LOW",K188&gt;=550,"MEDIUM",K188&lt;550,"HIGH")</f>
        <v>LOW</v>
      </c>
    </row>
    <row r="189" spans="3:28" x14ac:dyDescent="0.3">
      <c r="C189" s="35" t="s">
        <v>2462</v>
      </c>
      <c r="D189" s="1" t="s">
        <v>492</v>
      </c>
      <c r="E189" s="1">
        <v>46</v>
      </c>
      <c r="F189" s="1" t="s">
        <v>44</v>
      </c>
      <c r="G189" s="1" t="s">
        <v>35</v>
      </c>
      <c r="H189" s="1" t="s">
        <v>36</v>
      </c>
      <c r="I189" s="1" t="s">
        <v>59</v>
      </c>
      <c r="J189" s="7">
        <v>128721</v>
      </c>
      <c r="K189" s="1">
        <v>798</v>
      </c>
      <c r="L189" s="7">
        <v>6193</v>
      </c>
      <c r="M189" s="1">
        <v>12</v>
      </c>
      <c r="N189" s="6">
        <v>6.9599999999999995E-2</v>
      </c>
      <c r="O189" s="1" t="s">
        <v>52</v>
      </c>
      <c r="P189" s="1" t="s">
        <v>50</v>
      </c>
      <c r="Q189" s="1">
        <v>1</v>
      </c>
      <c r="R189" s="1">
        <v>4</v>
      </c>
      <c r="S189" s="1" t="s">
        <v>33</v>
      </c>
      <c r="T189" s="1" t="s">
        <v>33</v>
      </c>
      <c r="U189" s="1">
        <v>4</v>
      </c>
      <c r="V189" s="1">
        <v>44401</v>
      </c>
      <c r="W189" s="7">
        <v>225.07</v>
      </c>
      <c r="X189" s="1">
        <v>0.61</v>
      </c>
      <c r="Y189" s="4">
        <v>44793</v>
      </c>
      <c r="Z189" s="1" t="s">
        <v>38</v>
      </c>
      <c r="AA189" s="1" t="s">
        <v>33</v>
      </c>
      <c r="AB189" s="36" t="str" cm="1">
        <f t="array" ref="AB189">_xlfn.IFS(K189&gt;650,"LOW",K189&gt;=550,"MEDIUM",K189&lt;550,"HIGH")</f>
        <v>LOW</v>
      </c>
    </row>
    <row r="190" spans="3:28" x14ac:dyDescent="0.3">
      <c r="C190" s="35" t="s">
        <v>3366</v>
      </c>
      <c r="D190" s="1" t="s">
        <v>1388</v>
      </c>
      <c r="E190" s="1">
        <v>37</v>
      </c>
      <c r="F190" s="1" t="s">
        <v>26</v>
      </c>
      <c r="G190" s="1" t="s">
        <v>35</v>
      </c>
      <c r="H190" s="1" t="s">
        <v>61</v>
      </c>
      <c r="I190" s="1" t="s">
        <v>29</v>
      </c>
      <c r="J190" s="7">
        <v>103029</v>
      </c>
      <c r="K190" s="1">
        <v>798</v>
      </c>
      <c r="L190" s="7">
        <v>48020</v>
      </c>
      <c r="M190" s="1">
        <v>60</v>
      </c>
      <c r="N190" s="6">
        <v>8.2699999999999996E-2</v>
      </c>
      <c r="O190" s="1" t="s">
        <v>5</v>
      </c>
      <c r="P190" s="1" t="s">
        <v>50</v>
      </c>
      <c r="Q190" s="1">
        <v>19</v>
      </c>
      <c r="R190" s="1">
        <v>0</v>
      </c>
      <c r="S190" s="1" t="s">
        <v>31</v>
      </c>
      <c r="T190" s="1" t="s">
        <v>31</v>
      </c>
      <c r="U190" s="1">
        <v>2</v>
      </c>
      <c r="V190" s="1">
        <v>4406</v>
      </c>
      <c r="W190" s="7">
        <v>995.38</v>
      </c>
      <c r="X190" s="1">
        <v>0.97</v>
      </c>
      <c r="Y190" s="4">
        <v>44512</v>
      </c>
      <c r="Z190" s="1" t="s">
        <v>38</v>
      </c>
      <c r="AA190" s="1" t="s">
        <v>33</v>
      </c>
      <c r="AB190" s="36" t="str" cm="1">
        <f t="array" ref="AB190">_xlfn.IFS(K190&gt;650,"LOW",K190&gt;=550,"MEDIUM",K190&lt;550,"HIGH")</f>
        <v>LOW</v>
      </c>
    </row>
    <row r="191" spans="3:28" x14ac:dyDescent="0.3">
      <c r="C191" s="35" t="s">
        <v>3661</v>
      </c>
      <c r="D191" s="1" t="s">
        <v>1673</v>
      </c>
      <c r="E191" s="1">
        <v>22</v>
      </c>
      <c r="F191" s="1" t="s">
        <v>26</v>
      </c>
      <c r="G191" s="1" t="s">
        <v>45</v>
      </c>
      <c r="H191" s="1" t="s">
        <v>36</v>
      </c>
      <c r="I191" s="1" t="s">
        <v>29</v>
      </c>
      <c r="J191" s="7">
        <v>92782</v>
      </c>
      <c r="K191" s="1">
        <v>798</v>
      </c>
      <c r="L191" s="7">
        <v>36024</v>
      </c>
      <c r="M191" s="1">
        <v>60</v>
      </c>
      <c r="N191" s="6">
        <v>8.6300000000000002E-2</v>
      </c>
      <c r="O191" s="1" t="s">
        <v>63</v>
      </c>
      <c r="P191" s="1" t="s">
        <v>50</v>
      </c>
      <c r="Q191" s="1">
        <v>16</v>
      </c>
      <c r="R191" s="1">
        <v>1</v>
      </c>
      <c r="S191" s="1" t="s">
        <v>31</v>
      </c>
      <c r="T191" s="1" t="s">
        <v>31</v>
      </c>
      <c r="U191" s="1">
        <v>3</v>
      </c>
      <c r="V191" s="1">
        <v>97289</v>
      </c>
      <c r="W191" s="7">
        <v>1719.34</v>
      </c>
      <c r="X191" s="1">
        <v>0.8</v>
      </c>
      <c r="Y191" s="4">
        <v>45646</v>
      </c>
      <c r="Z191" s="1" t="s">
        <v>32</v>
      </c>
      <c r="AA191" s="1" t="s">
        <v>33</v>
      </c>
      <c r="AB191" s="36" t="str" cm="1">
        <f t="array" ref="AB191">_xlfn.IFS(K191&gt;650,"LOW",K191&gt;=550,"MEDIUM",K191&lt;550,"HIGH")</f>
        <v>LOW</v>
      </c>
    </row>
    <row r="192" spans="3:28" x14ac:dyDescent="0.3">
      <c r="C192" s="35" t="s">
        <v>3908</v>
      </c>
      <c r="D192" s="1" t="s">
        <v>1912</v>
      </c>
      <c r="E192" s="1">
        <v>61</v>
      </c>
      <c r="F192" s="1" t="s">
        <v>26</v>
      </c>
      <c r="G192" s="1" t="s">
        <v>35</v>
      </c>
      <c r="H192" s="1" t="s">
        <v>54</v>
      </c>
      <c r="I192" s="1" t="s">
        <v>59</v>
      </c>
      <c r="J192" s="7">
        <v>127099</v>
      </c>
      <c r="K192" s="1">
        <v>798</v>
      </c>
      <c r="L192" s="7">
        <v>2667</v>
      </c>
      <c r="M192" s="1">
        <v>12</v>
      </c>
      <c r="N192" s="6">
        <v>0.19539999999999999</v>
      </c>
      <c r="O192" s="1" t="s">
        <v>63</v>
      </c>
      <c r="P192" s="1" t="s">
        <v>50</v>
      </c>
      <c r="Q192" s="1">
        <v>19</v>
      </c>
      <c r="R192" s="1">
        <v>4</v>
      </c>
      <c r="S192" s="1" t="s">
        <v>33</v>
      </c>
      <c r="T192" s="1" t="s">
        <v>33</v>
      </c>
      <c r="U192" s="1">
        <v>1</v>
      </c>
      <c r="V192" s="1">
        <v>115434</v>
      </c>
      <c r="W192" s="7">
        <v>1395.41</v>
      </c>
      <c r="X192" s="1">
        <v>0.92</v>
      </c>
      <c r="Y192" s="4">
        <v>44111</v>
      </c>
      <c r="Z192" s="1" t="s">
        <v>32</v>
      </c>
      <c r="AA192" s="1" t="s">
        <v>33</v>
      </c>
      <c r="AB192" s="36" t="str" cm="1">
        <f t="array" ref="AB192">_xlfn.IFS(K192&gt;650,"LOW",K192&gt;=550,"MEDIUM",K192&lt;550,"HIGH")</f>
        <v>LOW</v>
      </c>
    </row>
    <row r="193" spans="3:28" x14ac:dyDescent="0.3">
      <c r="C193" s="35" t="s">
        <v>2849</v>
      </c>
      <c r="D193" s="1" t="s">
        <v>877</v>
      </c>
      <c r="E193" s="1">
        <v>34</v>
      </c>
      <c r="F193" s="1" t="s">
        <v>26</v>
      </c>
      <c r="G193" s="1" t="s">
        <v>35</v>
      </c>
      <c r="H193" s="1" t="s">
        <v>61</v>
      </c>
      <c r="I193" s="1" t="s">
        <v>40</v>
      </c>
      <c r="J193" s="7">
        <v>144877</v>
      </c>
      <c r="K193" s="1">
        <v>797</v>
      </c>
      <c r="L193" s="7">
        <v>30119</v>
      </c>
      <c r="M193" s="1">
        <v>60</v>
      </c>
      <c r="N193" s="6">
        <v>0.12820000000000001</v>
      </c>
      <c r="O193" s="1" t="s">
        <v>5</v>
      </c>
      <c r="P193" s="1" t="s">
        <v>47</v>
      </c>
      <c r="Q193" s="1">
        <v>23</v>
      </c>
      <c r="R193" s="1">
        <v>2</v>
      </c>
      <c r="S193" s="1" t="s">
        <v>31</v>
      </c>
      <c r="T193" s="1" t="s">
        <v>31</v>
      </c>
      <c r="U193" s="1">
        <v>4</v>
      </c>
      <c r="V193" s="1">
        <v>159787</v>
      </c>
      <c r="W193" s="7">
        <v>1433.99</v>
      </c>
      <c r="X193" s="1">
        <v>0.78</v>
      </c>
      <c r="Y193" s="4">
        <v>45019</v>
      </c>
      <c r="Z193" s="1" t="s">
        <v>32</v>
      </c>
      <c r="AA193" s="1" t="s">
        <v>31</v>
      </c>
      <c r="AB193" s="36" t="str" cm="1">
        <f t="array" ref="AB193">_xlfn.IFS(K193&gt;650,"LOW",K193&gt;=550,"MEDIUM",K193&lt;550,"HIGH")</f>
        <v>LOW</v>
      </c>
    </row>
    <row r="194" spans="3:28" x14ac:dyDescent="0.3">
      <c r="C194" s="35" t="s">
        <v>3613</v>
      </c>
      <c r="D194" s="1" t="s">
        <v>1626</v>
      </c>
      <c r="E194" s="1">
        <v>57</v>
      </c>
      <c r="F194" s="1" t="s">
        <v>26</v>
      </c>
      <c r="G194" s="1" t="s">
        <v>45</v>
      </c>
      <c r="H194" s="1" t="s">
        <v>28</v>
      </c>
      <c r="I194" s="1" t="s">
        <v>40</v>
      </c>
      <c r="J194" s="7">
        <v>116544</v>
      </c>
      <c r="K194" s="1">
        <v>797</v>
      </c>
      <c r="L194" s="7">
        <v>10481</v>
      </c>
      <c r="M194" s="1">
        <v>24</v>
      </c>
      <c r="N194" s="6">
        <v>0.1449</v>
      </c>
      <c r="O194" s="1" t="s">
        <v>52</v>
      </c>
      <c r="P194" s="1" t="s">
        <v>50</v>
      </c>
      <c r="Q194" s="1">
        <v>21</v>
      </c>
      <c r="R194" s="1">
        <v>4</v>
      </c>
      <c r="S194" s="1" t="s">
        <v>33</v>
      </c>
      <c r="T194" s="1" t="s">
        <v>31</v>
      </c>
      <c r="U194" s="1">
        <v>4</v>
      </c>
      <c r="V194" s="1">
        <v>89947</v>
      </c>
      <c r="W194" s="7">
        <v>611.79</v>
      </c>
      <c r="X194" s="1">
        <v>0.7</v>
      </c>
      <c r="Y194" s="4">
        <v>44390</v>
      </c>
      <c r="Z194" s="1" t="s">
        <v>32</v>
      </c>
      <c r="AA194" s="1" t="s">
        <v>31</v>
      </c>
      <c r="AB194" s="36" t="str" cm="1">
        <f t="array" ref="AB194">_xlfn.IFS(K194&gt;650,"LOW",K194&gt;=550,"MEDIUM",K194&lt;550,"HIGH")</f>
        <v>LOW</v>
      </c>
    </row>
    <row r="195" spans="3:28" x14ac:dyDescent="0.3">
      <c r="C195" s="35" t="s">
        <v>2219</v>
      </c>
      <c r="D195" s="1" t="s">
        <v>250</v>
      </c>
      <c r="E195" s="1">
        <v>57</v>
      </c>
      <c r="F195" s="1" t="s">
        <v>26</v>
      </c>
      <c r="G195" s="1" t="s">
        <v>56</v>
      </c>
      <c r="H195" s="1" t="s">
        <v>36</v>
      </c>
      <c r="I195" s="1" t="s">
        <v>57</v>
      </c>
      <c r="J195" s="7">
        <v>94323</v>
      </c>
      <c r="K195" s="1">
        <v>796</v>
      </c>
      <c r="L195" s="7">
        <v>44952</v>
      </c>
      <c r="M195" s="1">
        <v>12</v>
      </c>
      <c r="N195" s="6">
        <v>0.1033</v>
      </c>
      <c r="O195" s="1" t="s">
        <v>41</v>
      </c>
      <c r="P195" s="1" t="s">
        <v>30</v>
      </c>
      <c r="Q195" s="1">
        <v>2</v>
      </c>
      <c r="R195" s="1">
        <v>0</v>
      </c>
      <c r="S195" s="1" t="s">
        <v>33</v>
      </c>
      <c r="T195" s="1" t="s">
        <v>31</v>
      </c>
      <c r="U195" s="1">
        <v>3</v>
      </c>
      <c r="V195" s="1">
        <v>48443</v>
      </c>
      <c r="W195" s="7">
        <v>528.14</v>
      </c>
      <c r="X195" s="1">
        <v>0.91</v>
      </c>
      <c r="Y195" s="4">
        <v>44540</v>
      </c>
      <c r="Z195" s="1" t="s">
        <v>32</v>
      </c>
      <c r="AA195" s="1" t="s">
        <v>33</v>
      </c>
      <c r="AB195" s="36" t="str" cm="1">
        <f t="array" ref="AB195">_xlfn.IFS(K195&gt;650,"LOW",K195&gt;=550,"MEDIUM",K195&lt;550,"HIGH")</f>
        <v>LOW</v>
      </c>
    </row>
    <row r="196" spans="3:28" x14ac:dyDescent="0.3">
      <c r="C196" s="35" t="s">
        <v>2638</v>
      </c>
      <c r="D196" s="1" t="s">
        <v>668</v>
      </c>
      <c r="E196" s="1">
        <v>26</v>
      </c>
      <c r="F196" s="1" t="s">
        <v>44</v>
      </c>
      <c r="G196" s="1" t="s">
        <v>56</v>
      </c>
      <c r="H196" s="1" t="s">
        <v>54</v>
      </c>
      <c r="I196" s="1" t="s">
        <v>40</v>
      </c>
      <c r="J196" s="7">
        <v>61846</v>
      </c>
      <c r="K196" s="1">
        <v>796</v>
      </c>
      <c r="L196" s="7">
        <v>27189</v>
      </c>
      <c r="M196" s="1">
        <v>48</v>
      </c>
      <c r="N196" s="6">
        <v>0.152</v>
      </c>
      <c r="O196" s="1" t="s">
        <v>37</v>
      </c>
      <c r="P196" s="1" t="s">
        <v>47</v>
      </c>
      <c r="Q196" s="1">
        <v>20</v>
      </c>
      <c r="R196" s="1">
        <v>0</v>
      </c>
      <c r="S196" s="1" t="s">
        <v>33</v>
      </c>
      <c r="T196" s="1" t="s">
        <v>33</v>
      </c>
      <c r="U196" s="1">
        <v>0</v>
      </c>
      <c r="V196" s="1">
        <v>20010</v>
      </c>
      <c r="W196" s="7">
        <v>1058.25</v>
      </c>
      <c r="X196" s="1">
        <v>0.53</v>
      </c>
      <c r="Y196" s="4">
        <v>44516</v>
      </c>
      <c r="Z196" s="1" t="s">
        <v>32</v>
      </c>
      <c r="AA196" s="1" t="s">
        <v>33</v>
      </c>
      <c r="AB196" s="36" t="str" cm="1">
        <f t="array" ref="AB196">_xlfn.IFS(K196&gt;650,"LOW",K196&gt;=550,"MEDIUM",K196&lt;550,"HIGH")</f>
        <v>LOW</v>
      </c>
    </row>
    <row r="197" spans="3:28" x14ac:dyDescent="0.3">
      <c r="C197" s="35" t="s">
        <v>3044</v>
      </c>
      <c r="D197" s="1" t="s">
        <v>1071</v>
      </c>
      <c r="E197" s="1">
        <v>25</v>
      </c>
      <c r="F197" s="1" t="s">
        <v>44</v>
      </c>
      <c r="G197" s="1" t="s">
        <v>35</v>
      </c>
      <c r="H197" s="1" t="s">
        <v>54</v>
      </c>
      <c r="I197" s="1" t="s">
        <v>57</v>
      </c>
      <c r="J197" s="7">
        <v>88993</v>
      </c>
      <c r="K197" s="1">
        <v>796</v>
      </c>
      <c r="L197" s="7">
        <v>23488</v>
      </c>
      <c r="M197" s="1">
        <v>36</v>
      </c>
      <c r="N197" s="6">
        <v>0.15279999999999999</v>
      </c>
      <c r="O197" s="1" t="s">
        <v>41</v>
      </c>
      <c r="P197" s="1" t="s">
        <v>30</v>
      </c>
      <c r="Q197" s="1">
        <v>21</v>
      </c>
      <c r="R197" s="1">
        <v>3</v>
      </c>
      <c r="S197" s="1" t="s">
        <v>31</v>
      </c>
      <c r="T197" s="1" t="s">
        <v>33</v>
      </c>
      <c r="U197" s="1">
        <v>2</v>
      </c>
      <c r="V197" s="1">
        <v>141295</v>
      </c>
      <c r="W197" s="7">
        <v>1765.25</v>
      </c>
      <c r="X197" s="1">
        <v>0.7</v>
      </c>
      <c r="Y197" s="4">
        <v>44126</v>
      </c>
      <c r="Z197" s="1" t="s">
        <v>38</v>
      </c>
      <c r="AA197" s="1" t="s">
        <v>31</v>
      </c>
      <c r="AB197" s="36" t="str" cm="1">
        <f t="array" ref="AB197">_xlfn.IFS(K197&gt;650,"LOW",K197&gt;=550,"MEDIUM",K197&lt;550,"HIGH")</f>
        <v>LOW</v>
      </c>
    </row>
    <row r="198" spans="3:28" x14ac:dyDescent="0.3">
      <c r="C198" s="35" t="s">
        <v>3280</v>
      </c>
      <c r="D198" s="1" t="s">
        <v>1303</v>
      </c>
      <c r="E198" s="1">
        <v>58</v>
      </c>
      <c r="F198" s="1" t="s">
        <v>44</v>
      </c>
      <c r="G198" s="1" t="s">
        <v>27</v>
      </c>
      <c r="H198" s="1" t="s">
        <v>54</v>
      </c>
      <c r="I198" s="1" t="s">
        <v>29</v>
      </c>
      <c r="J198" s="7">
        <v>77480</v>
      </c>
      <c r="K198" s="1">
        <v>796</v>
      </c>
      <c r="L198" s="7">
        <v>12802</v>
      </c>
      <c r="M198" s="1">
        <v>12</v>
      </c>
      <c r="N198" s="6">
        <v>5.7800000000000004E-2</v>
      </c>
      <c r="O198" s="1" t="s">
        <v>41</v>
      </c>
      <c r="P198" s="1" t="s">
        <v>47</v>
      </c>
      <c r="Q198" s="1">
        <v>19</v>
      </c>
      <c r="R198" s="1">
        <v>3</v>
      </c>
      <c r="S198" s="1" t="s">
        <v>33</v>
      </c>
      <c r="T198" s="1" t="s">
        <v>31</v>
      </c>
      <c r="U198" s="1">
        <v>0</v>
      </c>
      <c r="V198" s="1">
        <v>151509</v>
      </c>
      <c r="W198" s="7">
        <v>778.11</v>
      </c>
      <c r="X198" s="1">
        <v>0.22</v>
      </c>
      <c r="Y198" s="4">
        <v>45022</v>
      </c>
      <c r="Z198" s="1" t="s">
        <v>32</v>
      </c>
      <c r="AA198" s="1" t="s">
        <v>31</v>
      </c>
      <c r="AB198" s="36" t="str" cm="1">
        <f t="array" ref="AB198">_xlfn.IFS(K198&gt;650,"LOW",K198&gt;=550,"MEDIUM",K198&lt;550,"HIGH")</f>
        <v>LOW</v>
      </c>
    </row>
    <row r="199" spans="3:28" x14ac:dyDescent="0.3">
      <c r="C199" s="35" t="s">
        <v>3553</v>
      </c>
      <c r="D199" s="1" t="s">
        <v>1570</v>
      </c>
      <c r="E199" s="1">
        <v>47</v>
      </c>
      <c r="F199" s="1" t="s">
        <v>26</v>
      </c>
      <c r="G199" s="1" t="s">
        <v>27</v>
      </c>
      <c r="H199" s="1" t="s">
        <v>36</v>
      </c>
      <c r="I199" s="1" t="s">
        <v>40</v>
      </c>
      <c r="J199" s="7">
        <v>21214</v>
      </c>
      <c r="K199" s="1">
        <v>796</v>
      </c>
      <c r="L199" s="7">
        <v>40941</v>
      </c>
      <c r="M199" s="1">
        <v>48</v>
      </c>
      <c r="N199" s="6">
        <v>0.10640000000000001</v>
      </c>
      <c r="O199" s="1" t="s">
        <v>63</v>
      </c>
      <c r="P199" s="1" t="s">
        <v>47</v>
      </c>
      <c r="Q199" s="1">
        <v>10</v>
      </c>
      <c r="R199" s="1">
        <v>1</v>
      </c>
      <c r="S199" s="1" t="s">
        <v>33</v>
      </c>
      <c r="T199" s="1" t="s">
        <v>33</v>
      </c>
      <c r="U199" s="1">
        <v>3</v>
      </c>
      <c r="V199" s="1">
        <v>19476</v>
      </c>
      <c r="W199" s="7">
        <v>1530.25</v>
      </c>
      <c r="X199" s="1">
        <v>0.33</v>
      </c>
      <c r="Y199" s="4">
        <v>45165</v>
      </c>
      <c r="Z199" s="1" t="s">
        <v>32</v>
      </c>
      <c r="AA199" s="1" t="s">
        <v>33</v>
      </c>
      <c r="AB199" s="36" t="str" cm="1">
        <f t="array" ref="AB199">_xlfn.IFS(K199&gt;650,"LOW",K199&gt;=550,"MEDIUM",K199&lt;550,"HIGH")</f>
        <v>LOW</v>
      </c>
    </row>
    <row r="200" spans="3:28" x14ac:dyDescent="0.3">
      <c r="C200" s="35" t="s">
        <v>2341</v>
      </c>
      <c r="D200" s="1" t="s">
        <v>372</v>
      </c>
      <c r="E200" s="1">
        <v>50</v>
      </c>
      <c r="F200" s="1" t="s">
        <v>44</v>
      </c>
      <c r="G200" s="1" t="s">
        <v>27</v>
      </c>
      <c r="H200" s="1" t="s">
        <v>61</v>
      </c>
      <c r="I200" s="1" t="s">
        <v>29</v>
      </c>
      <c r="J200" s="7">
        <v>50733</v>
      </c>
      <c r="K200" s="1">
        <v>795</v>
      </c>
      <c r="L200" s="7">
        <v>11164</v>
      </c>
      <c r="M200" s="1">
        <v>12</v>
      </c>
      <c r="N200" s="6">
        <v>9.9900000000000003E-2</v>
      </c>
      <c r="O200" s="1" t="s">
        <v>41</v>
      </c>
      <c r="P200" s="1" t="s">
        <v>30</v>
      </c>
      <c r="Q200" s="1">
        <v>17</v>
      </c>
      <c r="R200" s="1">
        <v>0</v>
      </c>
      <c r="S200" s="1" t="s">
        <v>33</v>
      </c>
      <c r="T200" s="1" t="s">
        <v>33</v>
      </c>
      <c r="U200" s="1">
        <v>4</v>
      </c>
      <c r="V200" s="1">
        <v>137809</v>
      </c>
      <c r="W200" s="7">
        <v>1591.42</v>
      </c>
      <c r="X200" s="1">
        <v>0.32</v>
      </c>
      <c r="Y200" s="4">
        <v>45207</v>
      </c>
      <c r="Z200" s="1" t="s">
        <v>32</v>
      </c>
      <c r="AA200" s="1" t="s">
        <v>33</v>
      </c>
      <c r="AB200" s="36" t="str" cm="1">
        <f t="array" ref="AB200">_xlfn.IFS(K200&gt;650,"LOW",K200&gt;=550,"MEDIUM",K200&lt;550,"HIGH")</f>
        <v>LOW</v>
      </c>
    </row>
    <row r="201" spans="3:28" x14ac:dyDescent="0.3">
      <c r="C201" s="35" t="s">
        <v>2682</v>
      </c>
      <c r="D201" s="1" t="s">
        <v>712</v>
      </c>
      <c r="E201" s="1">
        <v>53</v>
      </c>
      <c r="F201" s="1" t="s">
        <v>44</v>
      </c>
      <c r="G201" s="1" t="s">
        <v>56</v>
      </c>
      <c r="H201" s="1" t="s">
        <v>54</v>
      </c>
      <c r="I201" s="1" t="s">
        <v>57</v>
      </c>
      <c r="J201" s="7">
        <v>135158</v>
      </c>
      <c r="K201" s="1">
        <v>795</v>
      </c>
      <c r="L201" s="7">
        <v>17508</v>
      </c>
      <c r="M201" s="1">
        <v>24</v>
      </c>
      <c r="N201" s="6">
        <v>0.15960000000000002</v>
      </c>
      <c r="O201" s="1" t="s">
        <v>5</v>
      </c>
      <c r="P201" s="1" t="s">
        <v>30</v>
      </c>
      <c r="Q201" s="1">
        <v>28</v>
      </c>
      <c r="R201" s="1">
        <v>1</v>
      </c>
      <c r="S201" s="1" t="s">
        <v>31</v>
      </c>
      <c r="T201" s="1" t="s">
        <v>31</v>
      </c>
      <c r="U201" s="1">
        <v>1</v>
      </c>
      <c r="V201" s="1">
        <v>93640</v>
      </c>
      <c r="W201" s="7">
        <v>733.99</v>
      </c>
      <c r="X201" s="1">
        <v>0.54</v>
      </c>
      <c r="Y201" s="4">
        <v>45331</v>
      </c>
      <c r="Z201" s="1" t="s">
        <v>38</v>
      </c>
      <c r="AA201" s="1" t="s">
        <v>33</v>
      </c>
      <c r="AB201" s="36" t="str" cm="1">
        <f t="array" ref="AB201">_xlfn.IFS(K201&gt;650,"LOW",K201&gt;=550,"MEDIUM",K201&lt;550,"HIGH")</f>
        <v>LOW</v>
      </c>
    </row>
    <row r="202" spans="3:28" x14ac:dyDescent="0.3">
      <c r="C202" s="35" t="s">
        <v>3163</v>
      </c>
      <c r="D202" s="1" t="s">
        <v>1187</v>
      </c>
      <c r="E202" s="1">
        <v>49</v>
      </c>
      <c r="F202" s="1" t="s">
        <v>44</v>
      </c>
      <c r="G202" s="1" t="s">
        <v>45</v>
      </c>
      <c r="H202" s="1" t="s">
        <v>61</v>
      </c>
      <c r="I202" s="1" t="s">
        <v>40</v>
      </c>
      <c r="J202" s="7">
        <v>88049</v>
      </c>
      <c r="K202" s="1">
        <v>795</v>
      </c>
      <c r="L202" s="7">
        <v>40426</v>
      </c>
      <c r="M202" s="1">
        <v>48</v>
      </c>
      <c r="N202" s="6">
        <v>0.1971</v>
      </c>
      <c r="O202" s="1" t="s">
        <v>63</v>
      </c>
      <c r="P202" s="1" t="s">
        <v>47</v>
      </c>
      <c r="Q202" s="1">
        <v>10</v>
      </c>
      <c r="R202" s="1">
        <v>4</v>
      </c>
      <c r="S202" s="1" t="s">
        <v>31</v>
      </c>
      <c r="T202" s="1" t="s">
        <v>31</v>
      </c>
      <c r="U202" s="1">
        <v>4</v>
      </c>
      <c r="V202" s="1">
        <v>29402</v>
      </c>
      <c r="W202" s="7">
        <v>1563.61</v>
      </c>
      <c r="X202" s="1">
        <v>0.35</v>
      </c>
      <c r="Y202" s="4">
        <v>45590</v>
      </c>
      <c r="Z202" s="1" t="s">
        <v>38</v>
      </c>
      <c r="AA202" s="1" t="s">
        <v>33</v>
      </c>
      <c r="AB202" s="36" t="str" cm="1">
        <f t="array" ref="AB202">_xlfn.IFS(K202&gt;650,"LOW",K202&gt;=550,"MEDIUM",K202&lt;550,"HIGH")</f>
        <v>LOW</v>
      </c>
    </row>
    <row r="203" spans="3:28" x14ac:dyDescent="0.3">
      <c r="C203" s="35" t="s">
        <v>2347</v>
      </c>
      <c r="D203" s="1" t="s">
        <v>378</v>
      </c>
      <c r="E203" s="1">
        <v>44</v>
      </c>
      <c r="F203" s="1" t="s">
        <v>44</v>
      </c>
      <c r="G203" s="1" t="s">
        <v>56</v>
      </c>
      <c r="H203" s="1" t="s">
        <v>36</v>
      </c>
      <c r="I203" s="1" t="s">
        <v>29</v>
      </c>
      <c r="J203" s="7">
        <v>30750</v>
      </c>
      <c r="K203" s="1">
        <v>794</v>
      </c>
      <c r="L203" s="7">
        <v>28676</v>
      </c>
      <c r="M203" s="1">
        <v>36</v>
      </c>
      <c r="N203" s="6">
        <v>5.2400000000000002E-2</v>
      </c>
      <c r="O203" s="1" t="s">
        <v>37</v>
      </c>
      <c r="P203" s="1" t="s">
        <v>50</v>
      </c>
      <c r="Q203" s="1">
        <v>7</v>
      </c>
      <c r="R203" s="1">
        <v>0</v>
      </c>
      <c r="S203" s="1" t="s">
        <v>31</v>
      </c>
      <c r="T203" s="1" t="s">
        <v>31</v>
      </c>
      <c r="U203" s="1">
        <v>4</v>
      </c>
      <c r="V203" s="1">
        <v>156520</v>
      </c>
      <c r="W203" s="7">
        <v>948.51</v>
      </c>
      <c r="X203" s="1">
        <v>0.43</v>
      </c>
      <c r="Y203" s="4">
        <v>44316</v>
      </c>
      <c r="Z203" s="1" t="s">
        <v>38</v>
      </c>
      <c r="AA203" s="1" t="s">
        <v>33</v>
      </c>
      <c r="AB203" s="36" t="str" cm="1">
        <f t="array" ref="AB203">_xlfn.IFS(K203&gt;650,"LOW",K203&gt;=550,"MEDIUM",K203&lt;550,"HIGH")</f>
        <v>LOW</v>
      </c>
    </row>
    <row r="204" spans="3:28" x14ac:dyDescent="0.3">
      <c r="C204" s="35" t="s">
        <v>2548</v>
      </c>
      <c r="D204" s="1" t="s">
        <v>578</v>
      </c>
      <c r="E204" s="1">
        <v>50</v>
      </c>
      <c r="F204" s="1" t="s">
        <v>44</v>
      </c>
      <c r="G204" s="1" t="s">
        <v>45</v>
      </c>
      <c r="H204" s="1" t="s">
        <v>54</v>
      </c>
      <c r="I204" s="1" t="s">
        <v>59</v>
      </c>
      <c r="J204" s="7">
        <v>42259</v>
      </c>
      <c r="K204" s="1">
        <v>794</v>
      </c>
      <c r="L204" s="7">
        <v>30250</v>
      </c>
      <c r="M204" s="1">
        <v>24</v>
      </c>
      <c r="N204" s="6">
        <v>0.1583</v>
      </c>
      <c r="O204" s="1" t="s">
        <v>63</v>
      </c>
      <c r="P204" s="1" t="s">
        <v>47</v>
      </c>
      <c r="Q204" s="1">
        <v>20</v>
      </c>
      <c r="R204" s="1">
        <v>0</v>
      </c>
      <c r="S204" s="1" t="s">
        <v>31</v>
      </c>
      <c r="T204" s="1" t="s">
        <v>33</v>
      </c>
      <c r="U204" s="1">
        <v>3</v>
      </c>
      <c r="V204" s="1">
        <v>163061</v>
      </c>
      <c r="W204" s="7">
        <v>212.31</v>
      </c>
      <c r="X204" s="1">
        <v>0.24</v>
      </c>
      <c r="Y204" s="4">
        <v>45106</v>
      </c>
      <c r="Z204" s="1" t="s">
        <v>32</v>
      </c>
      <c r="AA204" s="1" t="s">
        <v>33</v>
      </c>
      <c r="AB204" s="36" t="str" cm="1">
        <f t="array" ref="AB204">_xlfn.IFS(K204&gt;650,"LOW",K204&gt;=550,"MEDIUM",K204&lt;550,"HIGH")</f>
        <v>LOW</v>
      </c>
    </row>
    <row r="205" spans="3:28" x14ac:dyDescent="0.3">
      <c r="C205" s="35" t="s">
        <v>3191</v>
      </c>
      <c r="D205" s="1" t="s">
        <v>1215</v>
      </c>
      <c r="E205" s="1">
        <v>27</v>
      </c>
      <c r="F205" s="1" t="s">
        <v>26</v>
      </c>
      <c r="G205" s="1" t="s">
        <v>45</v>
      </c>
      <c r="H205" s="1" t="s">
        <v>54</v>
      </c>
      <c r="I205" s="1" t="s">
        <v>59</v>
      </c>
      <c r="J205" s="7">
        <v>35882</v>
      </c>
      <c r="K205" s="1">
        <v>794</v>
      </c>
      <c r="L205" s="7">
        <v>31013</v>
      </c>
      <c r="M205" s="1">
        <v>12</v>
      </c>
      <c r="N205" s="6">
        <v>9.5399999999999985E-2</v>
      </c>
      <c r="O205" s="1" t="s">
        <v>52</v>
      </c>
      <c r="P205" s="1" t="s">
        <v>30</v>
      </c>
      <c r="Q205" s="1">
        <v>29</v>
      </c>
      <c r="R205" s="1">
        <v>1</v>
      </c>
      <c r="S205" s="1" t="s">
        <v>31</v>
      </c>
      <c r="T205" s="1" t="s">
        <v>31</v>
      </c>
      <c r="U205" s="1">
        <v>0</v>
      </c>
      <c r="V205" s="1">
        <v>25784</v>
      </c>
      <c r="W205" s="7">
        <v>224.05</v>
      </c>
      <c r="X205" s="1">
        <v>0.79</v>
      </c>
      <c r="Y205" s="4">
        <v>44659</v>
      </c>
      <c r="Z205" s="1" t="s">
        <v>38</v>
      </c>
      <c r="AA205" s="1" t="s">
        <v>31</v>
      </c>
      <c r="AB205" s="36" t="str" cm="1">
        <f t="array" ref="AB205">_xlfn.IFS(K205&gt;650,"LOW",K205&gt;=550,"MEDIUM",K205&lt;550,"HIGH")</f>
        <v>LOW</v>
      </c>
    </row>
    <row r="206" spans="3:28" x14ac:dyDescent="0.3">
      <c r="C206" s="35" t="s">
        <v>2971</v>
      </c>
      <c r="D206" s="1" t="s">
        <v>999</v>
      </c>
      <c r="E206" s="1">
        <v>25</v>
      </c>
      <c r="F206" s="1" t="s">
        <v>26</v>
      </c>
      <c r="G206" s="1" t="s">
        <v>56</v>
      </c>
      <c r="H206" s="1" t="s">
        <v>28</v>
      </c>
      <c r="I206" s="1" t="s">
        <v>57</v>
      </c>
      <c r="J206" s="7">
        <v>93302</v>
      </c>
      <c r="K206" s="1">
        <v>793</v>
      </c>
      <c r="L206" s="7">
        <v>47785</v>
      </c>
      <c r="M206" s="1">
        <v>60</v>
      </c>
      <c r="N206" s="6">
        <v>0.15329999999999999</v>
      </c>
      <c r="O206" s="1" t="s">
        <v>63</v>
      </c>
      <c r="P206" s="1" t="s">
        <v>47</v>
      </c>
      <c r="Q206" s="1">
        <v>3</v>
      </c>
      <c r="R206" s="1">
        <v>4</v>
      </c>
      <c r="S206" s="1" t="s">
        <v>31</v>
      </c>
      <c r="T206" s="1" t="s">
        <v>33</v>
      </c>
      <c r="U206" s="1">
        <v>2</v>
      </c>
      <c r="V206" s="1">
        <v>159645</v>
      </c>
      <c r="W206" s="7">
        <v>168.19</v>
      </c>
      <c r="X206" s="1">
        <v>0.7</v>
      </c>
      <c r="Y206" s="4">
        <v>44414</v>
      </c>
      <c r="Z206" s="1" t="s">
        <v>32</v>
      </c>
      <c r="AA206" s="1" t="s">
        <v>33</v>
      </c>
      <c r="AB206" s="36" t="str" cm="1">
        <f t="array" ref="AB206">_xlfn.IFS(K206&gt;650,"LOW",K206&gt;=550,"MEDIUM",K206&lt;550,"HIGH")</f>
        <v>LOW</v>
      </c>
    </row>
    <row r="207" spans="3:28" x14ac:dyDescent="0.3">
      <c r="C207" s="35" t="s">
        <v>3557</v>
      </c>
      <c r="D207" s="1" t="s">
        <v>1574</v>
      </c>
      <c r="E207" s="1">
        <v>44</v>
      </c>
      <c r="F207" s="1" t="s">
        <v>26</v>
      </c>
      <c r="G207" s="1" t="s">
        <v>27</v>
      </c>
      <c r="H207" s="1" t="s">
        <v>28</v>
      </c>
      <c r="I207" s="1" t="s">
        <v>29</v>
      </c>
      <c r="J207" s="7">
        <v>83230</v>
      </c>
      <c r="K207" s="1">
        <v>793</v>
      </c>
      <c r="L207" s="7">
        <v>44020</v>
      </c>
      <c r="M207" s="1">
        <v>60</v>
      </c>
      <c r="N207" s="6">
        <v>0.14679999999999999</v>
      </c>
      <c r="O207" s="1" t="s">
        <v>41</v>
      </c>
      <c r="P207" s="1" t="s">
        <v>30</v>
      </c>
      <c r="Q207" s="1">
        <v>16</v>
      </c>
      <c r="R207" s="1">
        <v>3</v>
      </c>
      <c r="S207" s="1" t="s">
        <v>31</v>
      </c>
      <c r="T207" s="1" t="s">
        <v>31</v>
      </c>
      <c r="U207" s="1">
        <v>0</v>
      </c>
      <c r="V207" s="1">
        <v>197306</v>
      </c>
      <c r="W207" s="7">
        <v>346.49</v>
      </c>
      <c r="X207" s="1">
        <v>0.64</v>
      </c>
      <c r="Y207" s="4">
        <v>45006</v>
      </c>
      <c r="Z207" s="1" t="s">
        <v>32</v>
      </c>
      <c r="AA207" s="1" t="s">
        <v>33</v>
      </c>
      <c r="AB207" s="36" t="str" cm="1">
        <f t="array" ref="AB207">_xlfn.IFS(K207&gt;650,"LOW",K207&gt;=550,"MEDIUM",K207&lt;550,"HIGH")</f>
        <v>LOW</v>
      </c>
    </row>
    <row r="208" spans="3:28" x14ac:dyDescent="0.3">
      <c r="C208" s="35" t="s">
        <v>3652</v>
      </c>
      <c r="D208" s="1" t="s">
        <v>1664</v>
      </c>
      <c r="E208" s="1">
        <v>55</v>
      </c>
      <c r="F208" s="1" t="s">
        <v>44</v>
      </c>
      <c r="G208" s="1" t="s">
        <v>35</v>
      </c>
      <c r="H208" s="1" t="s">
        <v>54</v>
      </c>
      <c r="I208" s="1" t="s">
        <v>40</v>
      </c>
      <c r="J208" s="7">
        <v>56901</v>
      </c>
      <c r="K208" s="1">
        <v>793</v>
      </c>
      <c r="L208" s="7">
        <v>1868</v>
      </c>
      <c r="M208" s="1">
        <v>36</v>
      </c>
      <c r="N208" s="6">
        <v>0.16449999999999998</v>
      </c>
      <c r="O208" s="1" t="s">
        <v>5</v>
      </c>
      <c r="P208" s="1" t="s">
        <v>30</v>
      </c>
      <c r="Q208" s="1">
        <v>28</v>
      </c>
      <c r="R208" s="1">
        <v>4</v>
      </c>
      <c r="S208" s="1" t="s">
        <v>33</v>
      </c>
      <c r="T208" s="1" t="s">
        <v>31</v>
      </c>
      <c r="U208" s="1">
        <v>3</v>
      </c>
      <c r="V208" s="1">
        <v>3088</v>
      </c>
      <c r="W208" s="7">
        <v>1932.72</v>
      </c>
      <c r="X208" s="1">
        <v>0.93</v>
      </c>
      <c r="Y208" s="4">
        <v>45571</v>
      </c>
      <c r="Z208" s="1" t="s">
        <v>32</v>
      </c>
      <c r="AA208" s="1" t="s">
        <v>33</v>
      </c>
      <c r="AB208" s="36" t="str" cm="1">
        <f t="array" ref="AB208">_xlfn.IFS(K208&gt;650,"LOW",K208&gt;=550,"MEDIUM",K208&lt;550,"HIGH")</f>
        <v>LOW</v>
      </c>
    </row>
    <row r="209" spans="3:28" x14ac:dyDescent="0.3">
      <c r="C209" s="35" t="s">
        <v>2922</v>
      </c>
      <c r="D209" s="1" t="s">
        <v>950</v>
      </c>
      <c r="E209" s="1">
        <v>22</v>
      </c>
      <c r="F209" s="1" t="s">
        <v>44</v>
      </c>
      <c r="G209" s="1" t="s">
        <v>27</v>
      </c>
      <c r="H209" s="1" t="s">
        <v>36</v>
      </c>
      <c r="I209" s="1" t="s">
        <v>40</v>
      </c>
      <c r="J209" s="7">
        <v>133687</v>
      </c>
      <c r="K209" s="1">
        <v>792</v>
      </c>
      <c r="L209" s="7">
        <v>4216</v>
      </c>
      <c r="M209" s="1">
        <v>60</v>
      </c>
      <c r="N209" s="6">
        <v>0.13970000000000002</v>
      </c>
      <c r="O209" s="1" t="s">
        <v>37</v>
      </c>
      <c r="P209" s="1" t="s">
        <v>30</v>
      </c>
      <c r="Q209" s="1">
        <v>5</v>
      </c>
      <c r="R209" s="1">
        <v>2</v>
      </c>
      <c r="S209" s="1" t="s">
        <v>31</v>
      </c>
      <c r="T209" s="1" t="s">
        <v>31</v>
      </c>
      <c r="U209" s="1">
        <v>2</v>
      </c>
      <c r="V209" s="1">
        <v>27621</v>
      </c>
      <c r="W209" s="7">
        <v>999.57</v>
      </c>
      <c r="X209" s="1">
        <v>0.81</v>
      </c>
      <c r="Y209" s="4">
        <v>44567</v>
      </c>
      <c r="Z209" s="1" t="s">
        <v>38</v>
      </c>
      <c r="AA209" s="1" t="s">
        <v>33</v>
      </c>
      <c r="AB209" s="36" t="str" cm="1">
        <f t="array" ref="AB209">_xlfn.IFS(K209&gt;650,"LOW",K209&gt;=550,"MEDIUM",K209&lt;550,"HIGH")</f>
        <v>LOW</v>
      </c>
    </row>
    <row r="210" spans="3:28" x14ac:dyDescent="0.3">
      <c r="C210" s="35" t="s">
        <v>3066</v>
      </c>
      <c r="D210" s="1" t="s">
        <v>1092</v>
      </c>
      <c r="E210" s="1">
        <v>47</v>
      </c>
      <c r="F210" s="1" t="s">
        <v>44</v>
      </c>
      <c r="G210" s="1" t="s">
        <v>56</v>
      </c>
      <c r="H210" s="1" t="s">
        <v>61</v>
      </c>
      <c r="I210" s="1" t="s">
        <v>57</v>
      </c>
      <c r="J210" s="7">
        <v>116516</v>
      </c>
      <c r="K210" s="1">
        <v>792</v>
      </c>
      <c r="L210" s="7">
        <v>32153</v>
      </c>
      <c r="M210" s="1">
        <v>36</v>
      </c>
      <c r="N210" s="6">
        <v>0.14779999999999999</v>
      </c>
      <c r="O210" s="1" t="s">
        <v>37</v>
      </c>
      <c r="P210" s="1" t="s">
        <v>47</v>
      </c>
      <c r="Q210" s="1">
        <v>21</v>
      </c>
      <c r="R210" s="1">
        <v>3</v>
      </c>
      <c r="S210" s="1" t="s">
        <v>33</v>
      </c>
      <c r="T210" s="1" t="s">
        <v>31</v>
      </c>
      <c r="U210" s="1">
        <v>3</v>
      </c>
      <c r="V210" s="1">
        <v>168139</v>
      </c>
      <c r="W210" s="7">
        <v>803.79</v>
      </c>
      <c r="X210" s="1">
        <v>0.93</v>
      </c>
      <c r="Y210" s="4">
        <v>45220</v>
      </c>
      <c r="Z210" s="1" t="s">
        <v>38</v>
      </c>
      <c r="AA210" s="1" t="s">
        <v>33</v>
      </c>
      <c r="AB210" s="36" t="str" cm="1">
        <f t="array" ref="AB210">_xlfn.IFS(K210&gt;650,"LOW",K210&gt;=550,"MEDIUM",K210&lt;550,"HIGH")</f>
        <v>LOW</v>
      </c>
    </row>
    <row r="211" spans="3:28" x14ac:dyDescent="0.3">
      <c r="C211" s="35" t="s">
        <v>3136</v>
      </c>
      <c r="D211" s="1" t="s">
        <v>1161</v>
      </c>
      <c r="E211" s="1">
        <v>27</v>
      </c>
      <c r="F211" s="1" t="s">
        <v>44</v>
      </c>
      <c r="G211" s="1" t="s">
        <v>27</v>
      </c>
      <c r="H211" s="1" t="s">
        <v>28</v>
      </c>
      <c r="I211" s="1" t="s">
        <v>57</v>
      </c>
      <c r="J211" s="7">
        <v>113410</v>
      </c>
      <c r="K211" s="1">
        <v>792</v>
      </c>
      <c r="L211" s="7">
        <v>49581</v>
      </c>
      <c r="M211" s="1">
        <v>24</v>
      </c>
      <c r="N211" s="6">
        <v>0.15770000000000001</v>
      </c>
      <c r="O211" s="1" t="s">
        <v>37</v>
      </c>
      <c r="P211" s="1" t="s">
        <v>50</v>
      </c>
      <c r="Q211" s="1">
        <v>28</v>
      </c>
      <c r="R211" s="1">
        <v>3</v>
      </c>
      <c r="S211" s="1" t="s">
        <v>33</v>
      </c>
      <c r="T211" s="1" t="s">
        <v>33</v>
      </c>
      <c r="U211" s="1">
        <v>2</v>
      </c>
      <c r="V211" s="1">
        <v>131855</v>
      </c>
      <c r="W211" s="7">
        <v>1934.99</v>
      </c>
      <c r="X211" s="1">
        <v>0.86</v>
      </c>
      <c r="Y211" s="4">
        <v>44949</v>
      </c>
      <c r="Z211" s="1" t="s">
        <v>38</v>
      </c>
      <c r="AA211" s="1" t="s">
        <v>33</v>
      </c>
      <c r="AB211" s="36" t="str" cm="1">
        <f t="array" ref="AB211">_xlfn.IFS(K211&gt;650,"LOW",K211&gt;=550,"MEDIUM",K211&lt;550,"HIGH")</f>
        <v>LOW</v>
      </c>
    </row>
    <row r="212" spans="3:28" x14ac:dyDescent="0.3">
      <c r="C212" s="35" t="s">
        <v>2593</v>
      </c>
      <c r="D212" s="1" t="s">
        <v>623</v>
      </c>
      <c r="E212" s="1">
        <v>27</v>
      </c>
      <c r="F212" s="1" t="s">
        <v>44</v>
      </c>
      <c r="G212" s="1" t="s">
        <v>45</v>
      </c>
      <c r="H212" s="1" t="s">
        <v>28</v>
      </c>
      <c r="I212" s="1" t="s">
        <v>40</v>
      </c>
      <c r="J212" s="7">
        <v>79025</v>
      </c>
      <c r="K212" s="1">
        <v>791</v>
      </c>
      <c r="L212" s="7">
        <v>42011</v>
      </c>
      <c r="M212" s="1">
        <v>60</v>
      </c>
      <c r="N212" s="6">
        <v>6.3200000000000006E-2</v>
      </c>
      <c r="O212" s="1" t="s">
        <v>37</v>
      </c>
      <c r="P212" s="1" t="s">
        <v>47</v>
      </c>
      <c r="Q212" s="1">
        <v>24</v>
      </c>
      <c r="R212" s="1">
        <v>1</v>
      </c>
      <c r="S212" s="1" t="s">
        <v>33</v>
      </c>
      <c r="T212" s="1" t="s">
        <v>31</v>
      </c>
      <c r="U212" s="1">
        <v>0</v>
      </c>
      <c r="V212" s="1">
        <v>191460</v>
      </c>
      <c r="W212" s="7">
        <v>1280.1600000000001</v>
      </c>
      <c r="X212" s="1">
        <v>0.73</v>
      </c>
      <c r="Y212" s="4">
        <v>45226</v>
      </c>
      <c r="Z212" s="1" t="s">
        <v>38</v>
      </c>
      <c r="AA212" s="1" t="s">
        <v>33</v>
      </c>
      <c r="AB212" s="36" t="str" cm="1">
        <f t="array" ref="AB212">_xlfn.IFS(K212&gt;650,"LOW",K212&gt;=550,"MEDIUM",K212&lt;550,"HIGH")</f>
        <v>LOW</v>
      </c>
    </row>
    <row r="213" spans="3:28" x14ac:dyDescent="0.3">
      <c r="C213" s="35" t="s">
        <v>2755</v>
      </c>
      <c r="D213" s="1" t="s">
        <v>784</v>
      </c>
      <c r="E213" s="1">
        <v>57</v>
      </c>
      <c r="F213" s="1" t="s">
        <v>44</v>
      </c>
      <c r="G213" s="1" t="s">
        <v>27</v>
      </c>
      <c r="H213" s="1" t="s">
        <v>54</v>
      </c>
      <c r="I213" s="1" t="s">
        <v>40</v>
      </c>
      <c r="J213" s="7">
        <v>95361</v>
      </c>
      <c r="K213" s="1">
        <v>791</v>
      </c>
      <c r="L213" s="7">
        <v>38687</v>
      </c>
      <c r="M213" s="1">
        <v>24</v>
      </c>
      <c r="N213" s="6">
        <v>0.17559999999999998</v>
      </c>
      <c r="O213" s="1" t="s">
        <v>5</v>
      </c>
      <c r="P213" s="1" t="s">
        <v>30</v>
      </c>
      <c r="Q213" s="1">
        <v>27</v>
      </c>
      <c r="R213" s="1">
        <v>4</v>
      </c>
      <c r="S213" s="1" t="s">
        <v>31</v>
      </c>
      <c r="T213" s="1" t="s">
        <v>31</v>
      </c>
      <c r="U213" s="1">
        <v>4</v>
      </c>
      <c r="V213" s="1">
        <v>17511</v>
      </c>
      <c r="W213" s="7">
        <v>1154.8399999999999</v>
      </c>
      <c r="X213" s="1">
        <v>0.74</v>
      </c>
      <c r="Y213" s="4">
        <v>44086</v>
      </c>
      <c r="Z213" s="1" t="s">
        <v>38</v>
      </c>
      <c r="AA213" s="1" t="s">
        <v>33</v>
      </c>
      <c r="AB213" s="36" t="str" cm="1">
        <f t="array" ref="AB213">_xlfn.IFS(K213&gt;650,"LOW",K213&gt;=550,"MEDIUM",K213&lt;550,"HIGH")</f>
        <v>LOW</v>
      </c>
    </row>
    <row r="214" spans="3:28" x14ac:dyDescent="0.3">
      <c r="C214" s="35" t="s">
        <v>3007</v>
      </c>
      <c r="D214" s="1" t="s">
        <v>1034</v>
      </c>
      <c r="E214" s="1">
        <v>52</v>
      </c>
      <c r="F214" s="1" t="s">
        <v>44</v>
      </c>
      <c r="G214" s="1" t="s">
        <v>35</v>
      </c>
      <c r="H214" s="1" t="s">
        <v>61</v>
      </c>
      <c r="I214" s="1" t="s">
        <v>40</v>
      </c>
      <c r="J214" s="7">
        <v>127106</v>
      </c>
      <c r="K214" s="1">
        <v>791</v>
      </c>
      <c r="L214" s="7">
        <v>22256</v>
      </c>
      <c r="M214" s="1">
        <v>12</v>
      </c>
      <c r="N214" s="6">
        <v>0.17739999999999997</v>
      </c>
      <c r="O214" s="1" t="s">
        <v>63</v>
      </c>
      <c r="P214" s="1" t="s">
        <v>50</v>
      </c>
      <c r="Q214" s="1">
        <v>19</v>
      </c>
      <c r="R214" s="1">
        <v>0</v>
      </c>
      <c r="S214" s="1" t="s">
        <v>33</v>
      </c>
      <c r="T214" s="1" t="s">
        <v>33</v>
      </c>
      <c r="U214" s="1">
        <v>0</v>
      </c>
      <c r="V214" s="1">
        <v>44001</v>
      </c>
      <c r="W214" s="7">
        <v>1724.17</v>
      </c>
      <c r="X214" s="1">
        <v>0.42</v>
      </c>
      <c r="Y214" s="4">
        <v>44969</v>
      </c>
      <c r="Z214" s="1" t="s">
        <v>32</v>
      </c>
      <c r="AA214" s="1" t="s">
        <v>33</v>
      </c>
      <c r="AB214" s="36" t="str" cm="1">
        <f t="array" ref="AB214">_xlfn.IFS(K214&gt;650,"LOW",K214&gt;=550,"MEDIUM",K214&lt;550,"HIGH")</f>
        <v>LOW</v>
      </c>
    </row>
    <row r="215" spans="3:28" x14ac:dyDescent="0.3">
      <c r="C215" s="35" t="s">
        <v>3209</v>
      </c>
      <c r="D215" s="1" t="s">
        <v>1233</v>
      </c>
      <c r="E215" s="1">
        <v>52</v>
      </c>
      <c r="F215" s="1" t="s">
        <v>26</v>
      </c>
      <c r="G215" s="1" t="s">
        <v>56</v>
      </c>
      <c r="H215" s="1" t="s">
        <v>36</v>
      </c>
      <c r="I215" s="1" t="s">
        <v>57</v>
      </c>
      <c r="J215" s="7">
        <v>22850</v>
      </c>
      <c r="K215" s="1">
        <v>791</v>
      </c>
      <c r="L215" s="7">
        <v>26362</v>
      </c>
      <c r="M215" s="1">
        <v>12</v>
      </c>
      <c r="N215" s="6">
        <v>9.6600000000000005E-2</v>
      </c>
      <c r="O215" s="1" t="s">
        <v>46</v>
      </c>
      <c r="P215" s="1" t="s">
        <v>47</v>
      </c>
      <c r="Q215" s="1">
        <v>27</v>
      </c>
      <c r="R215" s="1">
        <v>0</v>
      </c>
      <c r="S215" s="1" t="s">
        <v>31</v>
      </c>
      <c r="T215" s="1" t="s">
        <v>31</v>
      </c>
      <c r="U215" s="1">
        <v>4</v>
      </c>
      <c r="V215" s="1">
        <v>59671</v>
      </c>
      <c r="W215" s="7">
        <v>945.68</v>
      </c>
      <c r="X215" s="1">
        <v>0.94</v>
      </c>
      <c r="Y215" s="4">
        <v>44579</v>
      </c>
      <c r="Z215" s="1" t="s">
        <v>32</v>
      </c>
      <c r="AA215" s="1" t="s">
        <v>33</v>
      </c>
      <c r="AB215" s="36" t="str" cm="1">
        <f t="array" ref="AB215">_xlfn.IFS(K215&gt;650,"LOW",K215&gt;=550,"MEDIUM",K215&lt;550,"HIGH")</f>
        <v>LOW</v>
      </c>
    </row>
    <row r="216" spans="3:28" x14ac:dyDescent="0.3">
      <c r="C216" s="35" t="s">
        <v>3342</v>
      </c>
      <c r="D216" s="1" t="s">
        <v>1364</v>
      </c>
      <c r="E216" s="1">
        <v>62</v>
      </c>
      <c r="F216" s="1" t="s">
        <v>44</v>
      </c>
      <c r="G216" s="1" t="s">
        <v>45</v>
      </c>
      <c r="H216" s="1" t="s">
        <v>61</v>
      </c>
      <c r="I216" s="1" t="s">
        <v>57</v>
      </c>
      <c r="J216" s="7">
        <v>40365</v>
      </c>
      <c r="K216" s="1">
        <v>791</v>
      </c>
      <c r="L216" s="7">
        <v>13569</v>
      </c>
      <c r="M216" s="1">
        <v>12</v>
      </c>
      <c r="N216" s="6">
        <v>0.16140000000000002</v>
      </c>
      <c r="O216" s="1" t="s">
        <v>5</v>
      </c>
      <c r="P216" s="1" t="s">
        <v>50</v>
      </c>
      <c r="Q216" s="1">
        <v>14</v>
      </c>
      <c r="R216" s="1">
        <v>3</v>
      </c>
      <c r="S216" s="1" t="s">
        <v>31</v>
      </c>
      <c r="T216" s="1" t="s">
        <v>31</v>
      </c>
      <c r="U216" s="1">
        <v>2</v>
      </c>
      <c r="V216" s="1">
        <v>192711</v>
      </c>
      <c r="W216" s="7">
        <v>935.47</v>
      </c>
      <c r="X216" s="1">
        <v>0.42</v>
      </c>
      <c r="Y216" s="4">
        <v>45822</v>
      </c>
      <c r="Z216" s="1" t="s">
        <v>38</v>
      </c>
      <c r="AA216" s="1" t="s">
        <v>33</v>
      </c>
      <c r="AB216" s="36" t="str" cm="1">
        <f t="array" ref="AB216">_xlfn.IFS(K216&gt;650,"LOW",K216&gt;=550,"MEDIUM",K216&lt;550,"HIGH")</f>
        <v>LOW</v>
      </c>
    </row>
    <row r="217" spans="3:28" x14ac:dyDescent="0.3">
      <c r="C217" s="35" t="s">
        <v>3633</v>
      </c>
      <c r="D217" s="1" t="s">
        <v>1645</v>
      </c>
      <c r="E217" s="1">
        <v>32</v>
      </c>
      <c r="F217" s="1" t="s">
        <v>44</v>
      </c>
      <c r="G217" s="1" t="s">
        <v>45</v>
      </c>
      <c r="H217" s="1" t="s">
        <v>28</v>
      </c>
      <c r="I217" s="1" t="s">
        <v>29</v>
      </c>
      <c r="J217" s="7">
        <v>38161</v>
      </c>
      <c r="K217" s="1">
        <v>791</v>
      </c>
      <c r="L217" s="7">
        <v>47374</v>
      </c>
      <c r="M217" s="1">
        <v>12</v>
      </c>
      <c r="N217" s="6">
        <v>5.5099999999999996E-2</v>
      </c>
      <c r="O217" s="1" t="s">
        <v>52</v>
      </c>
      <c r="P217" s="1" t="s">
        <v>50</v>
      </c>
      <c r="Q217" s="1">
        <v>13</v>
      </c>
      <c r="R217" s="1">
        <v>4</v>
      </c>
      <c r="S217" s="1" t="s">
        <v>31</v>
      </c>
      <c r="T217" s="1" t="s">
        <v>33</v>
      </c>
      <c r="U217" s="1">
        <v>3</v>
      </c>
      <c r="V217" s="1">
        <v>192752</v>
      </c>
      <c r="W217" s="7">
        <v>1183.92</v>
      </c>
      <c r="X217" s="1">
        <v>0.8</v>
      </c>
      <c r="Y217" s="4">
        <v>44110</v>
      </c>
      <c r="Z217" s="1" t="s">
        <v>32</v>
      </c>
      <c r="AA217" s="1" t="s">
        <v>33</v>
      </c>
      <c r="AB217" s="36" t="str" cm="1">
        <f t="array" ref="AB217">_xlfn.IFS(K217&gt;650,"LOW",K217&gt;=550,"MEDIUM",K217&lt;550,"HIGH")</f>
        <v>LOW</v>
      </c>
    </row>
    <row r="218" spans="3:28" x14ac:dyDescent="0.3">
      <c r="C218" s="35" t="s">
        <v>3935</v>
      </c>
      <c r="D218" s="1" t="s">
        <v>1939</v>
      </c>
      <c r="E218" s="1">
        <v>49</v>
      </c>
      <c r="F218" s="1" t="s">
        <v>44</v>
      </c>
      <c r="G218" s="1" t="s">
        <v>35</v>
      </c>
      <c r="H218" s="1" t="s">
        <v>61</v>
      </c>
      <c r="I218" s="1" t="s">
        <v>59</v>
      </c>
      <c r="J218" s="7">
        <v>32062</v>
      </c>
      <c r="K218" s="1">
        <v>791</v>
      </c>
      <c r="L218" s="7">
        <v>30299</v>
      </c>
      <c r="M218" s="1">
        <v>12</v>
      </c>
      <c r="N218" s="6">
        <v>9.6999999999999989E-2</v>
      </c>
      <c r="O218" s="1" t="s">
        <v>52</v>
      </c>
      <c r="P218" s="1" t="s">
        <v>30</v>
      </c>
      <c r="Q218" s="1">
        <v>24</v>
      </c>
      <c r="R218" s="1">
        <v>4</v>
      </c>
      <c r="S218" s="1" t="s">
        <v>33</v>
      </c>
      <c r="T218" s="1" t="s">
        <v>33</v>
      </c>
      <c r="U218" s="1">
        <v>4</v>
      </c>
      <c r="V218" s="1">
        <v>48373</v>
      </c>
      <c r="W218" s="7">
        <v>727.13</v>
      </c>
      <c r="X218" s="1">
        <v>0.6</v>
      </c>
      <c r="Y218" s="4">
        <v>45627</v>
      </c>
      <c r="Z218" s="1" t="s">
        <v>32</v>
      </c>
      <c r="AA218" s="1" t="s">
        <v>33</v>
      </c>
      <c r="AB218" s="36" t="str" cm="1">
        <f t="array" ref="AB218">_xlfn.IFS(K218&gt;650,"LOW",K218&gt;=550,"MEDIUM",K218&lt;550,"HIGH")</f>
        <v>LOW</v>
      </c>
    </row>
    <row r="219" spans="3:28" x14ac:dyDescent="0.3">
      <c r="C219" s="35" t="s">
        <v>3949</v>
      </c>
      <c r="D219" s="1" t="s">
        <v>1951</v>
      </c>
      <c r="E219" s="1">
        <v>45</v>
      </c>
      <c r="F219" s="1" t="s">
        <v>26</v>
      </c>
      <c r="G219" s="1" t="s">
        <v>27</v>
      </c>
      <c r="H219" s="1" t="s">
        <v>36</v>
      </c>
      <c r="I219" s="1" t="s">
        <v>29</v>
      </c>
      <c r="J219" s="7">
        <v>101542</v>
      </c>
      <c r="K219" s="1">
        <v>791</v>
      </c>
      <c r="L219" s="7">
        <v>31225</v>
      </c>
      <c r="M219" s="1">
        <v>60</v>
      </c>
      <c r="N219" s="6">
        <v>6.7299999999999999E-2</v>
      </c>
      <c r="O219" s="1" t="s">
        <v>5</v>
      </c>
      <c r="P219" s="1" t="s">
        <v>47</v>
      </c>
      <c r="Q219" s="1">
        <v>5</v>
      </c>
      <c r="R219" s="1">
        <v>2</v>
      </c>
      <c r="S219" s="1" t="s">
        <v>33</v>
      </c>
      <c r="T219" s="1" t="s">
        <v>33</v>
      </c>
      <c r="U219" s="1">
        <v>4</v>
      </c>
      <c r="V219" s="1">
        <v>61157</v>
      </c>
      <c r="W219" s="7">
        <v>1320.11</v>
      </c>
      <c r="X219" s="1">
        <v>0.86</v>
      </c>
      <c r="Y219" s="4">
        <v>45547</v>
      </c>
      <c r="Z219" s="1" t="s">
        <v>32</v>
      </c>
      <c r="AA219" s="1" t="s">
        <v>33</v>
      </c>
      <c r="AB219" s="36" t="str" cm="1">
        <f t="array" ref="AB219">_xlfn.IFS(K219&gt;650,"LOW",K219&gt;=550,"MEDIUM",K219&lt;550,"HIGH")</f>
        <v>LOW</v>
      </c>
    </row>
    <row r="220" spans="3:28" x14ac:dyDescent="0.3">
      <c r="C220" s="35" t="s">
        <v>3459</v>
      </c>
      <c r="D220" s="1" t="s">
        <v>1477</v>
      </c>
      <c r="E220" s="1">
        <v>24</v>
      </c>
      <c r="F220" s="1" t="s">
        <v>44</v>
      </c>
      <c r="G220" s="1" t="s">
        <v>27</v>
      </c>
      <c r="H220" s="1" t="s">
        <v>61</v>
      </c>
      <c r="I220" s="1" t="s">
        <v>59</v>
      </c>
      <c r="J220" s="7">
        <v>96154</v>
      </c>
      <c r="K220" s="1">
        <v>790</v>
      </c>
      <c r="L220" s="7">
        <v>41843</v>
      </c>
      <c r="M220" s="1">
        <v>48</v>
      </c>
      <c r="N220" s="6">
        <v>9.3699999999999992E-2</v>
      </c>
      <c r="O220" s="1" t="s">
        <v>46</v>
      </c>
      <c r="P220" s="1" t="s">
        <v>50</v>
      </c>
      <c r="Q220" s="1">
        <v>21</v>
      </c>
      <c r="R220" s="1">
        <v>4</v>
      </c>
      <c r="S220" s="1" t="s">
        <v>31</v>
      </c>
      <c r="T220" s="1" t="s">
        <v>31</v>
      </c>
      <c r="U220" s="1">
        <v>4</v>
      </c>
      <c r="V220" s="1">
        <v>29330</v>
      </c>
      <c r="W220" s="7">
        <v>708.18</v>
      </c>
      <c r="X220" s="1">
        <v>0.22</v>
      </c>
      <c r="Y220" s="4">
        <v>45515</v>
      </c>
      <c r="Z220" s="1" t="s">
        <v>38</v>
      </c>
      <c r="AA220" s="1" t="s">
        <v>33</v>
      </c>
      <c r="AB220" s="36" t="str" cm="1">
        <f t="array" ref="AB220">_xlfn.IFS(K220&gt;650,"LOW",K220&gt;=550,"MEDIUM",K220&lt;550,"HIGH")</f>
        <v>LOW</v>
      </c>
    </row>
    <row r="221" spans="3:28" x14ac:dyDescent="0.3">
      <c r="C221" s="35" t="s">
        <v>3470</v>
      </c>
      <c r="D221" s="1" t="s">
        <v>1488</v>
      </c>
      <c r="E221" s="1">
        <v>57</v>
      </c>
      <c r="F221" s="1" t="s">
        <v>44</v>
      </c>
      <c r="G221" s="1" t="s">
        <v>45</v>
      </c>
      <c r="H221" s="1" t="s">
        <v>54</v>
      </c>
      <c r="I221" s="1" t="s">
        <v>40</v>
      </c>
      <c r="J221" s="7">
        <v>142755</v>
      </c>
      <c r="K221" s="1">
        <v>790</v>
      </c>
      <c r="L221" s="7">
        <v>17038</v>
      </c>
      <c r="M221" s="1">
        <v>60</v>
      </c>
      <c r="N221" s="6">
        <v>0.11359999999999999</v>
      </c>
      <c r="O221" s="1" t="s">
        <v>37</v>
      </c>
      <c r="P221" s="1" t="s">
        <v>30</v>
      </c>
      <c r="Q221" s="1">
        <v>3</v>
      </c>
      <c r="R221" s="1">
        <v>3</v>
      </c>
      <c r="S221" s="1" t="s">
        <v>33</v>
      </c>
      <c r="T221" s="1" t="s">
        <v>33</v>
      </c>
      <c r="U221" s="1">
        <v>1</v>
      </c>
      <c r="V221" s="1">
        <v>28831</v>
      </c>
      <c r="W221" s="7">
        <v>453.98</v>
      </c>
      <c r="X221" s="1">
        <v>0.6</v>
      </c>
      <c r="Y221" s="4">
        <v>44155</v>
      </c>
      <c r="Z221" s="1" t="s">
        <v>32</v>
      </c>
      <c r="AA221" s="1" t="s">
        <v>33</v>
      </c>
      <c r="AB221" s="36" t="str" cm="1">
        <f t="array" ref="AB221">_xlfn.IFS(K221&gt;650,"LOW",K221&gt;=550,"MEDIUM",K221&lt;550,"HIGH")</f>
        <v>LOW</v>
      </c>
    </row>
    <row r="222" spans="3:28" x14ac:dyDescent="0.3">
      <c r="C222" s="35" t="s">
        <v>3800</v>
      </c>
      <c r="D222" s="1" t="s">
        <v>1806</v>
      </c>
      <c r="E222" s="1">
        <v>61</v>
      </c>
      <c r="F222" s="1" t="s">
        <v>26</v>
      </c>
      <c r="G222" s="1" t="s">
        <v>45</v>
      </c>
      <c r="H222" s="1" t="s">
        <v>61</v>
      </c>
      <c r="I222" s="1" t="s">
        <v>29</v>
      </c>
      <c r="J222" s="7">
        <v>40842</v>
      </c>
      <c r="K222" s="1">
        <v>790</v>
      </c>
      <c r="L222" s="7">
        <v>41498</v>
      </c>
      <c r="M222" s="1">
        <v>60</v>
      </c>
      <c r="N222" s="6">
        <v>0.13159999999999999</v>
      </c>
      <c r="O222" s="1" t="s">
        <v>41</v>
      </c>
      <c r="P222" s="1" t="s">
        <v>30</v>
      </c>
      <c r="Q222" s="1">
        <v>2</v>
      </c>
      <c r="R222" s="1">
        <v>2</v>
      </c>
      <c r="S222" s="1" t="s">
        <v>33</v>
      </c>
      <c r="T222" s="1" t="s">
        <v>33</v>
      </c>
      <c r="U222" s="1">
        <v>1</v>
      </c>
      <c r="V222" s="1">
        <v>107780</v>
      </c>
      <c r="W222" s="7">
        <v>1855.99</v>
      </c>
      <c r="X222" s="1">
        <v>0.68</v>
      </c>
      <c r="Y222" s="4">
        <v>45787</v>
      </c>
      <c r="Z222" s="1" t="s">
        <v>38</v>
      </c>
      <c r="AA222" s="1" t="s">
        <v>33</v>
      </c>
      <c r="AB222" s="36" t="str" cm="1">
        <f t="array" ref="AB222">_xlfn.IFS(K222&gt;650,"LOW",K222&gt;=550,"MEDIUM",K222&lt;550,"HIGH")</f>
        <v>LOW</v>
      </c>
    </row>
    <row r="223" spans="3:28" x14ac:dyDescent="0.3">
      <c r="C223" s="35" t="s">
        <v>2872</v>
      </c>
      <c r="D223" s="1" t="s">
        <v>900</v>
      </c>
      <c r="E223" s="1">
        <v>45</v>
      </c>
      <c r="F223" s="1" t="s">
        <v>44</v>
      </c>
      <c r="G223" s="1" t="s">
        <v>27</v>
      </c>
      <c r="H223" s="1" t="s">
        <v>54</v>
      </c>
      <c r="I223" s="1" t="s">
        <v>40</v>
      </c>
      <c r="J223" s="7">
        <v>69402</v>
      </c>
      <c r="K223" s="1">
        <v>789</v>
      </c>
      <c r="L223" s="7">
        <v>48925</v>
      </c>
      <c r="M223" s="1">
        <v>36</v>
      </c>
      <c r="N223" s="6">
        <v>0.14080000000000001</v>
      </c>
      <c r="O223" s="1" t="s">
        <v>5</v>
      </c>
      <c r="P223" s="1" t="s">
        <v>50</v>
      </c>
      <c r="Q223" s="1">
        <v>16</v>
      </c>
      <c r="R223" s="1">
        <v>3</v>
      </c>
      <c r="S223" s="1" t="s">
        <v>31</v>
      </c>
      <c r="T223" s="1" t="s">
        <v>33</v>
      </c>
      <c r="U223" s="1">
        <v>2</v>
      </c>
      <c r="V223" s="1">
        <v>31297</v>
      </c>
      <c r="W223" s="7">
        <v>1699.53</v>
      </c>
      <c r="X223" s="1">
        <v>0.95</v>
      </c>
      <c r="Y223" s="4">
        <v>44276</v>
      </c>
      <c r="Z223" s="1" t="s">
        <v>32</v>
      </c>
      <c r="AA223" s="1" t="s">
        <v>31</v>
      </c>
      <c r="AB223" s="36" t="str" cm="1">
        <f t="array" ref="AB223">_xlfn.IFS(K223&gt;650,"LOW",K223&gt;=550,"MEDIUM",K223&lt;550,"HIGH")</f>
        <v>LOW</v>
      </c>
    </row>
    <row r="224" spans="3:28" x14ac:dyDescent="0.3">
      <c r="C224" s="35" t="s">
        <v>3121</v>
      </c>
      <c r="D224" s="1" t="s">
        <v>1146</v>
      </c>
      <c r="E224" s="1">
        <v>45</v>
      </c>
      <c r="F224" s="1" t="s">
        <v>26</v>
      </c>
      <c r="G224" s="1" t="s">
        <v>56</v>
      </c>
      <c r="H224" s="1" t="s">
        <v>28</v>
      </c>
      <c r="I224" s="1" t="s">
        <v>29</v>
      </c>
      <c r="J224" s="7">
        <v>130805</v>
      </c>
      <c r="K224" s="1">
        <v>789</v>
      </c>
      <c r="L224" s="7">
        <v>24526</v>
      </c>
      <c r="M224" s="1">
        <v>12</v>
      </c>
      <c r="N224" s="6">
        <v>5.3800000000000001E-2</v>
      </c>
      <c r="O224" s="1" t="s">
        <v>5</v>
      </c>
      <c r="P224" s="1" t="s">
        <v>50</v>
      </c>
      <c r="Q224" s="1">
        <v>17</v>
      </c>
      <c r="R224" s="1">
        <v>4</v>
      </c>
      <c r="S224" s="1" t="s">
        <v>31</v>
      </c>
      <c r="T224" s="1" t="s">
        <v>31</v>
      </c>
      <c r="U224" s="1">
        <v>0</v>
      </c>
      <c r="V224" s="1">
        <v>85349</v>
      </c>
      <c r="W224" s="7">
        <v>560.65</v>
      </c>
      <c r="X224" s="1">
        <v>0.12</v>
      </c>
      <c r="Y224" s="4">
        <v>45008</v>
      </c>
      <c r="Z224" s="1" t="s">
        <v>38</v>
      </c>
      <c r="AA224" s="1" t="s">
        <v>33</v>
      </c>
      <c r="AB224" s="36" t="str" cm="1">
        <f t="array" ref="AB224">_xlfn.IFS(K224&gt;650,"LOW",K224&gt;=550,"MEDIUM",K224&lt;550,"HIGH")</f>
        <v>LOW</v>
      </c>
    </row>
    <row r="225" spans="3:28" x14ac:dyDescent="0.3">
      <c r="C225" s="35" t="s">
        <v>3122</v>
      </c>
      <c r="D225" s="1" t="s">
        <v>1147</v>
      </c>
      <c r="E225" s="1">
        <v>46</v>
      </c>
      <c r="F225" s="1" t="s">
        <v>44</v>
      </c>
      <c r="G225" s="1" t="s">
        <v>45</v>
      </c>
      <c r="H225" s="1" t="s">
        <v>28</v>
      </c>
      <c r="I225" s="1" t="s">
        <v>59</v>
      </c>
      <c r="J225" s="7">
        <v>101103</v>
      </c>
      <c r="K225" s="1">
        <v>789</v>
      </c>
      <c r="L225" s="7">
        <v>24465</v>
      </c>
      <c r="M225" s="1">
        <v>48</v>
      </c>
      <c r="N225" s="6">
        <v>0.1356</v>
      </c>
      <c r="O225" s="1" t="s">
        <v>46</v>
      </c>
      <c r="P225" s="1" t="s">
        <v>30</v>
      </c>
      <c r="Q225" s="1">
        <v>29</v>
      </c>
      <c r="R225" s="1">
        <v>2</v>
      </c>
      <c r="S225" s="1" t="s">
        <v>33</v>
      </c>
      <c r="T225" s="1" t="s">
        <v>33</v>
      </c>
      <c r="U225" s="1">
        <v>2</v>
      </c>
      <c r="V225" s="1">
        <v>124460</v>
      </c>
      <c r="W225" s="7">
        <v>1311.75</v>
      </c>
      <c r="X225" s="1">
        <v>0.69</v>
      </c>
      <c r="Y225" s="4">
        <v>44841</v>
      </c>
      <c r="Z225" s="1" t="s">
        <v>32</v>
      </c>
      <c r="AA225" s="1" t="s">
        <v>33</v>
      </c>
      <c r="AB225" s="36" t="str" cm="1">
        <f t="array" ref="AB225">_xlfn.IFS(K225&gt;650,"LOW",K225&gt;=550,"MEDIUM",K225&lt;550,"HIGH")</f>
        <v>LOW</v>
      </c>
    </row>
    <row r="226" spans="3:28" x14ac:dyDescent="0.3">
      <c r="C226" s="35" t="s">
        <v>3648</v>
      </c>
      <c r="D226" s="1" t="s">
        <v>1660</v>
      </c>
      <c r="E226" s="1">
        <v>54</v>
      </c>
      <c r="F226" s="1" t="s">
        <v>26</v>
      </c>
      <c r="G226" s="1" t="s">
        <v>27</v>
      </c>
      <c r="H226" s="1" t="s">
        <v>28</v>
      </c>
      <c r="I226" s="1" t="s">
        <v>40</v>
      </c>
      <c r="J226" s="7">
        <v>48906</v>
      </c>
      <c r="K226" s="1">
        <v>789</v>
      </c>
      <c r="L226" s="7">
        <v>24985</v>
      </c>
      <c r="M226" s="1">
        <v>12</v>
      </c>
      <c r="N226" s="6">
        <v>0.17699999999999999</v>
      </c>
      <c r="O226" s="1" t="s">
        <v>52</v>
      </c>
      <c r="P226" s="1" t="s">
        <v>47</v>
      </c>
      <c r="Q226" s="1">
        <v>2</v>
      </c>
      <c r="R226" s="1">
        <v>4</v>
      </c>
      <c r="S226" s="1" t="s">
        <v>31</v>
      </c>
      <c r="T226" s="1" t="s">
        <v>33</v>
      </c>
      <c r="U226" s="1">
        <v>1</v>
      </c>
      <c r="V226" s="1">
        <v>156555</v>
      </c>
      <c r="W226" s="7">
        <v>253.44</v>
      </c>
      <c r="X226" s="1">
        <v>0.22</v>
      </c>
      <c r="Y226" s="4">
        <v>44678</v>
      </c>
      <c r="Z226" s="1" t="s">
        <v>38</v>
      </c>
      <c r="AA226" s="1" t="s">
        <v>33</v>
      </c>
      <c r="AB226" s="36" t="str" cm="1">
        <f t="array" ref="AB226">_xlfn.IFS(K226&gt;650,"LOW",K226&gt;=550,"MEDIUM",K226&lt;550,"HIGH")</f>
        <v>LOW</v>
      </c>
    </row>
    <row r="227" spans="3:28" x14ac:dyDescent="0.3">
      <c r="C227" s="35" t="s">
        <v>3211</v>
      </c>
      <c r="D227" s="1" t="s">
        <v>1235</v>
      </c>
      <c r="E227" s="1">
        <v>36</v>
      </c>
      <c r="F227" s="1" t="s">
        <v>44</v>
      </c>
      <c r="G227" s="1" t="s">
        <v>45</v>
      </c>
      <c r="H227" s="1" t="s">
        <v>28</v>
      </c>
      <c r="I227" s="1" t="s">
        <v>40</v>
      </c>
      <c r="J227" s="7">
        <v>144948</v>
      </c>
      <c r="K227" s="1">
        <v>788</v>
      </c>
      <c r="L227" s="7">
        <v>47539</v>
      </c>
      <c r="M227" s="1">
        <v>48</v>
      </c>
      <c r="N227" s="6">
        <v>7.4299999999999991E-2</v>
      </c>
      <c r="O227" s="1" t="s">
        <v>37</v>
      </c>
      <c r="P227" s="1" t="s">
        <v>50</v>
      </c>
      <c r="Q227" s="1">
        <v>23</v>
      </c>
      <c r="R227" s="1">
        <v>4</v>
      </c>
      <c r="S227" s="1" t="s">
        <v>31</v>
      </c>
      <c r="T227" s="1" t="s">
        <v>31</v>
      </c>
      <c r="U227" s="1">
        <v>2</v>
      </c>
      <c r="V227" s="1">
        <v>116700</v>
      </c>
      <c r="W227" s="7">
        <v>1422.81</v>
      </c>
      <c r="X227" s="1">
        <v>0.87</v>
      </c>
      <c r="Y227" s="4">
        <v>44271</v>
      </c>
      <c r="Z227" s="1" t="s">
        <v>38</v>
      </c>
      <c r="AA227" s="1" t="s">
        <v>33</v>
      </c>
      <c r="AB227" s="36" t="str" cm="1">
        <f t="array" ref="AB227">_xlfn.IFS(K227&gt;650,"LOW",K227&gt;=550,"MEDIUM",K227&lt;550,"HIGH")</f>
        <v>LOW</v>
      </c>
    </row>
    <row r="228" spans="3:28" x14ac:dyDescent="0.3">
      <c r="C228" s="35" t="s">
        <v>3269</v>
      </c>
      <c r="D228" s="1" t="s">
        <v>1292</v>
      </c>
      <c r="E228" s="1">
        <v>49</v>
      </c>
      <c r="F228" s="1" t="s">
        <v>44</v>
      </c>
      <c r="G228" s="1" t="s">
        <v>56</v>
      </c>
      <c r="H228" s="1" t="s">
        <v>28</v>
      </c>
      <c r="I228" s="1" t="s">
        <v>59</v>
      </c>
      <c r="J228" s="7">
        <v>124126</v>
      </c>
      <c r="K228" s="1">
        <v>787</v>
      </c>
      <c r="L228" s="7">
        <v>46334</v>
      </c>
      <c r="M228" s="1">
        <v>60</v>
      </c>
      <c r="N228" s="6">
        <v>9.1799999999999993E-2</v>
      </c>
      <c r="O228" s="1" t="s">
        <v>63</v>
      </c>
      <c r="P228" s="1" t="s">
        <v>30</v>
      </c>
      <c r="Q228" s="1">
        <v>7</v>
      </c>
      <c r="R228" s="1">
        <v>1</v>
      </c>
      <c r="S228" s="1" t="s">
        <v>33</v>
      </c>
      <c r="T228" s="1" t="s">
        <v>33</v>
      </c>
      <c r="U228" s="1">
        <v>1</v>
      </c>
      <c r="V228" s="1">
        <v>113100</v>
      </c>
      <c r="W228" s="7">
        <v>1661.61</v>
      </c>
      <c r="X228" s="1">
        <v>0.88</v>
      </c>
      <c r="Y228" s="4">
        <v>44810</v>
      </c>
      <c r="Z228" s="1" t="s">
        <v>32</v>
      </c>
      <c r="AA228" s="1" t="s">
        <v>33</v>
      </c>
      <c r="AB228" s="36" t="str" cm="1">
        <f t="array" ref="AB228">_xlfn.IFS(K228&gt;650,"LOW",K228&gt;=550,"MEDIUM",K228&lt;550,"HIGH")</f>
        <v>LOW</v>
      </c>
    </row>
    <row r="229" spans="3:28" x14ac:dyDescent="0.3">
      <c r="C229" s="35" t="s">
        <v>2262</v>
      </c>
      <c r="D229" s="1" t="s">
        <v>293</v>
      </c>
      <c r="E229" s="1">
        <v>21</v>
      </c>
      <c r="F229" s="1" t="s">
        <v>26</v>
      </c>
      <c r="G229" s="1" t="s">
        <v>45</v>
      </c>
      <c r="H229" s="1" t="s">
        <v>28</v>
      </c>
      <c r="I229" s="1" t="s">
        <v>29</v>
      </c>
      <c r="J229" s="7">
        <v>128103</v>
      </c>
      <c r="K229" s="1">
        <v>786</v>
      </c>
      <c r="L229" s="7">
        <v>11184</v>
      </c>
      <c r="M229" s="1">
        <v>48</v>
      </c>
      <c r="N229" s="6">
        <v>0.1188</v>
      </c>
      <c r="O229" s="1" t="s">
        <v>5</v>
      </c>
      <c r="P229" s="1" t="s">
        <v>50</v>
      </c>
      <c r="Q229" s="1">
        <v>9</v>
      </c>
      <c r="R229" s="1">
        <v>4</v>
      </c>
      <c r="S229" s="1" t="s">
        <v>33</v>
      </c>
      <c r="T229" s="1" t="s">
        <v>31</v>
      </c>
      <c r="U229" s="1">
        <v>0</v>
      </c>
      <c r="V229" s="1">
        <v>184869</v>
      </c>
      <c r="W229" s="7">
        <v>952.44</v>
      </c>
      <c r="X229" s="1">
        <v>1</v>
      </c>
      <c r="Y229" s="4">
        <v>44618</v>
      </c>
      <c r="Z229" s="1" t="s">
        <v>38</v>
      </c>
      <c r="AA229" s="1" t="s">
        <v>33</v>
      </c>
      <c r="AB229" s="36" t="str" cm="1">
        <f t="array" ref="AB229">_xlfn.IFS(K229&gt;650,"LOW",K229&gt;=550,"MEDIUM",K229&lt;550,"HIGH")</f>
        <v>LOW</v>
      </c>
    </row>
    <row r="230" spans="3:28" x14ac:dyDescent="0.3">
      <c r="C230" s="35" t="s">
        <v>2553</v>
      </c>
      <c r="D230" s="1" t="s">
        <v>583</v>
      </c>
      <c r="E230" s="1">
        <v>33</v>
      </c>
      <c r="F230" s="1" t="s">
        <v>26</v>
      </c>
      <c r="G230" s="1" t="s">
        <v>56</v>
      </c>
      <c r="H230" s="1" t="s">
        <v>36</v>
      </c>
      <c r="I230" s="1" t="s">
        <v>59</v>
      </c>
      <c r="J230" s="7">
        <v>77184</v>
      </c>
      <c r="K230" s="1">
        <v>786</v>
      </c>
      <c r="L230" s="7">
        <v>48605</v>
      </c>
      <c r="M230" s="1">
        <v>48</v>
      </c>
      <c r="N230" s="6">
        <v>5.7200000000000001E-2</v>
      </c>
      <c r="O230" s="1" t="s">
        <v>5</v>
      </c>
      <c r="P230" s="1" t="s">
        <v>30</v>
      </c>
      <c r="Q230" s="1">
        <v>29</v>
      </c>
      <c r="R230" s="1">
        <v>4</v>
      </c>
      <c r="S230" s="1" t="s">
        <v>33</v>
      </c>
      <c r="T230" s="1" t="s">
        <v>33</v>
      </c>
      <c r="U230" s="1">
        <v>1</v>
      </c>
      <c r="V230" s="1">
        <v>11243</v>
      </c>
      <c r="W230" s="7">
        <v>938.42</v>
      </c>
      <c r="X230" s="1">
        <v>0.48</v>
      </c>
      <c r="Y230" s="4">
        <v>45271</v>
      </c>
      <c r="Z230" s="1" t="s">
        <v>38</v>
      </c>
      <c r="AA230" s="1" t="s">
        <v>33</v>
      </c>
      <c r="AB230" s="36" t="str" cm="1">
        <f t="array" ref="AB230">_xlfn.IFS(K230&gt;650,"LOW",K230&gt;=550,"MEDIUM",K230&lt;550,"HIGH")</f>
        <v>LOW</v>
      </c>
    </row>
    <row r="231" spans="3:28" x14ac:dyDescent="0.3">
      <c r="C231" s="35" t="s">
        <v>3299</v>
      </c>
      <c r="D231" s="1" t="s">
        <v>1322</v>
      </c>
      <c r="E231" s="1">
        <v>30</v>
      </c>
      <c r="F231" s="1" t="s">
        <v>26</v>
      </c>
      <c r="G231" s="1" t="s">
        <v>27</v>
      </c>
      <c r="H231" s="1" t="s">
        <v>28</v>
      </c>
      <c r="I231" s="1" t="s">
        <v>29</v>
      </c>
      <c r="J231" s="7">
        <v>64527</v>
      </c>
      <c r="K231" s="1">
        <v>786</v>
      </c>
      <c r="L231" s="7">
        <v>14156</v>
      </c>
      <c r="M231" s="1">
        <v>12</v>
      </c>
      <c r="N231" s="6">
        <v>0.1153</v>
      </c>
      <c r="O231" s="1" t="s">
        <v>63</v>
      </c>
      <c r="P231" s="1" t="s">
        <v>47</v>
      </c>
      <c r="Q231" s="1">
        <v>25</v>
      </c>
      <c r="R231" s="1">
        <v>4</v>
      </c>
      <c r="S231" s="1" t="s">
        <v>31</v>
      </c>
      <c r="T231" s="1" t="s">
        <v>33</v>
      </c>
      <c r="U231" s="1">
        <v>3</v>
      </c>
      <c r="V231" s="1">
        <v>148261</v>
      </c>
      <c r="W231" s="7">
        <v>810.21</v>
      </c>
      <c r="X231" s="1">
        <v>0.39</v>
      </c>
      <c r="Y231" s="4">
        <v>44482</v>
      </c>
      <c r="Z231" s="1" t="s">
        <v>32</v>
      </c>
      <c r="AA231" s="1" t="s">
        <v>33</v>
      </c>
      <c r="AB231" s="36" t="str" cm="1">
        <f t="array" ref="AB231">_xlfn.IFS(K231&gt;650,"LOW",K231&gt;=550,"MEDIUM",K231&lt;550,"HIGH")</f>
        <v>LOW</v>
      </c>
    </row>
    <row r="232" spans="3:28" x14ac:dyDescent="0.3">
      <c r="C232" s="35" t="s">
        <v>3937</v>
      </c>
      <c r="D232" s="1" t="s">
        <v>1941</v>
      </c>
      <c r="E232" s="1">
        <v>55</v>
      </c>
      <c r="F232" s="1" t="s">
        <v>44</v>
      </c>
      <c r="G232" s="1" t="s">
        <v>56</v>
      </c>
      <c r="H232" s="1" t="s">
        <v>61</v>
      </c>
      <c r="I232" s="1" t="s">
        <v>29</v>
      </c>
      <c r="J232" s="7">
        <v>113237</v>
      </c>
      <c r="K232" s="1">
        <v>786</v>
      </c>
      <c r="L232" s="7">
        <v>24946</v>
      </c>
      <c r="M232" s="1">
        <v>60</v>
      </c>
      <c r="N232" s="6">
        <v>0.14730000000000001</v>
      </c>
      <c r="O232" s="1" t="s">
        <v>5</v>
      </c>
      <c r="P232" s="1" t="s">
        <v>30</v>
      </c>
      <c r="Q232" s="1">
        <v>25</v>
      </c>
      <c r="R232" s="1">
        <v>4</v>
      </c>
      <c r="S232" s="1" t="s">
        <v>31</v>
      </c>
      <c r="T232" s="1" t="s">
        <v>31</v>
      </c>
      <c r="U232" s="1">
        <v>1</v>
      </c>
      <c r="V232" s="1">
        <v>196209</v>
      </c>
      <c r="W232" s="7">
        <v>772.38</v>
      </c>
      <c r="X232" s="1">
        <v>0.13</v>
      </c>
      <c r="Y232" s="4">
        <v>44480</v>
      </c>
      <c r="Z232" s="1" t="s">
        <v>32</v>
      </c>
      <c r="AA232" s="1" t="s">
        <v>33</v>
      </c>
      <c r="AB232" s="36" t="str" cm="1">
        <f t="array" ref="AB232">_xlfn.IFS(K232&gt;650,"LOW",K232&gt;=550,"MEDIUM",K232&lt;550,"HIGH")</f>
        <v>LOW</v>
      </c>
    </row>
    <row r="233" spans="3:28" x14ac:dyDescent="0.3">
      <c r="C233" s="35" t="s">
        <v>2924</v>
      </c>
      <c r="D233" s="1" t="s">
        <v>952</v>
      </c>
      <c r="E233" s="1">
        <v>31</v>
      </c>
      <c r="F233" s="1" t="s">
        <v>26</v>
      </c>
      <c r="G233" s="1" t="s">
        <v>27</v>
      </c>
      <c r="H233" s="1" t="s">
        <v>61</v>
      </c>
      <c r="I233" s="1" t="s">
        <v>59</v>
      </c>
      <c r="J233" s="7">
        <v>78773</v>
      </c>
      <c r="K233" s="1">
        <v>785</v>
      </c>
      <c r="L233" s="7">
        <v>29242</v>
      </c>
      <c r="M233" s="1">
        <v>24</v>
      </c>
      <c r="N233" s="6">
        <v>0.1008</v>
      </c>
      <c r="O233" s="1" t="s">
        <v>5</v>
      </c>
      <c r="P233" s="1" t="s">
        <v>50</v>
      </c>
      <c r="Q233" s="1">
        <v>7</v>
      </c>
      <c r="R233" s="1">
        <v>0</v>
      </c>
      <c r="S233" s="1" t="s">
        <v>33</v>
      </c>
      <c r="T233" s="1" t="s">
        <v>31</v>
      </c>
      <c r="U233" s="1">
        <v>1</v>
      </c>
      <c r="V233" s="1">
        <v>14220</v>
      </c>
      <c r="W233" s="7">
        <v>1284.92</v>
      </c>
      <c r="X233" s="1">
        <v>0.81</v>
      </c>
      <c r="Y233" s="4">
        <v>44156</v>
      </c>
      <c r="Z233" s="1" t="s">
        <v>38</v>
      </c>
      <c r="AA233" s="1" t="s">
        <v>33</v>
      </c>
      <c r="AB233" s="36" t="str" cm="1">
        <f t="array" ref="AB233">_xlfn.IFS(K233&gt;650,"LOW",K233&gt;=550,"MEDIUM",K233&lt;550,"HIGH")</f>
        <v>LOW</v>
      </c>
    </row>
    <row r="234" spans="3:28" x14ac:dyDescent="0.3">
      <c r="C234" s="35" t="s">
        <v>3126</v>
      </c>
      <c r="D234" s="1" t="s">
        <v>1151</v>
      </c>
      <c r="E234" s="1">
        <v>27</v>
      </c>
      <c r="F234" s="1" t="s">
        <v>26</v>
      </c>
      <c r="G234" s="1" t="s">
        <v>45</v>
      </c>
      <c r="H234" s="1" t="s">
        <v>28</v>
      </c>
      <c r="I234" s="1" t="s">
        <v>57</v>
      </c>
      <c r="J234" s="7">
        <v>33265</v>
      </c>
      <c r="K234" s="1">
        <v>785</v>
      </c>
      <c r="L234" s="7">
        <v>7931</v>
      </c>
      <c r="M234" s="1">
        <v>48</v>
      </c>
      <c r="N234" s="6">
        <v>9.849999999999999E-2</v>
      </c>
      <c r="O234" s="1" t="s">
        <v>5</v>
      </c>
      <c r="P234" s="1" t="s">
        <v>47</v>
      </c>
      <c r="Q234" s="1">
        <v>20</v>
      </c>
      <c r="R234" s="1">
        <v>2</v>
      </c>
      <c r="S234" s="1" t="s">
        <v>31</v>
      </c>
      <c r="T234" s="1" t="s">
        <v>31</v>
      </c>
      <c r="U234" s="1">
        <v>1</v>
      </c>
      <c r="V234" s="1">
        <v>9778</v>
      </c>
      <c r="W234" s="7">
        <v>974.78</v>
      </c>
      <c r="X234" s="1">
        <v>0.73</v>
      </c>
      <c r="Y234" s="4">
        <v>45316</v>
      </c>
      <c r="Z234" s="1" t="s">
        <v>38</v>
      </c>
      <c r="AA234" s="1" t="s">
        <v>33</v>
      </c>
      <c r="AB234" s="36" t="str" cm="1">
        <f t="array" ref="AB234">_xlfn.IFS(K234&gt;650,"LOW",K234&gt;=550,"MEDIUM",K234&lt;550,"HIGH")</f>
        <v>LOW</v>
      </c>
    </row>
    <row r="235" spans="3:28" x14ac:dyDescent="0.3">
      <c r="C235" s="35" t="s">
        <v>3281</v>
      </c>
      <c r="D235" s="1" t="s">
        <v>1304</v>
      </c>
      <c r="E235" s="1">
        <v>54</v>
      </c>
      <c r="F235" s="1" t="s">
        <v>44</v>
      </c>
      <c r="G235" s="1" t="s">
        <v>56</v>
      </c>
      <c r="H235" s="1" t="s">
        <v>54</v>
      </c>
      <c r="I235" s="1" t="s">
        <v>59</v>
      </c>
      <c r="J235" s="7">
        <v>137243</v>
      </c>
      <c r="K235" s="1">
        <v>785</v>
      </c>
      <c r="L235" s="7">
        <v>8896</v>
      </c>
      <c r="M235" s="1">
        <v>36</v>
      </c>
      <c r="N235" s="6">
        <v>8.6099999999999996E-2</v>
      </c>
      <c r="O235" s="1" t="s">
        <v>5</v>
      </c>
      <c r="P235" s="1" t="s">
        <v>30</v>
      </c>
      <c r="Q235" s="1">
        <v>2</v>
      </c>
      <c r="R235" s="1">
        <v>4</v>
      </c>
      <c r="S235" s="1" t="s">
        <v>31</v>
      </c>
      <c r="T235" s="1" t="s">
        <v>31</v>
      </c>
      <c r="U235" s="1">
        <v>0</v>
      </c>
      <c r="V235" s="1">
        <v>106741</v>
      </c>
      <c r="W235" s="7">
        <v>1431.1</v>
      </c>
      <c r="X235" s="1">
        <v>0.67</v>
      </c>
      <c r="Y235" s="4">
        <v>45351</v>
      </c>
      <c r="Z235" s="1" t="s">
        <v>38</v>
      </c>
      <c r="AA235" s="1" t="s">
        <v>33</v>
      </c>
      <c r="AB235" s="36" t="str" cm="1">
        <f t="array" ref="AB235">_xlfn.IFS(K235&gt;650,"LOW",K235&gt;=550,"MEDIUM",K235&lt;550,"HIGH")</f>
        <v>LOW</v>
      </c>
    </row>
    <row r="236" spans="3:28" x14ac:dyDescent="0.3">
      <c r="C236" s="35" t="s">
        <v>3751</v>
      </c>
      <c r="D236" s="1" t="s">
        <v>1759</v>
      </c>
      <c r="E236" s="1">
        <v>53</v>
      </c>
      <c r="F236" s="1" t="s">
        <v>44</v>
      </c>
      <c r="G236" s="1" t="s">
        <v>27</v>
      </c>
      <c r="H236" s="1" t="s">
        <v>54</v>
      </c>
      <c r="I236" s="1" t="s">
        <v>29</v>
      </c>
      <c r="J236" s="7">
        <v>47197</v>
      </c>
      <c r="K236" s="1">
        <v>785</v>
      </c>
      <c r="L236" s="7">
        <v>16861</v>
      </c>
      <c r="M236" s="1">
        <v>60</v>
      </c>
      <c r="N236" s="6">
        <v>0.1593</v>
      </c>
      <c r="O236" s="1" t="s">
        <v>5</v>
      </c>
      <c r="P236" s="1" t="s">
        <v>47</v>
      </c>
      <c r="Q236" s="1">
        <v>5</v>
      </c>
      <c r="R236" s="1">
        <v>1</v>
      </c>
      <c r="S236" s="1" t="s">
        <v>31</v>
      </c>
      <c r="T236" s="1" t="s">
        <v>33</v>
      </c>
      <c r="U236" s="1">
        <v>1</v>
      </c>
      <c r="V236" s="1">
        <v>139895</v>
      </c>
      <c r="W236" s="7">
        <v>826.07</v>
      </c>
      <c r="X236" s="1">
        <v>0.39</v>
      </c>
      <c r="Y236" s="4">
        <v>44884</v>
      </c>
      <c r="Z236" s="1" t="s">
        <v>32</v>
      </c>
      <c r="AA236" s="1" t="s">
        <v>33</v>
      </c>
      <c r="AB236" s="36" t="str" cm="1">
        <f t="array" ref="AB236">_xlfn.IFS(K236&gt;650,"LOW",K236&gt;=550,"MEDIUM",K236&lt;550,"HIGH")</f>
        <v>LOW</v>
      </c>
    </row>
    <row r="237" spans="3:28" x14ac:dyDescent="0.3">
      <c r="C237" s="35" t="s">
        <v>2096</v>
      </c>
      <c r="D237" s="1" t="s">
        <v>127</v>
      </c>
      <c r="E237" s="1">
        <v>60</v>
      </c>
      <c r="F237" s="1" t="s">
        <v>44</v>
      </c>
      <c r="G237" s="1" t="s">
        <v>35</v>
      </c>
      <c r="H237" s="1" t="s">
        <v>61</v>
      </c>
      <c r="I237" s="1" t="s">
        <v>59</v>
      </c>
      <c r="J237" s="7">
        <v>103795</v>
      </c>
      <c r="K237" s="1">
        <v>784</v>
      </c>
      <c r="L237" s="7">
        <v>28360</v>
      </c>
      <c r="M237" s="1">
        <v>24</v>
      </c>
      <c r="N237" s="6">
        <v>7.1399999999999991E-2</v>
      </c>
      <c r="O237" s="1" t="s">
        <v>52</v>
      </c>
      <c r="P237" s="1" t="s">
        <v>30</v>
      </c>
      <c r="Q237" s="1">
        <v>25</v>
      </c>
      <c r="R237" s="1">
        <v>4</v>
      </c>
      <c r="S237" s="1" t="s">
        <v>31</v>
      </c>
      <c r="T237" s="1" t="s">
        <v>31</v>
      </c>
      <c r="U237" s="1">
        <v>3</v>
      </c>
      <c r="V237" s="1">
        <v>14546</v>
      </c>
      <c r="W237" s="7">
        <v>1873.01</v>
      </c>
      <c r="X237" s="1">
        <v>0.49</v>
      </c>
      <c r="Y237" s="4">
        <v>44481</v>
      </c>
      <c r="Z237" s="1" t="s">
        <v>38</v>
      </c>
      <c r="AA237" s="1" t="s">
        <v>31</v>
      </c>
      <c r="AB237" s="36" t="str" cm="1">
        <f t="array" ref="AB237">_xlfn.IFS(K237&gt;650,"LOW",K237&gt;=550,"MEDIUM",K237&lt;550,"HIGH")</f>
        <v>LOW</v>
      </c>
    </row>
    <row r="238" spans="3:28" x14ac:dyDescent="0.3">
      <c r="C238" s="35" t="s">
        <v>3296</v>
      </c>
      <c r="D238" s="1" t="s">
        <v>1319</v>
      </c>
      <c r="E238" s="1">
        <v>54</v>
      </c>
      <c r="F238" s="1" t="s">
        <v>44</v>
      </c>
      <c r="G238" s="1" t="s">
        <v>56</v>
      </c>
      <c r="H238" s="1" t="s">
        <v>54</v>
      </c>
      <c r="I238" s="1" t="s">
        <v>29</v>
      </c>
      <c r="J238" s="7">
        <v>36138</v>
      </c>
      <c r="K238" s="1">
        <v>784</v>
      </c>
      <c r="L238" s="7">
        <v>5486</v>
      </c>
      <c r="M238" s="1">
        <v>12</v>
      </c>
      <c r="N238" s="6">
        <v>0.11019999999999999</v>
      </c>
      <c r="O238" s="1" t="s">
        <v>5</v>
      </c>
      <c r="P238" s="1" t="s">
        <v>50</v>
      </c>
      <c r="Q238" s="1">
        <v>20</v>
      </c>
      <c r="R238" s="1">
        <v>3</v>
      </c>
      <c r="S238" s="1" t="s">
        <v>31</v>
      </c>
      <c r="T238" s="1" t="s">
        <v>33</v>
      </c>
      <c r="U238" s="1">
        <v>3</v>
      </c>
      <c r="V238" s="1">
        <v>166373</v>
      </c>
      <c r="W238" s="7">
        <v>964.7</v>
      </c>
      <c r="X238" s="1">
        <v>0.86</v>
      </c>
      <c r="Y238" s="4">
        <v>45588</v>
      </c>
      <c r="Z238" s="1" t="s">
        <v>38</v>
      </c>
      <c r="AA238" s="1" t="s">
        <v>33</v>
      </c>
      <c r="AB238" s="36" t="str" cm="1">
        <f t="array" ref="AB238">_xlfn.IFS(K238&gt;650,"LOW",K238&gt;=550,"MEDIUM",K238&lt;550,"HIGH")</f>
        <v>LOW</v>
      </c>
    </row>
    <row r="239" spans="3:28" x14ac:dyDescent="0.3">
      <c r="C239" s="35" t="s">
        <v>3336</v>
      </c>
      <c r="D239" s="1" t="s">
        <v>436</v>
      </c>
      <c r="E239" s="1">
        <v>60</v>
      </c>
      <c r="F239" s="1" t="s">
        <v>26</v>
      </c>
      <c r="G239" s="1" t="s">
        <v>35</v>
      </c>
      <c r="H239" s="1" t="s">
        <v>54</v>
      </c>
      <c r="I239" s="1" t="s">
        <v>59</v>
      </c>
      <c r="J239" s="7">
        <v>127658</v>
      </c>
      <c r="K239" s="1">
        <v>784</v>
      </c>
      <c r="L239" s="7">
        <v>32770</v>
      </c>
      <c r="M239" s="1">
        <v>24</v>
      </c>
      <c r="N239" s="6">
        <v>0.15990000000000001</v>
      </c>
      <c r="O239" s="1" t="s">
        <v>41</v>
      </c>
      <c r="P239" s="1" t="s">
        <v>47</v>
      </c>
      <c r="Q239" s="1">
        <v>17</v>
      </c>
      <c r="R239" s="1">
        <v>4</v>
      </c>
      <c r="S239" s="1" t="s">
        <v>31</v>
      </c>
      <c r="T239" s="1" t="s">
        <v>33</v>
      </c>
      <c r="U239" s="1">
        <v>4</v>
      </c>
      <c r="V239" s="1">
        <v>102398</v>
      </c>
      <c r="W239" s="7">
        <v>815.68</v>
      </c>
      <c r="X239" s="1">
        <v>0.37</v>
      </c>
      <c r="Y239" s="4">
        <v>44221</v>
      </c>
      <c r="Z239" s="1" t="s">
        <v>32</v>
      </c>
      <c r="AA239" s="1" t="s">
        <v>31</v>
      </c>
      <c r="AB239" s="36" t="str" cm="1">
        <f t="array" ref="AB239">_xlfn.IFS(K239&gt;650,"LOW",K239&gt;=550,"MEDIUM",K239&lt;550,"HIGH")</f>
        <v>LOW</v>
      </c>
    </row>
    <row r="240" spans="3:28" x14ac:dyDescent="0.3">
      <c r="C240" s="35" t="s">
        <v>3876</v>
      </c>
      <c r="D240" s="1" t="s">
        <v>1882</v>
      </c>
      <c r="E240" s="1">
        <v>58</v>
      </c>
      <c r="F240" s="1" t="s">
        <v>44</v>
      </c>
      <c r="G240" s="1" t="s">
        <v>27</v>
      </c>
      <c r="H240" s="1" t="s">
        <v>28</v>
      </c>
      <c r="I240" s="1" t="s">
        <v>40</v>
      </c>
      <c r="J240" s="7">
        <v>113286</v>
      </c>
      <c r="K240" s="1">
        <v>784</v>
      </c>
      <c r="L240" s="7">
        <v>47152</v>
      </c>
      <c r="M240" s="1">
        <v>60</v>
      </c>
      <c r="N240" s="6">
        <v>0.19070000000000001</v>
      </c>
      <c r="O240" s="1" t="s">
        <v>63</v>
      </c>
      <c r="P240" s="1" t="s">
        <v>30</v>
      </c>
      <c r="Q240" s="1">
        <v>29</v>
      </c>
      <c r="R240" s="1">
        <v>3</v>
      </c>
      <c r="S240" s="1" t="s">
        <v>33</v>
      </c>
      <c r="T240" s="1" t="s">
        <v>31</v>
      </c>
      <c r="U240" s="1">
        <v>0</v>
      </c>
      <c r="V240" s="1">
        <v>98392</v>
      </c>
      <c r="W240" s="7">
        <v>895.28</v>
      </c>
      <c r="X240" s="1">
        <v>0.21</v>
      </c>
      <c r="Y240" s="4">
        <v>44042</v>
      </c>
      <c r="Z240" s="1" t="s">
        <v>32</v>
      </c>
      <c r="AA240" s="1" t="s">
        <v>31</v>
      </c>
      <c r="AB240" s="36" t="str" cm="1">
        <f t="array" ref="AB240">_xlfn.IFS(K240&gt;650,"LOW",K240&gt;=550,"MEDIUM",K240&lt;550,"HIGH")</f>
        <v>LOW</v>
      </c>
    </row>
    <row r="241" spans="3:28" x14ac:dyDescent="0.3">
      <c r="C241" s="35" t="s">
        <v>3569</v>
      </c>
      <c r="D241" s="1" t="s">
        <v>1586</v>
      </c>
      <c r="E241" s="1">
        <v>47</v>
      </c>
      <c r="F241" s="1" t="s">
        <v>44</v>
      </c>
      <c r="G241" s="1" t="s">
        <v>27</v>
      </c>
      <c r="H241" s="1" t="s">
        <v>28</v>
      </c>
      <c r="I241" s="1" t="s">
        <v>59</v>
      </c>
      <c r="J241" s="7">
        <v>136482</v>
      </c>
      <c r="K241" s="1">
        <v>783</v>
      </c>
      <c r="L241" s="7">
        <v>29924</v>
      </c>
      <c r="M241" s="1">
        <v>36</v>
      </c>
      <c r="N241" s="6">
        <v>0.13300000000000001</v>
      </c>
      <c r="O241" s="1" t="s">
        <v>63</v>
      </c>
      <c r="P241" s="1" t="s">
        <v>50</v>
      </c>
      <c r="Q241" s="1">
        <v>3</v>
      </c>
      <c r="R241" s="1">
        <v>2</v>
      </c>
      <c r="S241" s="1" t="s">
        <v>33</v>
      </c>
      <c r="T241" s="1" t="s">
        <v>33</v>
      </c>
      <c r="U241" s="1">
        <v>2</v>
      </c>
      <c r="V241" s="1">
        <v>87327</v>
      </c>
      <c r="W241" s="7">
        <v>750.47</v>
      </c>
      <c r="X241" s="1">
        <v>0.22</v>
      </c>
      <c r="Y241" s="4">
        <v>45629</v>
      </c>
      <c r="Z241" s="1" t="s">
        <v>32</v>
      </c>
      <c r="AA241" s="1" t="s">
        <v>33</v>
      </c>
      <c r="AB241" s="36" t="str" cm="1">
        <f t="array" ref="AB241">_xlfn.IFS(K241&gt;650,"LOW",K241&gt;=550,"MEDIUM",K241&lt;550,"HIGH")</f>
        <v>LOW</v>
      </c>
    </row>
    <row r="242" spans="3:28" x14ac:dyDescent="0.3">
      <c r="C242" s="35" t="s">
        <v>2561</v>
      </c>
      <c r="D242" s="1" t="s">
        <v>591</v>
      </c>
      <c r="E242" s="1">
        <v>27</v>
      </c>
      <c r="F242" s="1" t="s">
        <v>44</v>
      </c>
      <c r="G242" s="1" t="s">
        <v>35</v>
      </c>
      <c r="H242" s="1" t="s">
        <v>28</v>
      </c>
      <c r="I242" s="1" t="s">
        <v>59</v>
      </c>
      <c r="J242" s="7">
        <v>21537</v>
      </c>
      <c r="K242" s="1">
        <v>782</v>
      </c>
      <c r="L242" s="7">
        <v>36224</v>
      </c>
      <c r="M242" s="1">
        <v>36</v>
      </c>
      <c r="N242" s="6">
        <v>0.16059999999999999</v>
      </c>
      <c r="O242" s="1" t="s">
        <v>37</v>
      </c>
      <c r="P242" s="1" t="s">
        <v>47</v>
      </c>
      <c r="Q242" s="1">
        <v>2</v>
      </c>
      <c r="R242" s="1">
        <v>1</v>
      </c>
      <c r="S242" s="1" t="s">
        <v>31</v>
      </c>
      <c r="T242" s="1" t="s">
        <v>31</v>
      </c>
      <c r="U242" s="1">
        <v>4</v>
      </c>
      <c r="V242" s="1">
        <v>190136</v>
      </c>
      <c r="W242" s="7">
        <v>972.22</v>
      </c>
      <c r="X242" s="1">
        <v>0.16</v>
      </c>
      <c r="Y242" s="4">
        <v>44840</v>
      </c>
      <c r="Z242" s="1" t="s">
        <v>32</v>
      </c>
      <c r="AA242" s="1" t="s">
        <v>33</v>
      </c>
      <c r="AB242" s="36" t="str" cm="1">
        <f t="array" ref="AB242">_xlfn.IFS(K242&gt;650,"LOW",K242&gt;=550,"MEDIUM",K242&lt;550,"HIGH")</f>
        <v>LOW</v>
      </c>
    </row>
    <row r="243" spans="3:28" x14ac:dyDescent="0.3">
      <c r="C243" s="35" t="s">
        <v>2612</v>
      </c>
      <c r="D243" s="1" t="s">
        <v>642</v>
      </c>
      <c r="E243" s="1">
        <v>56</v>
      </c>
      <c r="F243" s="1" t="s">
        <v>26</v>
      </c>
      <c r="G243" s="1" t="s">
        <v>27</v>
      </c>
      <c r="H243" s="1" t="s">
        <v>28</v>
      </c>
      <c r="I243" s="1" t="s">
        <v>57</v>
      </c>
      <c r="J243" s="7">
        <v>56784</v>
      </c>
      <c r="K243" s="1">
        <v>782</v>
      </c>
      <c r="L243" s="7">
        <v>10471</v>
      </c>
      <c r="M243" s="1">
        <v>36</v>
      </c>
      <c r="N243" s="6">
        <v>0.11019999999999999</v>
      </c>
      <c r="O243" s="1" t="s">
        <v>5</v>
      </c>
      <c r="P243" s="1" t="s">
        <v>50</v>
      </c>
      <c r="Q243" s="1">
        <v>18</v>
      </c>
      <c r="R243" s="1">
        <v>0</v>
      </c>
      <c r="S243" s="1" t="s">
        <v>33</v>
      </c>
      <c r="T243" s="1" t="s">
        <v>33</v>
      </c>
      <c r="U243" s="1">
        <v>3</v>
      </c>
      <c r="V243" s="1">
        <v>18830</v>
      </c>
      <c r="W243" s="7">
        <v>1061.79</v>
      </c>
      <c r="X243" s="1">
        <v>0.79</v>
      </c>
      <c r="Y243" s="4">
        <v>45023</v>
      </c>
      <c r="Z243" s="1" t="s">
        <v>32</v>
      </c>
      <c r="AA243" s="1" t="s">
        <v>33</v>
      </c>
      <c r="AB243" s="36" t="str" cm="1">
        <f t="array" ref="AB243">_xlfn.IFS(K243&gt;650,"LOW",K243&gt;=550,"MEDIUM",K243&lt;550,"HIGH")</f>
        <v>LOW</v>
      </c>
    </row>
    <row r="244" spans="3:28" x14ac:dyDescent="0.3">
      <c r="C244" s="35" t="s">
        <v>3487</v>
      </c>
      <c r="D244" s="1" t="s">
        <v>1505</v>
      </c>
      <c r="E244" s="1">
        <v>54</v>
      </c>
      <c r="F244" s="1" t="s">
        <v>26</v>
      </c>
      <c r="G244" s="1" t="s">
        <v>35</v>
      </c>
      <c r="H244" s="1" t="s">
        <v>61</v>
      </c>
      <c r="I244" s="1" t="s">
        <v>59</v>
      </c>
      <c r="J244" s="7">
        <v>80030</v>
      </c>
      <c r="K244" s="1">
        <v>782</v>
      </c>
      <c r="L244" s="7">
        <v>40159</v>
      </c>
      <c r="M244" s="1">
        <v>12</v>
      </c>
      <c r="N244" s="6">
        <v>0.1704</v>
      </c>
      <c r="O244" s="1" t="s">
        <v>46</v>
      </c>
      <c r="P244" s="1" t="s">
        <v>30</v>
      </c>
      <c r="Q244" s="1">
        <v>17</v>
      </c>
      <c r="R244" s="1">
        <v>0</v>
      </c>
      <c r="S244" s="1" t="s">
        <v>33</v>
      </c>
      <c r="T244" s="1" t="s">
        <v>33</v>
      </c>
      <c r="U244" s="1">
        <v>0</v>
      </c>
      <c r="V244" s="1">
        <v>68462</v>
      </c>
      <c r="W244" s="7">
        <v>1490.97</v>
      </c>
      <c r="X244" s="1">
        <v>0.9</v>
      </c>
      <c r="Y244" s="4">
        <v>45445</v>
      </c>
      <c r="Z244" s="1" t="s">
        <v>38</v>
      </c>
      <c r="AA244" s="1" t="s">
        <v>33</v>
      </c>
      <c r="AB244" s="36" t="str" cm="1">
        <f t="array" ref="AB244">_xlfn.IFS(K244&gt;650,"LOW",K244&gt;=550,"MEDIUM",K244&lt;550,"HIGH")</f>
        <v>LOW</v>
      </c>
    </row>
    <row r="245" spans="3:28" x14ac:dyDescent="0.3">
      <c r="C245" s="35" t="s">
        <v>2418</v>
      </c>
      <c r="D245" s="1" t="s">
        <v>448</v>
      </c>
      <c r="E245" s="1">
        <v>50</v>
      </c>
      <c r="F245" s="1" t="s">
        <v>44</v>
      </c>
      <c r="G245" s="1" t="s">
        <v>45</v>
      </c>
      <c r="H245" s="1" t="s">
        <v>54</v>
      </c>
      <c r="I245" s="1" t="s">
        <v>29</v>
      </c>
      <c r="J245" s="7">
        <v>90871</v>
      </c>
      <c r="K245" s="1">
        <v>781</v>
      </c>
      <c r="L245" s="7">
        <v>8254</v>
      </c>
      <c r="M245" s="1">
        <v>60</v>
      </c>
      <c r="N245" s="6">
        <v>0.1963</v>
      </c>
      <c r="O245" s="1" t="s">
        <v>37</v>
      </c>
      <c r="P245" s="1" t="s">
        <v>30</v>
      </c>
      <c r="Q245" s="1">
        <v>10</v>
      </c>
      <c r="R245" s="1">
        <v>4</v>
      </c>
      <c r="S245" s="1" t="s">
        <v>33</v>
      </c>
      <c r="T245" s="1" t="s">
        <v>33</v>
      </c>
      <c r="U245" s="1">
        <v>4</v>
      </c>
      <c r="V245" s="1">
        <v>75809</v>
      </c>
      <c r="W245" s="7">
        <v>408.72</v>
      </c>
      <c r="X245" s="1">
        <v>0.8</v>
      </c>
      <c r="Y245" s="4">
        <v>44157</v>
      </c>
      <c r="Z245" s="1" t="s">
        <v>38</v>
      </c>
      <c r="AA245" s="1" t="s">
        <v>33</v>
      </c>
      <c r="AB245" s="36" t="str" cm="1">
        <f t="array" ref="AB245">_xlfn.IFS(K245&gt;650,"LOW",K245&gt;=550,"MEDIUM",K245&lt;550,"HIGH")</f>
        <v>LOW</v>
      </c>
    </row>
    <row r="246" spans="3:28" x14ac:dyDescent="0.3">
      <c r="C246" s="35" t="s">
        <v>2729</v>
      </c>
      <c r="D246" s="1" t="s">
        <v>759</v>
      </c>
      <c r="E246" s="1">
        <v>41</v>
      </c>
      <c r="F246" s="1" t="s">
        <v>44</v>
      </c>
      <c r="G246" s="1" t="s">
        <v>45</v>
      </c>
      <c r="H246" s="1" t="s">
        <v>36</v>
      </c>
      <c r="I246" s="1" t="s">
        <v>29</v>
      </c>
      <c r="J246" s="7">
        <v>63723</v>
      </c>
      <c r="K246" s="1">
        <v>781</v>
      </c>
      <c r="L246" s="7">
        <v>1510</v>
      </c>
      <c r="M246" s="1">
        <v>24</v>
      </c>
      <c r="N246" s="6">
        <v>9.8699999999999996E-2</v>
      </c>
      <c r="O246" s="1" t="s">
        <v>5</v>
      </c>
      <c r="P246" s="1" t="s">
        <v>30</v>
      </c>
      <c r="Q246" s="1">
        <v>18</v>
      </c>
      <c r="R246" s="1">
        <v>3</v>
      </c>
      <c r="S246" s="1" t="s">
        <v>31</v>
      </c>
      <c r="T246" s="1" t="s">
        <v>33</v>
      </c>
      <c r="U246" s="1">
        <v>0</v>
      </c>
      <c r="V246" s="1">
        <v>59056</v>
      </c>
      <c r="W246" s="7">
        <v>1519.37</v>
      </c>
      <c r="X246" s="1">
        <v>0.66</v>
      </c>
      <c r="Y246" s="4">
        <v>44406</v>
      </c>
      <c r="Z246" s="1" t="s">
        <v>32</v>
      </c>
      <c r="AA246" s="1" t="s">
        <v>33</v>
      </c>
      <c r="AB246" s="36" t="str" cm="1">
        <f t="array" ref="AB246">_xlfn.IFS(K246&gt;650,"LOW",K246&gt;=550,"MEDIUM",K246&lt;550,"HIGH")</f>
        <v>LOW</v>
      </c>
    </row>
    <row r="247" spans="3:28" x14ac:dyDescent="0.3">
      <c r="C247" s="35" t="s">
        <v>2788</v>
      </c>
      <c r="D247" s="1" t="s">
        <v>816</v>
      </c>
      <c r="E247" s="1">
        <v>26</v>
      </c>
      <c r="F247" s="1" t="s">
        <v>44</v>
      </c>
      <c r="G247" s="1" t="s">
        <v>27</v>
      </c>
      <c r="H247" s="1" t="s">
        <v>61</v>
      </c>
      <c r="I247" s="1" t="s">
        <v>40</v>
      </c>
      <c r="J247" s="7">
        <v>67058</v>
      </c>
      <c r="K247" s="1">
        <v>781</v>
      </c>
      <c r="L247" s="7">
        <v>30829</v>
      </c>
      <c r="M247" s="1">
        <v>24</v>
      </c>
      <c r="N247" s="6">
        <v>0.1885</v>
      </c>
      <c r="O247" s="1" t="s">
        <v>37</v>
      </c>
      <c r="P247" s="1" t="s">
        <v>47</v>
      </c>
      <c r="Q247" s="1">
        <v>14</v>
      </c>
      <c r="R247" s="1">
        <v>0</v>
      </c>
      <c r="S247" s="1" t="s">
        <v>31</v>
      </c>
      <c r="T247" s="1" t="s">
        <v>33</v>
      </c>
      <c r="U247" s="1">
        <v>0</v>
      </c>
      <c r="V247" s="1">
        <v>116936</v>
      </c>
      <c r="W247" s="7">
        <v>1569</v>
      </c>
      <c r="X247" s="1">
        <v>0.4</v>
      </c>
      <c r="Y247" s="4">
        <v>45845</v>
      </c>
      <c r="Z247" s="1" t="s">
        <v>32</v>
      </c>
      <c r="AA247" s="1" t="s">
        <v>33</v>
      </c>
      <c r="AB247" s="36" t="str" cm="1">
        <f t="array" ref="AB247">_xlfn.IFS(K247&gt;650,"LOW",K247&gt;=550,"MEDIUM",K247&lt;550,"HIGH")</f>
        <v>LOW</v>
      </c>
    </row>
    <row r="248" spans="3:28" x14ac:dyDescent="0.3">
      <c r="C248" s="35" t="s">
        <v>3077</v>
      </c>
      <c r="D248" s="1" t="s">
        <v>1103</v>
      </c>
      <c r="E248" s="1">
        <v>63</v>
      </c>
      <c r="F248" s="1" t="s">
        <v>44</v>
      </c>
      <c r="G248" s="1" t="s">
        <v>35</v>
      </c>
      <c r="H248" s="1" t="s">
        <v>54</v>
      </c>
      <c r="I248" s="1" t="s">
        <v>40</v>
      </c>
      <c r="J248" s="7">
        <v>30707</v>
      </c>
      <c r="K248" s="1">
        <v>781</v>
      </c>
      <c r="L248" s="7">
        <v>23151</v>
      </c>
      <c r="M248" s="1">
        <v>12</v>
      </c>
      <c r="N248" s="6">
        <v>6.9400000000000003E-2</v>
      </c>
      <c r="O248" s="1" t="s">
        <v>37</v>
      </c>
      <c r="P248" s="1" t="s">
        <v>30</v>
      </c>
      <c r="Q248" s="1">
        <v>3</v>
      </c>
      <c r="R248" s="1">
        <v>2</v>
      </c>
      <c r="S248" s="1" t="s">
        <v>33</v>
      </c>
      <c r="T248" s="1" t="s">
        <v>31</v>
      </c>
      <c r="U248" s="1">
        <v>3</v>
      </c>
      <c r="V248" s="1">
        <v>38554</v>
      </c>
      <c r="W248" s="7">
        <v>1300.6099999999999</v>
      </c>
      <c r="X248" s="1">
        <v>0.65</v>
      </c>
      <c r="Y248" s="4">
        <v>44665</v>
      </c>
      <c r="Z248" s="1" t="s">
        <v>32</v>
      </c>
      <c r="AA248" s="1" t="s">
        <v>31</v>
      </c>
      <c r="AB248" s="36" t="str" cm="1">
        <f t="array" ref="AB248">_xlfn.IFS(K248&gt;650,"LOW",K248&gt;=550,"MEDIUM",K248&lt;550,"HIGH")</f>
        <v>LOW</v>
      </c>
    </row>
    <row r="249" spans="3:28" x14ac:dyDescent="0.3">
      <c r="C249" s="35" t="s">
        <v>3151</v>
      </c>
      <c r="D249" s="1" t="s">
        <v>1175</v>
      </c>
      <c r="E249" s="1">
        <v>42</v>
      </c>
      <c r="F249" s="1" t="s">
        <v>44</v>
      </c>
      <c r="G249" s="1" t="s">
        <v>45</v>
      </c>
      <c r="H249" s="1" t="s">
        <v>28</v>
      </c>
      <c r="I249" s="1" t="s">
        <v>40</v>
      </c>
      <c r="J249" s="7">
        <v>47626</v>
      </c>
      <c r="K249" s="1">
        <v>781</v>
      </c>
      <c r="L249" s="7">
        <v>2924</v>
      </c>
      <c r="M249" s="1">
        <v>48</v>
      </c>
      <c r="N249" s="6">
        <v>0.19829999999999998</v>
      </c>
      <c r="O249" s="1" t="s">
        <v>63</v>
      </c>
      <c r="P249" s="1" t="s">
        <v>30</v>
      </c>
      <c r="Q249" s="1">
        <v>4</v>
      </c>
      <c r="R249" s="1">
        <v>1</v>
      </c>
      <c r="S249" s="1" t="s">
        <v>31</v>
      </c>
      <c r="T249" s="1" t="s">
        <v>33</v>
      </c>
      <c r="U249" s="1">
        <v>1</v>
      </c>
      <c r="V249" s="1">
        <v>190828</v>
      </c>
      <c r="W249" s="7">
        <v>1450.14</v>
      </c>
      <c r="X249" s="1">
        <v>0.96</v>
      </c>
      <c r="Y249" s="4">
        <v>45742</v>
      </c>
      <c r="Z249" s="1" t="s">
        <v>38</v>
      </c>
      <c r="AA249" s="1" t="s">
        <v>33</v>
      </c>
      <c r="AB249" s="36" t="str" cm="1">
        <f t="array" ref="AB249">_xlfn.IFS(K249&gt;650,"LOW",K249&gt;=550,"MEDIUM",K249&lt;550,"HIGH")</f>
        <v>LOW</v>
      </c>
    </row>
    <row r="250" spans="3:28" x14ac:dyDescent="0.3">
      <c r="C250" s="35" t="s">
        <v>3608</v>
      </c>
      <c r="D250" s="1" t="s">
        <v>1622</v>
      </c>
      <c r="E250" s="1">
        <v>52</v>
      </c>
      <c r="F250" s="1" t="s">
        <v>44</v>
      </c>
      <c r="G250" s="1" t="s">
        <v>35</v>
      </c>
      <c r="H250" s="1" t="s">
        <v>28</v>
      </c>
      <c r="I250" s="1" t="s">
        <v>57</v>
      </c>
      <c r="J250" s="7">
        <v>39935</v>
      </c>
      <c r="K250" s="1">
        <v>781</v>
      </c>
      <c r="L250" s="7">
        <v>35129</v>
      </c>
      <c r="M250" s="1">
        <v>48</v>
      </c>
      <c r="N250" s="6">
        <v>0.1802</v>
      </c>
      <c r="O250" s="1" t="s">
        <v>52</v>
      </c>
      <c r="P250" s="1" t="s">
        <v>47</v>
      </c>
      <c r="Q250" s="1">
        <v>23</v>
      </c>
      <c r="R250" s="1">
        <v>3</v>
      </c>
      <c r="S250" s="1" t="s">
        <v>31</v>
      </c>
      <c r="T250" s="1" t="s">
        <v>33</v>
      </c>
      <c r="U250" s="1">
        <v>4</v>
      </c>
      <c r="V250" s="1">
        <v>196712</v>
      </c>
      <c r="W250" s="7">
        <v>853.77</v>
      </c>
      <c r="X250" s="1">
        <v>0.37</v>
      </c>
      <c r="Y250" s="4">
        <v>45606</v>
      </c>
      <c r="Z250" s="1" t="s">
        <v>32</v>
      </c>
      <c r="AA250" s="1" t="s">
        <v>33</v>
      </c>
      <c r="AB250" s="36" t="str" cm="1">
        <f t="array" ref="AB250">_xlfn.IFS(K250&gt;650,"LOW",K250&gt;=550,"MEDIUM",K250&lt;550,"HIGH")</f>
        <v>LOW</v>
      </c>
    </row>
    <row r="251" spans="3:28" x14ac:dyDescent="0.3">
      <c r="C251" s="35" t="s">
        <v>3986</v>
      </c>
      <c r="D251" s="1" t="s">
        <v>1986</v>
      </c>
      <c r="E251" s="1">
        <v>53</v>
      </c>
      <c r="F251" s="1" t="s">
        <v>44</v>
      </c>
      <c r="G251" s="1" t="s">
        <v>35</v>
      </c>
      <c r="H251" s="1" t="s">
        <v>28</v>
      </c>
      <c r="I251" s="1" t="s">
        <v>57</v>
      </c>
      <c r="J251" s="7">
        <v>40968</v>
      </c>
      <c r="K251" s="1">
        <v>781</v>
      </c>
      <c r="L251" s="7">
        <v>37741</v>
      </c>
      <c r="M251" s="1">
        <v>24</v>
      </c>
      <c r="N251" s="6">
        <v>0.15</v>
      </c>
      <c r="O251" s="1" t="s">
        <v>63</v>
      </c>
      <c r="P251" s="1" t="s">
        <v>47</v>
      </c>
      <c r="Q251" s="1">
        <v>17</v>
      </c>
      <c r="R251" s="1">
        <v>3</v>
      </c>
      <c r="S251" s="1" t="s">
        <v>31</v>
      </c>
      <c r="T251" s="1" t="s">
        <v>33</v>
      </c>
      <c r="U251" s="1">
        <v>4</v>
      </c>
      <c r="V251" s="1">
        <v>196461</v>
      </c>
      <c r="W251" s="7">
        <v>264.29000000000002</v>
      </c>
      <c r="X251" s="1">
        <v>0.77</v>
      </c>
      <c r="Y251" s="4">
        <v>44622</v>
      </c>
      <c r="Z251" s="1" t="s">
        <v>32</v>
      </c>
      <c r="AA251" s="1" t="s">
        <v>33</v>
      </c>
      <c r="AB251" s="36" t="str" cm="1">
        <f t="array" ref="AB251">_xlfn.IFS(K251&gt;650,"LOW",K251&gt;=550,"MEDIUM",K251&lt;550,"HIGH")</f>
        <v>LOW</v>
      </c>
    </row>
    <row r="252" spans="3:28" x14ac:dyDescent="0.3">
      <c r="C252" s="35" t="s">
        <v>2080</v>
      </c>
      <c r="D252" s="1" t="s">
        <v>111</v>
      </c>
      <c r="E252" s="1">
        <v>26</v>
      </c>
      <c r="F252" s="1" t="s">
        <v>44</v>
      </c>
      <c r="G252" s="1" t="s">
        <v>35</v>
      </c>
      <c r="H252" s="1" t="s">
        <v>28</v>
      </c>
      <c r="I252" s="1" t="s">
        <v>57</v>
      </c>
      <c r="J252" s="7">
        <v>124843</v>
      </c>
      <c r="K252" s="1">
        <v>780</v>
      </c>
      <c r="L252" s="7">
        <v>30058</v>
      </c>
      <c r="M252" s="1">
        <v>12</v>
      </c>
      <c r="N252" s="6">
        <v>0.14499999999999999</v>
      </c>
      <c r="O252" s="1" t="s">
        <v>37</v>
      </c>
      <c r="P252" s="1" t="s">
        <v>47</v>
      </c>
      <c r="Q252" s="1">
        <v>4</v>
      </c>
      <c r="R252" s="1">
        <v>1</v>
      </c>
      <c r="S252" s="1" t="s">
        <v>31</v>
      </c>
      <c r="T252" s="1" t="s">
        <v>33</v>
      </c>
      <c r="U252" s="1">
        <v>0</v>
      </c>
      <c r="V252" s="1">
        <v>181834</v>
      </c>
      <c r="W252" s="7">
        <v>1072.3</v>
      </c>
      <c r="X252" s="1">
        <v>0.56999999999999995</v>
      </c>
      <c r="Y252" s="4">
        <v>44851</v>
      </c>
      <c r="Z252" s="1" t="s">
        <v>32</v>
      </c>
      <c r="AA252" s="1" t="s">
        <v>33</v>
      </c>
      <c r="AB252" s="36" t="str" cm="1">
        <f t="array" ref="AB252">_xlfn.IFS(K252&gt;650,"LOW",K252&gt;=550,"MEDIUM",K252&lt;550,"HIGH")</f>
        <v>LOW</v>
      </c>
    </row>
    <row r="253" spans="3:28" x14ac:dyDescent="0.3">
      <c r="C253" s="35" t="s">
        <v>3102</v>
      </c>
      <c r="D253" s="1" t="s">
        <v>1127</v>
      </c>
      <c r="E253" s="1">
        <v>42</v>
      </c>
      <c r="F253" s="1" t="s">
        <v>44</v>
      </c>
      <c r="G253" s="1" t="s">
        <v>45</v>
      </c>
      <c r="H253" s="1" t="s">
        <v>61</v>
      </c>
      <c r="I253" s="1" t="s">
        <v>57</v>
      </c>
      <c r="J253" s="7">
        <v>20727</v>
      </c>
      <c r="K253" s="1">
        <v>780</v>
      </c>
      <c r="L253" s="7">
        <v>29768</v>
      </c>
      <c r="M253" s="1">
        <v>12</v>
      </c>
      <c r="N253" s="6">
        <v>0.13919999999999999</v>
      </c>
      <c r="O253" s="1" t="s">
        <v>52</v>
      </c>
      <c r="P253" s="1" t="s">
        <v>47</v>
      </c>
      <c r="Q253" s="1">
        <v>15</v>
      </c>
      <c r="R253" s="1">
        <v>1</v>
      </c>
      <c r="S253" s="1" t="s">
        <v>31</v>
      </c>
      <c r="T253" s="1" t="s">
        <v>31</v>
      </c>
      <c r="U253" s="1">
        <v>0</v>
      </c>
      <c r="V253" s="1">
        <v>189928</v>
      </c>
      <c r="W253" s="7">
        <v>970.73</v>
      </c>
      <c r="X253" s="1">
        <v>0.32</v>
      </c>
      <c r="Y253" s="4">
        <v>44529</v>
      </c>
      <c r="Z253" s="1" t="s">
        <v>32</v>
      </c>
      <c r="AA253" s="1" t="s">
        <v>33</v>
      </c>
      <c r="AB253" s="36" t="str" cm="1">
        <f t="array" ref="AB253">_xlfn.IFS(K253&gt;650,"LOW",K253&gt;=550,"MEDIUM",K253&lt;550,"HIGH")</f>
        <v>LOW</v>
      </c>
    </row>
    <row r="254" spans="3:28" x14ac:dyDescent="0.3">
      <c r="C254" s="35" t="s">
        <v>3292</v>
      </c>
      <c r="D254" s="1" t="s">
        <v>1315</v>
      </c>
      <c r="E254" s="1">
        <v>51</v>
      </c>
      <c r="F254" s="1" t="s">
        <v>26</v>
      </c>
      <c r="G254" s="1" t="s">
        <v>56</v>
      </c>
      <c r="H254" s="1" t="s">
        <v>28</v>
      </c>
      <c r="I254" s="1" t="s">
        <v>29</v>
      </c>
      <c r="J254" s="7">
        <v>137595</v>
      </c>
      <c r="K254" s="1">
        <v>780</v>
      </c>
      <c r="L254" s="7">
        <v>10721</v>
      </c>
      <c r="M254" s="1">
        <v>12</v>
      </c>
      <c r="N254" s="6">
        <v>0.17670000000000002</v>
      </c>
      <c r="O254" s="1" t="s">
        <v>63</v>
      </c>
      <c r="P254" s="1" t="s">
        <v>47</v>
      </c>
      <c r="Q254" s="1">
        <v>27</v>
      </c>
      <c r="R254" s="1">
        <v>2</v>
      </c>
      <c r="S254" s="1" t="s">
        <v>33</v>
      </c>
      <c r="T254" s="1" t="s">
        <v>33</v>
      </c>
      <c r="U254" s="1">
        <v>3</v>
      </c>
      <c r="V254" s="1">
        <v>66436</v>
      </c>
      <c r="W254" s="7">
        <v>219.57</v>
      </c>
      <c r="X254" s="1">
        <v>0.25</v>
      </c>
      <c r="Y254" s="4">
        <v>44151</v>
      </c>
      <c r="Z254" s="1" t="s">
        <v>32</v>
      </c>
      <c r="AA254" s="1" t="s">
        <v>33</v>
      </c>
      <c r="AB254" s="36" t="str" cm="1">
        <f t="array" ref="AB254">_xlfn.IFS(K254&gt;650,"LOW",K254&gt;=550,"MEDIUM",K254&lt;550,"HIGH")</f>
        <v>LOW</v>
      </c>
    </row>
    <row r="255" spans="3:28" x14ac:dyDescent="0.3">
      <c r="C255" s="35" t="s">
        <v>3401</v>
      </c>
      <c r="D255" s="1" t="s">
        <v>1421</v>
      </c>
      <c r="E255" s="1">
        <v>55</v>
      </c>
      <c r="F255" s="1" t="s">
        <v>26</v>
      </c>
      <c r="G255" s="1" t="s">
        <v>45</v>
      </c>
      <c r="H255" s="1" t="s">
        <v>54</v>
      </c>
      <c r="I255" s="1" t="s">
        <v>29</v>
      </c>
      <c r="J255" s="7">
        <v>121387</v>
      </c>
      <c r="K255" s="1">
        <v>780</v>
      </c>
      <c r="L255" s="7">
        <v>11204</v>
      </c>
      <c r="M255" s="1">
        <v>48</v>
      </c>
      <c r="N255" s="6">
        <v>9.1499999999999998E-2</v>
      </c>
      <c r="O255" s="1" t="s">
        <v>5</v>
      </c>
      <c r="P255" s="1" t="s">
        <v>47</v>
      </c>
      <c r="Q255" s="1">
        <v>23</v>
      </c>
      <c r="R255" s="1">
        <v>2</v>
      </c>
      <c r="S255" s="1" t="s">
        <v>33</v>
      </c>
      <c r="T255" s="1" t="s">
        <v>33</v>
      </c>
      <c r="U255" s="1">
        <v>4</v>
      </c>
      <c r="V255" s="1">
        <v>9453</v>
      </c>
      <c r="W255" s="7">
        <v>1880.67</v>
      </c>
      <c r="X255" s="1">
        <v>0.64</v>
      </c>
      <c r="Y255" s="4">
        <v>45216</v>
      </c>
      <c r="Z255" s="1" t="s">
        <v>32</v>
      </c>
      <c r="AA255" s="1" t="s">
        <v>33</v>
      </c>
      <c r="AB255" s="36" t="str" cm="1">
        <f t="array" ref="AB255">_xlfn.IFS(K255&gt;650,"LOW",K255&gt;=550,"MEDIUM",K255&lt;550,"HIGH")</f>
        <v>LOW</v>
      </c>
    </row>
    <row r="256" spans="3:28" x14ac:dyDescent="0.3">
      <c r="C256" s="35" t="s">
        <v>3527</v>
      </c>
      <c r="D256" s="1" t="s">
        <v>1544</v>
      </c>
      <c r="E256" s="1">
        <v>60</v>
      </c>
      <c r="F256" s="1" t="s">
        <v>44</v>
      </c>
      <c r="G256" s="1" t="s">
        <v>56</v>
      </c>
      <c r="H256" s="1" t="s">
        <v>61</v>
      </c>
      <c r="I256" s="1" t="s">
        <v>29</v>
      </c>
      <c r="J256" s="7">
        <v>22413</v>
      </c>
      <c r="K256" s="1">
        <v>780</v>
      </c>
      <c r="L256" s="7">
        <v>26470</v>
      </c>
      <c r="M256" s="1">
        <v>36</v>
      </c>
      <c r="N256" s="6">
        <v>0.1343</v>
      </c>
      <c r="O256" s="1" t="s">
        <v>41</v>
      </c>
      <c r="P256" s="1" t="s">
        <v>30</v>
      </c>
      <c r="Q256" s="1">
        <v>22</v>
      </c>
      <c r="R256" s="1">
        <v>3</v>
      </c>
      <c r="S256" s="1" t="s">
        <v>31</v>
      </c>
      <c r="T256" s="1" t="s">
        <v>31</v>
      </c>
      <c r="U256" s="1">
        <v>3</v>
      </c>
      <c r="V256" s="1">
        <v>163237</v>
      </c>
      <c r="W256" s="7">
        <v>1106.3800000000001</v>
      </c>
      <c r="X256" s="1">
        <v>0.7</v>
      </c>
      <c r="Y256" s="4">
        <v>44465</v>
      </c>
      <c r="Z256" s="1" t="s">
        <v>32</v>
      </c>
      <c r="AA256" s="1" t="s">
        <v>33</v>
      </c>
      <c r="AB256" s="36" t="str" cm="1">
        <f t="array" ref="AB256">_xlfn.IFS(K256&gt;650,"LOW",K256&gt;=550,"MEDIUM",K256&lt;550,"HIGH")</f>
        <v>LOW</v>
      </c>
    </row>
    <row r="257" spans="3:28" x14ac:dyDescent="0.3">
      <c r="C257" s="35" t="s">
        <v>3535</v>
      </c>
      <c r="D257" s="1" t="s">
        <v>1552</v>
      </c>
      <c r="E257" s="1">
        <v>28</v>
      </c>
      <c r="F257" s="1" t="s">
        <v>44</v>
      </c>
      <c r="G257" s="1" t="s">
        <v>45</v>
      </c>
      <c r="H257" s="1" t="s">
        <v>36</v>
      </c>
      <c r="I257" s="1" t="s">
        <v>57</v>
      </c>
      <c r="J257" s="7">
        <v>134897</v>
      </c>
      <c r="K257" s="1">
        <v>780</v>
      </c>
      <c r="L257" s="7">
        <v>5820</v>
      </c>
      <c r="M257" s="1">
        <v>48</v>
      </c>
      <c r="N257" s="6">
        <v>0.1</v>
      </c>
      <c r="O257" s="1" t="s">
        <v>5</v>
      </c>
      <c r="P257" s="1" t="s">
        <v>50</v>
      </c>
      <c r="Q257" s="1">
        <v>29</v>
      </c>
      <c r="R257" s="1">
        <v>1</v>
      </c>
      <c r="S257" s="1" t="s">
        <v>33</v>
      </c>
      <c r="T257" s="1" t="s">
        <v>31</v>
      </c>
      <c r="U257" s="1">
        <v>0</v>
      </c>
      <c r="V257" s="1">
        <v>101016</v>
      </c>
      <c r="W257" s="7">
        <v>132.24</v>
      </c>
      <c r="X257" s="1">
        <v>0.2</v>
      </c>
      <c r="Y257" s="4">
        <v>45259</v>
      </c>
      <c r="Z257" s="1" t="s">
        <v>38</v>
      </c>
      <c r="AA257" s="1" t="s">
        <v>33</v>
      </c>
      <c r="AB257" s="36" t="str" cm="1">
        <f t="array" ref="AB257">_xlfn.IFS(K257&gt;650,"LOW",K257&gt;=550,"MEDIUM",K257&lt;550,"HIGH")</f>
        <v>LOW</v>
      </c>
    </row>
    <row r="258" spans="3:28" x14ac:dyDescent="0.3">
      <c r="C258" s="35" t="s">
        <v>2718</v>
      </c>
      <c r="D258" s="1" t="s">
        <v>748</v>
      </c>
      <c r="E258" s="1">
        <v>51</v>
      </c>
      <c r="F258" s="1" t="s">
        <v>26</v>
      </c>
      <c r="G258" s="1" t="s">
        <v>27</v>
      </c>
      <c r="H258" s="1" t="s">
        <v>28</v>
      </c>
      <c r="I258" s="1" t="s">
        <v>40</v>
      </c>
      <c r="J258" s="7">
        <v>62498</v>
      </c>
      <c r="K258" s="1">
        <v>779</v>
      </c>
      <c r="L258" s="7">
        <v>31203</v>
      </c>
      <c r="M258" s="1">
        <v>12</v>
      </c>
      <c r="N258" s="6">
        <v>0.1331</v>
      </c>
      <c r="O258" s="1" t="s">
        <v>5</v>
      </c>
      <c r="P258" s="1" t="s">
        <v>50</v>
      </c>
      <c r="Q258" s="1">
        <v>5</v>
      </c>
      <c r="R258" s="1">
        <v>3</v>
      </c>
      <c r="S258" s="1" t="s">
        <v>33</v>
      </c>
      <c r="T258" s="1" t="s">
        <v>31</v>
      </c>
      <c r="U258" s="1">
        <v>4</v>
      </c>
      <c r="V258" s="1">
        <v>150147</v>
      </c>
      <c r="W258" s="7">
        <v>168.48</v>
      </c>
      <c r="X258" s="1">
        <v>0.32</v>
      </c>
      <c r="Y258" s="4">
        <v>45064</v>
      </c>
      <c r="Z258" s="1" t="s">
        <v>38</v>
      </c>
      <c r="AA258" s="1" t="s">
        <v>33</v>
      </c>
      <c r="AB258" s="36" t="str" cm="1">
        <f t="array" ref="AB258">_xlfn.IFS(K258&gt;650,"LOW",K258&gt;=550,"MEDIUM",K258&lt;550,"HIGH")</f>
        <v>LOW</v>
      </c>
    </row>
    <row r="259" spans="3:28" x14ac:dyDescent="0.3">
      <c r="C259" s="35" t="s">
        <v>3228</v>
      </c>
      <c r="D259" s="1" t="s">
        <v>1252</v>
      </c>
      <c r="E259" s="1">
        <v>38</v>
      </c>
      <c r="F259" s="1" t="s">
        <v>44</v>
      </c>
      <c r="G259" s="1" t="s">
        <v>45</v>
      </c>
      <c r="H259" s="1" t="s">
        <v>36</v>
      </c>
      <c r="I259" s="1" t="s">
        <v>57</v>
      </c>
      <c r="J259" s="7">
        <v>24924</v>
      </c>
      <c r="K259" s="1">
        <v>779</v>
      </c>
      <c r="L259" s="7">
        <v>3058</v>
      </c>
      <c r="M259" s="1">
        <v>36</v>
      </c>
      <c r="N259" s="6">
        <v>0.10859999999999999</v>
      </c>
      <c r="O259" s="1" t="s">
        <v>52</v>
      </c>
      <c r="P259" s="1" t="s">
        <v>47</v>
      </c>
      <c r="Q259" s="1">
        <v>4</v>
      </c>
      <c r="R259" s="1">
        <v>4</v>
      </c>
      <c r="S259" s="1" t="s">
        <v>31</v>
      </c>
      <c r="T259" s="1" t="s">
        <v>33</v>
      </c>
      <c r="U259" s="1">
        <v>4</v>
      </c>
      <c r="V259" s="1">
        <v>181379</v>
      </c>
      <c r="W259" s="7">
        <v>738.01</v>
      </c>
      <c r="X259" s="1">
        <v>0.9</v>
      </c>
      <c r="Y259" s="4">
        <v>44844</v>
      </c>
      <c r="Z259" s="1" t="s">
        <v>32</v>
      </c>
      <c r="AA259" s="1" t="s">
        <v>33</v>
      </c>
      <c r="AB259" s="36" t="str" cm="1">
        <f t="array" ref="AB259">_xlfn.IFS(K259&gt;650,"LOW",K259&gt;=550,"MEDIUM",K259&lt;550,"HIGH")</f>
        <v>LOW</v>
      </c>
    </row>
    <row r="260" spans="3:28" x14ac:dyDescent="0.3">
      <c r="C260" s="35" t="s">
        <v>3822</v>
      </c>
      <c r="D260" s="1" t="s">
        <v>1828</v>
      </c>
      <c r="E260" s="1">
        <v>52</v>
      </c>
      <c r="F260" s="1" t="s">
        <v>26</v>
      </c>
      <c r="G260" s="1" t="s">
        <v>35</v>
      </c>
      <c r="H260" s="1" t="s">
        <v>36</v>
      </c>
      <c r="I260" s="1" t="s">
        <v>40</v>
      </c>
      <c r="J260" s="7">
        <v>52125</v>
      </c>
      <c r="K260" s="1">
        <v>779</v>
      </c>
      <c r="L260" s="7">
        <v>39575</v>
      </c>
      <c r="M260" s="1">
        <v>60</v>
      </c>
      <c r="N260" s="6">
        <v>6.0100000000000001E-2</v>
      </c>
      <c r="O260" s="1" t="s">
        <v>63</v>
      </c>
      <c r="P260" s="1" t="s">
        <v>47</v>
      </c>
      <c r="Q260" s="1">
        <v>14</v>
      </c>
      <c r="R260" s="1">
        <v>3</v>
      </c>
      <c r="S260" s="1" t="s">
        <v>33</v>
      </c>
      <c r="T260" s="1" t="s">
        <v>31</v>
      </c>
      <c r="U260" s="1">
        <v>4</v>
      </c>
      <c r="V260" s="1">
        <v>107019</v>
      </c>
      <c r="W260" s="7">
        <v>101.42</v>
      </c>
      <c r="X260" s="1">
        <v>1</v>
      </c>
      <c r="Y260" s="4">
        <v>45610</v>
      </c>
      <c r="Z260" s="1" t="s">
        <v>32</v>
      </c>
      <c r="AA260" s="1" t="s">
        <v>33</v>
      </c>
      <c r="AB260" s="36" t="str" cm="1">
        <f t="array" ref="AB260">_xlfn.IFS(K260&gt;650,"LOW",K260&gt;=550,"MEDIUM",K260&lt;550,"HIGH")</f>
        <v>LOW</v>
      </c>
    </row>
    <row r="261" spans="3:28" x14ac:dyDescent="0.3">
      <c r="C261" s="35" t="s">
        <v>2353</v>
      </c>
      <c r="D261" s="1" t="s">
        <v>384</v>
      </c>
      <c r="E261" s="1">
        <v>52</v>
      </c>
      <c r="F261" s="1" t="s">
        <v>44</v>
      </c>
      <c r="G261" s="1" t="s">
        <v>45</v>
      </c>
      <c r="H261" s="1" t="s">
        <v>61</v>
      </c>
      <c r="I261" s="1" t="s">
        <v>57</v>
      </c>
      <c r="J261" s="7">
        <v>146898</v>
      </c>
      <c r="K261" s="1">
        <v>778</v>
      </c>
      <c r="L261" s="7">
        <v>3611</v>
      </c>
      <c r="M261" s="1">
        <v>36</v>
      </c>
      <c r="N261" s="6">
        <v>7.0199999999999999E-2</v>
      </c>
      <c r="O261" s="1" t="s">
        <v>63</v>
      </c>
      <c r="P261" s="1" t="s">
        <v>47</v>
      </c>
      <c r="Q261" s="1">
        <v>9</v>
      </c>
      <c r="R261" s="1">
        <v>1</v>
      </c>
      <c r="S261" s="1" t="s">
        <v>31</v>
      </c>
      <c r="T261" s="1" t="s">
        <v>31</v>
      </c>
      <c r="U261" s="1">
        <v>3</v>
      </c>
      <c r="V261" s="1">
        <v>137557</v>
      </c>
      <c r="W261" s="7">
        <v>1092.3399999999999</v>
      </c>
      <c r="X261" s="1">
        <v>0.92</v>
      </c>
      <c r="Y261" s="4">
        <v>45478</v>
      </c>
      <c r="Z261" s="1" t="s">
        <v>32</v>
      </c>
      <c r="AA261" s="1" t="s">
        <v>33</v>
      </c>
      <c r="AB261" s="36" t="str" cm="1">
        <f t="array" ref="AB261">_xlfn.IFS(K261&gt;650,"LOW",K261&gt;=550,"MEDIUM",K261&lt;550,"HIGH")</f>
        <v>LOW</v>
      </c>
    </row>
    <row r="262" spans="3:28" x14ac:dyDescent="0.3">
      <c r="C262" s="35" t="s">
        <v>3006</v>
      </c>
      <c r="D262" s="1" t="s">
        <v>1033</v>
      </c>
      <c r="E262" s="1">
        <v>34</v>
      </c>
      <c r="F262" s="1" t="s">
        <v>26</v>
      </c>
      <c r="G262" s="1" t="s">
        <v>35</v>
      </c>
      <c r="H262" s="1" t="s">
        <v>61</v>
      </c>
      <c r="I262" s="1" t="s">
        <v>57</v>
      </c>
      <c r="J262" s="7">
        <v>25188</v>
      </c>
      <c r="K262" s="1">
        <v>778</v>
      </c>
      <c r="L262" s="7">
        <v>4066</v>
      </c>
      <c r="M262" s="1">
        <v>24</v>
      </c>
      <c r="N262" s="6">
        <v>0.19320000000000001</v>
      </c>
      <c r="O262" s="1" t="s">
        <v>41</v>
      </c>
      <c r="P262" s="1" t="s">
        <v>50</v>
      </c>
      <c r="Q262" s="1">
        <v>23</v>
      </c>
      <c r="R262" s="1">
        <v>0</v>
      </c>
      <c r="S262" s="1" t="s">
        <v>31</v>
      </c>
      <c r="T262" s="1" t="s">
        <v>33</v>
      </c>
      <c r="U262" s="1">
        <v>4</v>
      </c>
      <c r="V262" s="1">
        <v>117611</v>
      </c>
      <c r="W262" s="7">
        <v>895.11</v>
      </c>
      <c r="X262" s="1">
        <v>0.33</v>
      </c>
      <c r="Y262" s="4">
        <v>44736</v>
      </c>
      <c r="Z262" s="1" t="s">
        <v>32</v>
      </c>
      <c r="AA262" s="1" t="s">
        <v>33</v>
      </c>
      <c r="AB262" s="36" t="str" cm="1">
        <f t="array" ref="AB262">_xlfn.IFS(K262&gt;650,"LOW",K262&gt;=550,"MEDIUM",K262&lt;550,"HIGH")</f>
        <v>LOW</v>
      </c>
    </row>
    <row r="263" spans="3:28" x14ac:dyDescent="0.3">
      <c r="C263" s="35" t="s">
        <v>3056</v>
      </c>
      <c r="D263" s="1" t="s">
        <v>1083</v>
      </c>
      <c r="E263" s="1">
        <v>49</v>
      </c>
      <c r="F263" s="1" t="s">
        <v>44</v>
      </c>
      <c r="G263" s="1" t="s">
        <v>35</v>
      </c>
      <c r="H263" s="1" t="s">
        <v>54</v>
      </c>
      <c r="I263" s="1" t="s">
        <v>57</v>
      </c>
      <c r="J263" s="7">
        <v>101932</v>
      </c>
      <c r="K263" s="1">
        <v>778</v>
      </c>
      <c r="L263" s="7">
        <v>47246</v>
      </c>
      <c r="M263" s="1">
        <v>24</v>
      </c>
      <c r="N263" s="6">
        <v>0.13200000000000001</v>
      </c>
      <c r="O263" s="1" t="s">
        <v>37</v>
      </c>
      <c r="P263" s="1" t="s">
        <v>47</v>
      </c>
      <c r="Q263" s="1">
        <v>5</v>
      </c>
      <c r="R263" s="1">
        <v>0</v>
      </c>
      <c r="S263" s="1" t="s">
        <v>31</v>
      </c>
      <c r="T263" s="1" t="s">
        <v>31</v>
      </c>
      <c r="U263" s="1">
        <v>4</v>
      </c>
      <c r="V263" s="1">
        <v>195249</v>
      </c>
      <c r="W263" s="7">
        <v>1700.61</v>
      </c>
      <c r="X263" s="1">
        <v>0.11</v>
      </c>
      <c r="Y263" s="4">
        <v>45593</v>
      </c>
      <c r="Z263" s="1" t="s">
        <v>38</v>
      </c>
      <c r="AA263" s="1" t="s">
        <v>33</v>
      </c>
      <c r="AB263" s="36" t="str" cm="1">
        <f t="array" ref="AB263">_xlfn.IFS(K263&gt;650,"LOW",K263&gt;=550,"MEDIUM",K263&lt;550,"HIGH")</f>
        <v>LOW</v>
      </c>
    </row>
    <row r="264" spans="3:28" x14ac:dyDescent="0.3">
      <c r="C264" s="35" t="s">
        <v>3301</v>
      </c>
      <c r="D264" s="1" t="s">
        <v>1324</v>
      </c>
      <c r="E264" s="1">
        <v>46</v>
      </c>
      <c r="F264" s="1" t="s">
        <v>26</v>
      </c>
      <c r="G264" s="1" t="s">
        <v>45</v>
      </c>
      <c r="H264" s="1" t="s">
        <v>36</v>
      </c>
      <c r="I264" s="1" t="s">
        <v>57</v>
      </c>
      <c r="J264" s="7">
        <v>112259</v>
      </c>
      <c r="K264" s="1">
        <v>777</v>
      </c>
      <c r="L264" s="7">
        <v>3179</v>
      </c>
      <c r="M264" s="1">
        <v>48</v>
      </c>
      <c r="N264" s="6">
        <v>0.1898</v>
      </c>
      <c r="O264" s="1" t="s">
        <v>5</v>
      </c>
      <c r="P264" s="1" t="s">
        <v>50</v>
      </c>
      <c r="Q264" s="1">
        <v>3</v>
      </c>
      <c r="R264" s="1">
        <v>0</v>
      </c>
      <c r="S264" s="1" t="s">
        <v>33</v>
      </c>
      <c r="T264" s="1" t="s">
        <v>31</v>
      </c>
      <c r="U264" s="1">
        <v>0</v>
      </c>
      <c r="V264" s="1">
        <v>64370</v>
      </c>
      <c r="W264" s="7">
        <v>475.34</v>
      </c>
      <c r="X264" s="1">
        <v>0.46</v>
      </c>
      <c r="Y264" s="4">
        <v>45831</v>
      </c>
      <c r="Z264" s="1" t="s">
        <v>38</v>
      </c>
      <c r="AA264" s="1" t="s">
        <v>33</v>
      </c>
      <c r="AB264" s="36" t="str" cm="1">
        <f t="array" ref="AB264">_xlfn.IFS(K264&gt;650,"LOW",K264&gt;=550,"MEDIUM",K264&lt;550,"HIGH")</f>
        <v>LOW</v>
      </c>
    </row>
    <row r="265" spans="3:28" x14ac:dyDescent="0.3">
      <c r="C265" s="35" t="s">
        <v>3567</v>
      </c>
      <c r="D265" s="1" t="s">
        <v>1584</v>
      </c>
      <c r="E265" s="1">
        <v>62</v>
      </c>
      <c r="F265" s="1" t="s">
        <v>26</v>
      </c>
      <c r="G265" s="1" t="s">
        <v>27</v>
      </c>
      <c r="H265" s="1" t="s">
        <v>36</v>
      </c>
      <c r="I265" s="1" t="s">
        <v>40</v>
      </c>
      <c r="J265" s="7">
        <v>42301</v>
      </c>
      <c r="K265" s="1">
        <v>777</v>
      </c>
      <c r="L265" s="7">
        <v>27639</v>
      </c>
      <c r="M265" s="1">
        <v>24</v>
      </c>
      <c r="N265" s="6">
        <v>0.1822</v>
      </c>
      <c r="O265" s="1" t="s">
        <v>46</v>
      </c>
      <c r="P265" s="1" t="s">
        <v>50</v>
      </c>
      <c r="Q265" s="1">
        <v>20</v>
      </c>
      <c r="R265" s="1">
        <v>0</v>
      </c>
      <c r="S265" s="1" t="s">
        <v>33</v>
      </c>
      <c r="T265" s="1" t="s">
        <v>33</v>
      </c>
      <c r="U265" s="1">
        <v>4</v>
      </c>
      <c r="V265" s="1">
        <v>65744</v>
      </c>
      <c r="W265" s="7">
        <v>1575.51</v>
      </c>
      <c r="X265" s="1">
        <v>0.8</v>
      </c>
      <c r="Y265" s="4">
        <v>44470</v>
      </c>
      <c r="Z265" s="1" t="s">
        <v>32</v>
      </c>
      <c r="AA265" s="1" t="s">
        <v>31</v>
      </c>
      <c r="AB265" s="36" t="str" cm="1">
        <f t="array" ref="AB265">_xlfn.IFS(K265&gt;650,"LOW",K265&gt;=550,"MEDIUM",K265&lt;550,"HIGH")</f>
        <v>LOW</v>
      </c>
    </row>
    <row r="266" spans="3:28" x14ac:dyDescent="0.3">
      <c r="C266" s="35" t="s">
        <v>2129</v>
      </c>
      <c r="D266" s="1" t="s">
        <v>160</v>
      </c>
      <c r="E266" s="1">
        <v>32</v>
      </c>
      <c r="F266" s="1" t="s">
        <v>26</v>
      </c>
      <c r="G266" s="1" t="s">
        <v>56</v>
      </c>
      <c r="H266" s="1" t="s">
        <v>36</v>
      </c>
      <c r="I266" s="1" t="s">
        <v>40</v>
      </c>
      <c r="J266" s="7">
        <v>124672</v>
      </c>
      <c r="K266" s="1">
        <v>776</v>
      </c>
      <c r="L266" s="7">
        <v>40759</v>
      </c>
      <c r="M266" s="1">
        <v>48</v>
      </c>
      <c r="N266" s="6">
        <v>0.16980000000000001</v>
      </c>
      <c r="O266" s="1" t="s">
        <v>37</v>
      </c>
      <c r="P266" s="1" t="s">
        <v>50</v>
      </c>
      <c r="Q266" s="1">
        <v>24</v>
      </c>
      <c r="R266" s="1">
        <v>3</v>
      </c>
      <c r="S266" s="1" t="s">
        <v>33</v>
      </c>
      <c r="T266" s="1" t="s">
        <v>31</v>
      </c>
      <c r="U266" s="1">
        <v>4</v>
      </c>
      <c r="V266" s="1">
        <v>161561</v>
      </c>
      <c r="W266" s="7">
        <v>716.12</v>
      </c>
      <c r="X266" s="1">
        <v>0.77</v>
      </c>
      <c r="Y266" s="4">
        <v>44603</v>
      </c>
      <c r="Z266" s="1" t="s">
        <v>38</v>
      </c>
      <c r="AA266" s="1" t="s">
        <v>33</v>
      </c>
      <c r="AB266" s="36" t="str" cm="1">
        <f t="array" ref="AB266">_xlfn.IFS(K266&gt;650,"LOW",K266&gt;=550,"MEDIUM",K266&lt;550,"HIGH")</f>
        <v>LOW</v>
      </c>
    </row>
    <row r="267" spans="3:28" x14ac:dyDescent="0.3">
      <c r="C267" s="35" t="s">
        <v>2400</v>
      </c>
      <c r="D267" s="1" t="s">
        <v>430</v>
      </c>
      <c r="E267" s="1">
        <v>42</v>
      </c>
      <c r="F267" s="1" t="s">
        <v>44</v>
      </c>
      <c r="G267" s="1" t="s">
        <v>35</v>
      </c>
      <c r="H267" s="1" t="s">
        <v>28</v>
      </c>
      <c r="I267" s="1" t="s">
        <v>40</v>
      </c>
      <c r="J267" s="7">
        <v>106551</v>
      </c>
      <c r="K267" s="1">
        <v>776</v>
      </c>
      <c r="L267" s="7">
        <v>32969</v>
      </c>
      <c r="M267" s="1">
        <v>24</v>
      </c>
      <c r="N267" s="6">
        <v>0.1459</v>
      </c>
      <c r="O267" s="1" t="s">
        <v>37</v>
      </c>
      <c r="P267" s="1" t="s">
        <v>50</v>
      </c>
      <c r="Q267" s="1">
        <v>17</v>
      </c>
      <c r="R267" s="1">
        <v>3</v>
      </c>
      <c r="S267" s="1" t="s">
        <v>33</v>
      </c>
      <c r="T267" s="1" t="s">
        <v>31</v>
      </c>
      <c r="U267" s="1">
        <v>3</v>
      </c>
      <c r="V267" s="1">
        <v>6395</v>
      </c>
      <c r="W267" s="7">
        <v>269.52</v>
      </c>
      <c r="X267" s="1">
        <v>0.84</v>
      </c>
      <c r="Y267" s="4">
        <v>44391</v>
      </c>
      <c r="Z267" s="1" t="s">
        <v>38</v>
      </c>
      <c r="AA267" s="1" t="s">
        <v>31</v>
      </c>
      <c r="AB267" s="36" t="str" cm="1">
        <f t="array" ref="AB267">_xlfn.IFS(K267&gt;650,"LOW",K267&gt;=550,"MEDIUM",K267&lt;550,"HIGH")</f>
        <v>LOW</v>
      </c>
    </row>
    <row r="268" spans="3:28" x14ac:dyDescent="0.3">
      <c r="C268" s="35" t="s">
        <v>2483</v>
      </c>
      <c r="D268" s="1" t="s">
        <v>513</v>
      </c>
      <c r="E268" s="1">
        <v>36</v>
      </c>
      <c r="F268" s="1" t="s">
        <v>26</v>
      </c>
      <c r="G268" s="1" t="s">
        <v>56</v>
      </c>
      <c r="H268" s="1" t="s">
        <v>28</v>
      </c>
      <c r="I268" s="1" t="s">
        <v>29</v>
      </c>
      <c r="J268" s="7">
        <v>30737</v>
      </c>
      <c r="K268" s="1">
        <v>775</v>
      </c>
      <c r="L268" s="7">
        <v>33356</v>
      </c>
      <c r="M268" s="1">
        <v>48</v>
      </c>
      <c r="N268" s="6">
        <v>5.4600000000000003E-2</v>
      </c>
      <c r="O268" s="1" t="s">
        <v>37</v>
      </c>
      <c r="P268" s="1" t="s">
        <v>50</v>
      </c>
      <c r="Q268" s="1">
        <v>1</v>
      </c>
      <c r="R268" s="1">
        <v>2</v>
      </c>
      <c r="S268" s="1" t="s">
        <v>31</v>
      </c>
      <c r="T268" s="1" t="s">
        <v>33</v>
      </c>
      <c r="U268" s="1">
        <v>2</v>
      </c>
      <c r="V268" s="1">
        <v>137679</v>
      </c>
      <c r="W268" s="7">
        <v>1235.48</v>
      </c>
      <c r="X268" s="1">
        <v>0.65</v>
      </c>
      <c r="Y268" s="4">
        <v>44348</v>
      </c>
      <c r="Z268" s="1" t="s">
        <v>32</v>
      </c>
      <c r="AA268" s="1" t="s">
        <v>33</v>
      </c>
      <c r="AB268" s="36" t="str" cm="1">
        <f t="array" ref="AB268">_xlfn.IFS(K268&gt;650,"LOW",K268&gt;=550,"MEDIUM",K268&lt;550,"HIGH")</f>
        <v>LOW</v>
      </c>
    </row>
    <row r="269" spans="3:28" x14ac:dyDescent="0.3">
      <c r="C269" s="35" t="s">
        <v>2901</v>
      </c>
      <c r="D269" s="1" t="s">
        <v>929</v>
      </c>
      <c r="E269" s="1">
        <v>50</v>
      </c>
      <c r="F269" s="1" t="s">
        <v>44</v>
      </c>
      <c r="G269" s="1" t="s">
        <v>45</v>
      </c>
      <c r="H269" s="1" t="s">
        <v>61</v>
      </c>
      <c r="I269" s="1" t="s">
        <v>57</v>
      </c>
      <c r="J269" s="7">
        <v>106148</v>
      </c>
      <c r="K269" s="1">
        <v>775</v>
      </c>
      <c r="L269" s="7">
        <v>24382</v>
      </c>
      <c r="M269" s="1">
        <v>36</v>
      </c>
      <c r="N269" s="6">
        <v>0.11699999999999999</v>
      </c>
      <c r="O269" s="1" t="s">
        <v>41</v>
      </c>
      <c r="P269" s="1" t="s">
        <v>30</v>
      </c>
      <c r="Q269" s="1">
        <v>18</v>
      </c>
      <c r="R269" s="1">
        <v>2</v>
      </c>
      <c r="S269" s="1" t="s">
        <v>33</v>
      </c>
      <c r="T269" s="1" t="s">
        <v>31</v>
      </c>
      <c r="U269" s="1">
        <v>1</v>
      </c>
      <c r="V269" s="1">
        <v>23251</v>
      </c>
      <c r="W269" s="7">
        <v>615.35</v>
      </c>
      <c r="X269" s="1">
        <v>0.22</v>
      </c>
      <c r="Y269" s="4">
        <v>45627</v>
      </c>
      <c r="Z269" s="1" t="s">
        <v>32</v>
      </c>
      <c r="AA269" s="1" t="s">
        <v>33</v>
      </c>
      <c r="AB269" s="36" t="str" cm="1">
        <f t="array" ref="AB269">_xlfn.IFS(K269&gt;650,"LOW",K269&gt;=550,"MEDIUM",K269&lt;550,"HIGH")</f>
        <v>LOW</v>
      </c>
    </row>
    <row r="270" spans="3:28" x14ac:dyDescent="0.3">
      <c r="C270" s="35" t="s">
        <v>2973</v>
      </c>
      <c r="D270" s="1" t="s">
        <v>1001</v>
      </c>
      <c r="E270" s="1">
        <v>34</v>
      </c>
      <c r="F270" s="1" t="s">
        <v>44</v>
      </c>
      <c r="G270" s="1" t="s">
        <v>45</v>
      </c>
      <c r="H270" s="1" t="s">
        <v>28</v>
      </c>
      <c r="I270" s="1" t="s">
        <v>29</v>
      </c>
      <c r="J270" s="7">
        <v>114968</v>
      </c>
      <c r="K270" s="1">
        <v>775</v>
      </c>
      <c r="L270" s="7">
        <v>27562</v>
      </c>
      <c r="M270" s="1">
        <v>48</v>
      </c>
      <c r="N270" s="6">
        <v>0.11130000000000001</v>
      </c>
      <c r="O270" s="1" t="s">
        <v>52</v>
      </c>
      <c r="P270" s="1" t="s">
        <v>30</v>
      </c>
      <c r="Q270" s="1">
        <v>16</v>
      </c>
      <c r="R270" s="1">
        <v>3</v>
      </c>
      <c r="S270" s="1" t="s">
        <v>31</v>
      </c>
      <c r="T270" s="1" t="s">
        <v>33</v>
      </c>
      <c r="U270" s="1">
        <v>2</v>
      </c>
      <c r="V270" s="1">
        <v>4266</v>
      </c>
      <c r="W270" s="7">
        <v>1666.04</v>
      </c>
      <c r="X270" s="1">
        <v>0.5</v>
      </c>
      <c r="Y270" s="4">
        <v>45405</v>
      </c>
      <c r="Z270" s="1" t="s">
        <v>38</v>
      </c>
      <c r="AA270" s="1" t="s">
        <v>33</v>
      </c>
      <c r="AB270" s="36" t="str" cm="1">
        <f t="array" ref="AB270">_xlfn.IFS(K270&gt;650,"LOW",K270&gt;=550,"MEDIUM",K270&lt;550,"HIGH")</f>
        <v>LOW</v>
      </c>
    </row>
    <row r="271" spans="3:28" x14ac:dyDescent="0.3">
      <c r="C271" s="35" t="s">
        <v>3348</v>
      </c>
      <c r="D271" s="1" t="s">
        <v>1370</v>
      </c>
      <c r="E271" s="1">
        <v>64</v>
      </c>
      <c r="F271" s="1" t="s">
        <v>44</v>
      </c>
      <c r="G271" s="1" t="s">
        <v>27</v>
      </c>
      <c r="H271" s="1" t="s">
        <v>36</v>
      </c>
      <c r="I271" s="1" t="s">
        <v>57</v>
      </c>
      <c r="J271" s="7">
        <v>144606</v>
      </c>
      <c r="K271" s="1">
        <v>775</v>
      </c>
      <c r="L271" s="7">
        <v>31314</v>
      </c>
      <c r="M271" s="1">
        <v>60</v>
      </c>
      <c r="N271" s="6">
        <v>0.14610000000000001</v>
      </c>
      <c r="O271" s="1" t="s">
        <v>52</v>
      </c>
      <c r="P271" s="1" t="s">
        <v>47</v>
      </c>
      <c r="Q271" s="1">
        <v>16</v>
      </c>
      <c r="R271" s="1">
        <v>0</v>
      </c>
      <c r="S271" s="1" t="s">
        <v>31</v>
      </c>
      <c r="T271" s="1" t="s">
        <v>31</v>
      </c>
      <c r="U271" s="1">
        <v>0</v>
      </c>
      <c r="V271" s="1">
        <v>18953</v>
      </c>
      <c r="W271" s="7">
        <v>1039.67</v>
      </c>
      <c r="X271" s="1">
        <v>0.66</v>
      </c>
      <c r="Y271" s="4">
        <v>44232</v>
      </c>
      <c r="Z271" s="1" t="s">
        <v>38</v>
      </c>
      <c r="AA271" s="1" t="s">
        <v>33</v>
      </c>
      <c r="AB271" s="36" t="str" cm="1">
        <f t="array" ref="AB271">_xlfn.IFS(K271&gt;650,"LOW",K271&gt;=550,"MEDIUM",K271&lt;550,"HIGH")</f>
        <v>LOW</v>
      </c>
    </row>
    <row r="272" spans="3:28" x14ac:dyDescent="0.3">
      <c r="C272" s="35" t="s">
        <v>3679</v>
      </c>
      <c r="D272" s="1" t="s">
        <v>1691</v>
      </c>
      <c r="E272" s="1">
        <v>23</v>
      </c>
      <c r="F272" s="1" t="s">
        <v>26</v>
      </c>
      <c r="G272" s="1" t="s">
        <v>35</v>
      </c>
      <c r="H272" s="1" t="s">
        <v>54</v>
      </c>
      <c r="I272" s="1" t="s">
        <v>40</v>
      </c>
      <c r="J272" s="7">
        <v>103641</v>
      </c>
      <c r="K272" s="1">
        <v>775</v>
      </c>
      <c r="L272" s="7">
        <v>18996</v>
      </c>
      <c r="M272" s="1">
        <v>36</v>
      </c>
      <c r="N272" s="6">
        <v>0.1051</v>
      </c>
      <c r="O272" s="1" t="s">
        <v>41</v>
      </c>
      <c r="P272" s="1" t="s">
        <v>30</v>
      </c>
      <c r="Q272" s="1">
        <v>15</v>
      </c>
      <c r="R272" s="1">
        <v>3</v>
      </c>
      <c r="S272" s="1" t="s">
        <v>33</v>
      </c>
      <c r="T272" s="1" t="s">
        <v>31</v>
      </c>
      <c r="U272" s="1">
        <v>1</v>
      </c>
      <c r="V272" s="1">
        <v>51072</v>
      </c>
      <c r="W272" s="7">
        <v>1527.78</v>
      </c>
      <c r="X272" s="1">
        <v>0.35</v>
      </c>
      <c r="Y272" s="4">
        <v>44301</v>
      </c>
      <c r="Z272" s="1" t="s">
        <v>32</v>
      </c>
      <c r="AA272" s="1" t="s">
        <v>31</v>
      </c>
      <c r="AB272" s="36" t="str" cm="1">
        <f t="array" ref="AB272">_xlfn.IFS(K272&gt;650,"LOW",K272&gt;=550,"MEDIUM",K272&lt;550,"HIGH")</f>
        <v>LOW</v>
      </c>
    </row>
    <row r="273" spans="3:28" x14ac:dyDescent="0.3">
      <c r="C273" s="35" t="s">
        <v>2086</v>
      </c>
      <c r="D273" s="1" t="s">
        <v>117</v>
      </c>
      <c r="E273" s="1">
        <v>64</v>
      </c>
      <c r="F273" s="1" t="s">
        <v>26</v>
      </c>
      <c r="G273" s="1" t="s">
        <v>56</v>
      </c>
      <c r="H273" s="1" t="s">
        <v>61</v>
      </c>
      <c r="I273" s="1" t="s">
        <v>57</v>
      </c>
      <c r="J273" s="7">
        <v>63333</v>
      </c>
      <c r="K273" s="1">
        <v>774</v>
      </c>
      <c r="L273" s="7">
        <v>37157</v>
      </c>
      <c r="M273" s="1">
        <v>60</v>
      </c>
      <c r="N273" s="6">
        <v>0.17399999999999999</v>
      </c>
      <c r="O273" s="1" t="s">
        <v>5</v>
      </c>
      <c r="P273" s="1" t="s">
        <v>50</v>
      </c>
      <c r="Q273" s="1">
        <v>24</v>
      </c>
      <c r="R273" s="1">
        <v>0</v>
      </c>
      <c r="S273" s="1" t="s">
        <v>31</v>
      </c>
      <c r="T273" s="1" t="s">
        <v>33</v>
      </c>
      <c r="U273" s="1">
        <v>3</v>
      </c>
      <c r="V273" s="1">
        <v>150120</v>
      </c>
      <c r="W273" s="7">
        <v>1452.06</v>
      </c>
      <c r="X273" s="1">
        <v>0.61</v>
      </c>
      <c r="Y273" s="4">
        <v>44517</v>
      </c>
      <c r="Z273" s="1" t="s">
        <v>38</v>
      </c>
      <c r="AA273" s="1" t="s">
        <v>33</v>
      </c>
      <c r="AB273" s="36" t="str" cm="1">
        <f t="array" ref="AB273">_xlfn.IFS(K273&gt;650,"LOW",K273&gt;=550,"MEDIUM",K273&lt;550,"HIGH")</f>
        <v>LOW</v>
      </c>
    </row>
    <row r="274" spans="3:28" x14ac:dyDescent="0.3">
      <c r="C274" s="35" t="s">
        <v>3158</v>
      </c>
      <c r="D274" s="1" t="s">
        <v>1182</v>
      </c>
      <c r="E274" s="1">
        <v>50</v>
      </c>
      <c r="F274" s="1" t="s">
        <v>26</v>
      </c>
      <c r="G274" s="1" t="s">
        <v>35</v>
      </c>
      <c r="H274" s="1" t="s">
        <v>54</v>
      </c>
      <c r="I274" s="1" t="s">
        <v>29</v>
      </c>
      <c r="J274" s="7">
        <v>140594</v>
      </c>
      <c r="K274" s="1">
        <v>774</v>
      </c>
      <c r="L274" s="7">
        <v>1306</v>
      </c>
      <c r="M274" s="1">
        <v>24</v>
      </c>
      <c r="N274" s="6">
        <v>0.1197</v>
      </c>
      <c r="O274" s="1" t="s">
        <v>52</v>
      </c>
      <c r="P274" s="1" t="s">
        <v>30</v>
      </c>
      <c r="Q274" s="1">
        <v>19</v>
      </c>
      <c r="R274" s="1">
        <v>2</v>
      </c>
      <c r="S274" s="1" t="s">
        <v>31</v>
      </c>
      <c r="T274" s="1" t="s">
        <v>31</v>
      </c>
      <c r="U274" s="1">
        <v>2</v>
      </c>
      <c r="V274" s="1">
        <v>149803</v>
      </c>
      <c r="W274" s="7">
        <v>1704.22</v>
      </c>
      <c r="X274" s="1">
        <v>0.54</v>
      </c>
      <c r="Y274" s="4">
        <v>44953</v>
      </c>
      <c r="Z274" s="1" t="s">
        <v>32</v>
      </c>
      <c r="AA274" s="1" t="s">
        <v>33</v>
      </c>
      <c r="AB274" s="36" t="str" cm="1">
        <f t="array" ref="AB274">_xlfn.IFS(K274&gt;650,"LOW",K274&gt;=550,"MEDIUM",K274&lt;550,"HIGH")</f>
        <v>LOW</v>
      </c>
    </row>
    <row r="275" spans="3:28" x14ac:dyDescent="0.3">
      <c r="C275" s="35" t="s">
        <v>3934</v>
      </c>
      <c r="D275" s="1" t="s">
        <v>1938</v>
      </c>
      <c r="E275" s="1">
        <v>46</v>
      </c>
      <c r="F275" s="1" t="s">
        <v>26</v>
      </c>
      <c r="G275" s="1" t="s">
        <v>35</v>
      </c>
      <c r="H275" s="1" t="s">
        <v>36</v>
      </c>
      <c r="I275" s="1" t="s">
        <v>59</v>
      </c>
      <c r="J275" s="7">
        <v>100032</v>
      </c>
      <c r="K275" s="1">
        <v>774</v>
      </c>
      <c r="L275" s="7">
        <v>37212</v>
      </c>
      <c r="M275" s="1">
        <v>24</v>
      </c>
      <c r="N275" s="6">
        <v>0.1757</v>
      </c>
      <c r="O275" s="1" t="s">
        <v>52</v>
      </c>
      <c r="P275" s="1" t="s">
        <v>30</v>
      </c>
      <c r="Q275" s="1">
        <v>5</v>
      </c>
      <c r="R275" s="1">
        <v>3</v>
      </c>
      <c r="S275" s="1" t="s">
        <v>31</v>
      </c>
      <c r="T275" s="1" t="s">
        <v>33</v>
      </c>
      <c r="U275" s="1">
        <v>3</v>
      </c>
      <c r="V275" s="1">
        <v>171335</v>
      </c>
      <c r="W275" s="7">
        <v>678.15</v>
      </c>
      <c r="X275" s="1">
        <v>0.1</v>
      </c>
      <c r="Y275" s="4">
        <v>45832</v>
      </c>
      <c r="Z275" s="1" t="s">
        <v>38</v>
      </c>
      <c r="AA275" s="1" t="s">
        <v>33</v>
      </c>
      <c r="AB275" s="36" t="str" cm="1">
        <f t="array" ref="AB275">_xlfn.IFS(K275&gt;650,"LOW",K275&gt;=550,"MEDIUM",K275&lt;550,"HIGH")</f>
        <v>LOW</v>
      </c>
    </row>
    <row r="276" spans="3:28" x14ac:dyDescent="0.3">
      <c r="C276" s="35" t="s">
        <v>2976</v>
      </c>
      <c r="D276" s="1" t="s">
        <v>1004</v>
      </c>
      <c r="E276" s="1">
        <v>54</v>
      </c>
      <c r="F276" s="1" t="s">
        <v>26</v>
      </c>
      <c r="G276" s="1" t="s">
        <v>45</v>
      </c>
      <c r="H276" s="1" t="s">
        <v>28</v>
      </c>
      <c r="I276" s="1" t="s">
        <v>57</v>
      </c>
      <c r="J276" s="7">
        <v>57146</v>
      </c>
      <c r="K276" s="1">
        <v>773</v>
      </c>
      <c r="L276" s="7">
        <v>31164</v>
      </c>
      <c r="M276" s="1">
        <v>60</v>
      </c>
      <c r="N276" s="6">
        <v>0.19600000000000001</v>
      </c>
      <c r="O276" s="1" t="s">
        <v>63</v>
      </c>
      <c r="P276" s="1" t="s">
        <v>50</v>
      </c>
      <c r="Q276" s="1">
        <v>25</v>
      </c>
      <c r="R276" s="1">
        <v>0</v>
      </c>
      <c r="S276" s="1" t="s">
        <v>31</v>
      </c>
      <c r="T276" s="1" t="s">
        <v>31</v>
      </c>
      <c r="U276" s="1">
        <v>3</v>
      </c>
      <c r="V276" s="1">
        <v>22068</v>
      </c>
      <c r="W276" s="7">
        <v>695.89</v>
      </c>
      <c r="X276" s="1">
        <v>0.49</v>
      </c>
      <c r="Y276" s="4">
        <v>44167</v>
      </c>
      <c r="Z276" s="1" t="s">
        <v>32</v>
      </c>
      <c r="AA276" s="1" t="s">
        <v>33</v>
      </c>
      <c r="AB276" s="36" t="str" cm="1">
        <f t="array" ref="AB276">_xlfn.IFS(K276&gt;650,"LOW",K276&gt;=550,"MEDIUM",K276&lt;550,"HIGH")</f>
        <v>LOW</v>
      </c>
    </row>
    <row r="277" spans="3:28" x14ac:dyDescent="0.3">
      <c r="C277" s="35" t="s">
        <v>3080</v>
      </c>
      <c r="D277" s="1" t="s">
        <v>1106</v>
      </c>
      <c r="E277" s="1">
        <v>33</v>
      </c>
      <c r="F277" s="1" t="s">
        <v>26</v>
      </c>
      <c r="G277" s="1" t="s">
        <v>35</v>
      </c>
      <c r="H277" s="1" t="s">
        <v>36</v>
      </c>
      <c r="I277" s="1" t="s">
        <v>57</v>
      </c>
      <c r="J277" s="7">
        <v>23543</v>
      </c>
      <c r="K277" s="1">
        <v>773</v>
      </c>
      <c r="L277" s="7">
        <v>4841</v>
      </c>
      <c r="M277" s="1">
        <v>48</v>
      </c>
      <c r="N277" s="6">
        <v>0.1424</v>
      </c>
      <c r="O277" s="1" t="s">
        <v>37</v>
      </c>
      <c r="P277" s="1" t="s">
        <v>47</v>
      </c>
      <c r="Q277" s="1">
        <v>26</v>
      </c>
      <c r="R277" s="1">
        <v>4</v>
      </c>
      <c r="S277" s="1" t="s">
        <v>31</v>
      </c>
      <c r="T277" s="1" t="s">
        <v>33</v>
      </c>
      <c r="U277" s="1">
        <v>0</v>
      </c>
      <c r="V277" s="1">
        <v>192590</v>
      </c>
      <c r="W277" s="7">
        <v>1676.06</v>
      </c>
      <c r="X277" s="1">
        <v>0.65</v>
      </c>
      <c r="Y277" s="4">
        <v>45066</v>
      </c>
      <c r="Z277" s="1" t="s">
        <v>38</v>
      </c>
      <c r="AA277" s="1" t="s">
        <v>33</v>
      </c>
      <c r="AB277" s="36" t="str" cm="1">
        <f t="array" ref="AB277">_xlfn.IFS(K277&gt;650,"LOW",K277&gt;=550,"MEDIUM",K277&lt;550,"HIGH")</f>
        <v>LOW</v>
      </c>
    </row>
    <row r="278" spans="3:28" x14ac:dyDescent="0.3">
      <c r="C278" s="35" t="s">
        <v>3484</v>
      </c>
      <c r="D278" s="1" t="s">
        <v>1502</v>
      </c>
      <c r="E278" s="1">
        <v>49</v>
      </c>
      <c r="F278" s="1" t="s">
        <v>26</v>
      </c>
      <c r="G278" s="1" t="s">
        <v>27</v>
      </c>
      <c r="H278" s="1" t="s">
        <v>54</v>
      </c>
      <c r="I278" s="1" t="s">
        <v>29</v>
      </c>
      <c r="J278" s="7">
        <v>125764</v>
      </c>
      <c r="K278" s="1">
        <v>773</v>
      </c>
      <c r="L278" s="7">
        <v>43582</v>
      </c>
      <c r="M278" s="1">
        <v>36</v>
      </c>
      <c r="N278" s="6">
        <v>0.12179999999999999</v>
      </c>
      <c r="O278" s="1" t="s">
        <v>37</v>
      </c>
      <c r="P278" s="1" t="s">
        <v>50</v>
      </c>
      <c r="Q278" s="1">
        <v>20</v>
      </c>
      <c r="R278" s="1">
        <v>1</v>
      </c>
      <c r="S278" s="1" t="s">
        <v>31</v>
      </c>
      <c r="T278" s="1" t="s">
        <v>33</v>
      </c>
      <c r="U278" s="1">
        <v>2</v>
      </c>
      <c r="V278" s="1">
        <v>26950</v>
      </c>
      <c r="W278" s="7">
        <v>1630.52</v>
      </c>
      <c r="X278" s="1">
        <v>0.93</v>
      </c>
      <c r="Y278" s="4">
        <v>44695</v>
      </c>
      <c r="Z278" s="1" t="s">
        <v>32</v>
      </c>
      <c r="AA278" s="1" t="s">
        <v>31</v>
      </c>
      <c r="AB278" s="36" t="str" cm="1">
        <f t="array" ref="AB278">_xlfn.IFS(K278&gt;650,"LOW",K278&gt;=550,"MEDIUM",K278&lt;550,"HIGH")</f>
        <v>LOW</v>
      </c>
    </row>
    <row r="279" spans="3:28" x14ac:dyDescent="0.3">
      <c r="C279" s="35" t="s">
        <v>3852</v>
      </c>
      <c r="D279" s="1" t="s">
        <v>1858</v>
      </c>
      <c r="E279" s="1">
        <v>56</v>
      </c>
      <c r="F279" s="1" t="s">
        <v>26</v>
      </c>
      <c r="G279" s="1" t="s">
        <v>35</v>
      </c>
      <c r="H279" s="1" t="s">
        <v>28</v>
      </c>
      <c r="I279" s="1" t="s">
        <v>29</v>
      </c>
      <c r="J279" s="7">
        <v>38807</v>
      </c>
      <c r="K279" s="1">
        <v>773</v>
      </c>
      <c r="L279" s="7">
        <v>24211</v>
      </c>
      <c r="M279" s="1">
        <v>60</v>
      </c>
      <c r="N279" s="6">
        <v>8.1500000000000003E-2</v>
      </c>
      <c r="O279" s="1" t="s">
        <v>46</v>
      </c>
      <c r="P279" s="1" t="s">
        <v>30</v>
      </c>
      <c r="Q279" s="1">
        <v>20</v>
      </c>
      <c r="R279" s="1">
        <v>0</v>
      </c>
      <c r="S279" s="1" t="s">
        <v>33</v>
      </c>
      <c r="T279" s="1" t="s">
        <v>31</v>
      </c>
      <c r="U279" s="1">
        <v>0</v>
      </c>
      <c r="V279" s="1">
        <v>110716</v>
      </c>
      <c r="W279" s="7">
        <v>689.75</v>
      </c>
      <c r="X279" s="1">
        <v>0.47</v>
      </c>
      <c r="Y279" s="4">
        <v>45252</v>
      </c>
      <c r="Z279" s="1" t="s">
        <v>32</v>
      </c>
      <c r="AA279" s="1" t="s">
        <v>33</v>
      </c>
      <c r="AB279" s="36" t="str" cm="1">
        <f t="array" ref="AB279">_xlfn.IFS(K279&gt;650,"LOW",K279&gt;=550,"MEDIUM",K279&lt;550,"HIGH")</f>
        <v>LOW</v>
      </c>
    </row>
    <row r="280" spans="3:28" x14ac:dyDescent="0.3">
      <c r="C280" s="35" t="s">
        <v>2110</v>
      </c>
      <c r="D280" s="1" t="s">
        <v>141</v>
      </c>
      <c r="E280" s="1">
        <v>44</v>
      </c>
      <c r="F280" s="1" t="s">
        <v>26</v>
      </c>
      <c r="G280" s="1" t="s">
        <v>45</v>
      </c>
      <c r="H280" s="1" t="s">
        <v>54</v>
      </c>
      <c r="I280" s="1" t="s">
        <v>29</v>
      </c>
      <c r="J280" s="7">
        <v>46756</v>
      </c>
      <c r="K280" s="1">
        <v>772</v>
      </c>
      <c r="L280" s="7">
        <v>35248</v>
      </c>
      <c r="M280" s="1">
        <v>12</v>
      </c>
      <c r="N280" s="6">
        <v>0.13100000000000001</v>
      </c>
      <c r="O280" s="1" t="s">
        <v>63</v>
      </c>
      <c r="P280" s="1" t="s">
        <v>47</v>
      </c>
      <c r="Q280" s="1">
        <v>1</v>
      </c>
      <c r="R280" s="1">
        <v>4</v>
      </c>
      <c r="S280" s="1" t="s">
        <v>31</v>
      </c>
      <c r="T280" s="1" t="s">
        <v>31</v>
      </c>
      <c r="U280" s="1">
        <v>2</v>
      </c>
      <c r="V280" s="1">
        <v>100521</v>
      </c>
      <c r="W280" s="7">
        <v>473.42</v>
      </c>
      <c r="X280" s="1">
        <v>0.26</v>
      </c>
      <c r="Y280" s="4">
        <v>44566</v>
      </c>
      <c r="Z280" s="1" t="s">
        <v>32</v>
      </c>
      <c r="AA280" s="1" t="s">
        <v>33</v>
      </c>
      <c r="AB280" s="36" t="str" cm="1">
        <f t="array" ref="AB280">_xlfn.IFS(K280&gt;650,"LOW",K280&gt;=550,"MEDIUM",K280&lt;550,"HIGH")</f>
        <v>LOW</v>
      </c>
    </row>
    <row r="281" spans="3:28" x14ac:dyDescent="0.3">
      <c r="C281" s="35" t="s">
        <v>2917</v>
      </c>
      <c r="D281" s="1" t="s">
        <v>945</v>
      </c>
      <c r="E281" s="1">
        <v>24</v>
      </c>
      <c r="F281" s="1" t="s">
        <v>26</v>
      </c>
      <c r="G281" s="1" t="s">
        <v>35</v>
      </c>
      <c r="H281" s="1" t="s">
        <v>28</v>
      </c>
      <c r="I281" s="1" t="s">
        <v>29</v>
      </c>
      <c r="J281" s="7">
        <v>74401</v>
      </c>
      <c r="K281" s="1">
        <v>772</v>
      </c>
      <c r="L281" s="7">
        <v>32688</v>
      </c>
      <c r="M281" s="1">
        <v>36</v>
      </c>
      <c r="N281" s="6">
        <v>8.2400000000000001E-2</v>
      </c>
      <c r="O281" s="1" t="s">
        <v>41</v>
      </c>
      <c r="P281" s="1" t="s">
        <v>50</v>
      </c>
      <c r="Q281" s="1">
        <v>7</v>
      </c>
      <c r="R281" s="1">
        <v>3</v>
      </c>
      <c r="S281" s="1" t="s">
        <v>33</v>
      </c>
      <c r="T281" s="1" t="s">
        <v>31</v>
      </c>
      <c r="U281" s="1">
        <v>1</v>
      </c>
      <c r="V281" s="1">
        <v>173548</v>
      </c>
      <c r="W281" s="7">
        <v>589.28</v>
      </c>
      <c r="X281" s="1">
        <v>0.55000000000000004</v>
      </c>
      <c r="Y281" s="4">
        <v>45505</v>
      </c>
      <c r="Z281" s="1" t="s">
        <v>38</v>
      </c>
      <c r="AA281" s="1" t="s">
        <v>33</v>
      </c>
      <c r="AB281" s="36" t="str" cm="1">
        <f t="array" ref="AB281">_xlfn.IFS(K281&gt;650,"LOW",K281&gt;=550,"MEDIUM",K281&lt;550,"HIGH")</f>
        <v>LOW</v>
      </c>
    </row>
    <row r="282" spans="3:28" x14ac:dyDescent="0.3">
      <c r="C282" s="35" t="s">
        <v>3117</v>
      </c>
      <c r="D282" s="1" t="s">
        <v>1142</v>
      </c>
      <c r="E282" s="1">
        <v>30</v>
      </c>
      <c r="F282" s="1" t="s">
        <v>26</v>
      </c>
      <c r="G282" s="1" t="s">
        <v>35</v>
      </c>
      <c r="H282" s="1" t="s">
        <v>61</v>
      </c>
      <c r="I282" s="1" t="s">
        <v>59</v>
      </c>
      <c r="J282" s="7">
        <v>94531</v>
      </c>
      <c r="K282" s="1">
        <v>772</v>
      </c>
      <c r="L282" s="7">
        <v>41935</v>
      </c>
      <c r="M282" s="1">
        <v>36</v>
      </c>
      <c r="N282" s="6">
        <v>0.1082</v>
      </c>
      <c r="O282" s="1" t="s">
        <v>46</v>
      </c>
      <c r="P282" s="1" t="s">
        <v>30</v>
      </c>
      <c r="Q282" s="1">
        <v>20</v>
      </c>
      <c r="R282" s="1">
        <v>2</v>
      </c>
      <c r="S282" s="1" t="s">
        <v>33</v>
      </c>
      <c r="T282" s="1" t="s">
        <v>31</v>
      </c>
      <c r="U282" s="1">
        <v>4</v>
      </c>
      <c r="V282" s="1">
        <v>27560</v>
      </c>
      <c r="W282" s="7">
        <v>1955.95</v>
      </c>
      <c r="X282" s="1">
        <v>0.21</v>
      </c>
      <c r="Y282" s="4">
        <v>45214</v>
      </c>
      <c r="Z282" s="1" t="s">
        <v>38</v>
      </c>
      <c r="AA282" s="1" t="s">
        <v>33</v>
      </c>
      <c r="AB282" s="36" t="str" cm="1">
        <f t="array" ref="AB282">_xlfn.IFS(K282&gt;650,"LOW",K282&gt;=550,"MEDIUM",K282&lt;550,"HIGH")</f>
        <v>LOW</v>
      </c>
    </row>
    <row r="283" spans="3:28" x14ac:dyDescent="0.3">
      <c r="C283" s="35" t="s">
        <v>3223</v>
      </c>
      <c r="D283" s="1" t="s">
        <v>1247</v>
      </c>
      <c r="E283" s="1">
        <v>41</v>
      </c>
      <c r="F283" s="1" t="s">
        <v>44</v>
      </c>
      <c r="G283" s="1" t="s">
        <v>56</v>
      </c>
      <c r="H283" s="1" t="s">
        <v>28</v>
      </c>
      <c r="I283" s="1" t="s">
        <v>57</v>
      </c>
      <c r="J283" s="7">
        <v>117944</v>
      </c>
      <c r="K283" s="1">
        <v>772</v>
      </c>
      <c r="L283" s="7">
        <v>11956</v>
      </c>
      <c r="M283" s="1">
        <v>48</v>
      </c>
      <c r="N283" s="6">
        <v>0.1527</v>
      </c>
      <c r="O283" s="1" t="s">
        <v>37</v>
      </c>
      <c r="P283" s="1" t="s">
        <v>30</v>
      </c>
      <c r="Q283" s="1">
        <v>2</v>
      </c>
      <c r="R283" s="1">
        <v>2</v>
      </c>
      <c r="S283" s="1" t="s">
        <v>33</v>
      </c>
      <c r="T283" s="1" t="s">
        <v>33</v>
      </c>
      <c r="U283" s="1">
        <v>2</v>
      </c>
      <c r="V283" s="1">
        <v>48020</v>
      </c>
      <c r="W283" s="7">
        <v>461.73</v>
      </c>
      <c r="X283" s="1">
        <v>0.91</v>
      </c>
      <c r="Y283" s="4">
        <v>44957</v>
      </c>
      <c r="Z283" s="1" t="s">
        <v>38</v>
      </c>
      <c r="AA283" s="1" t="s">
        <v>33</v>
      </c>
      <c r="AB283" s="36" t="str" cm="1">
        <f t="array" ref="AB283">_xlfn.IFS(K283&gt;650,"LOW",K283&gt;=550,"MEDIUM",K283&lt;550,"HIGH")</f>
        <v>LOW</v>
      </c>
    </row>
    <row r="284" spans="3:28" x14ac:dyDescent="0.3">
      <c r="C284" s="35" t="s">
        <v>3650</v>
      </c>
      <c r="D284" s="1" t="s">
        <v>1662</v>
      </c>
      <c r="E284" s="1">
        <v>24</v>
      </c>
      <c r="F284" s="1" t="s">
        <v>44</v>
      </c>
      <c r="G284" s="1" t="s">
        <v>35</v>
      </c>
      <c r="H284" s="1" t="s">
        <v>28</v>
      </c>
      <c r="I284" s="1" t="s">
        <v>40</v>
      </c>
      <c r="J284" s="7">
        <v>90192</v>
      </c>
      <c r="K284" s="1">
        <v>772</v>
      </c>
      <c r="L284" s="7">
        <v>17997</v>
      </c>
      <c r="M284" s="1">
        <v>48</v>
      </c>
      <c r="N284" s="6">
        <v>5.5399999999999998E-2</v>
      </c>
      <c r="O284" s="1" t="s">
        <v>5</v>
      </c>
      <c r="P284" s="1" t="s">
        <v>30</v>
      </c>
      <c r="Q284" s="1">
        <v>13</v>
      </c>
      <c r="R284" s="1">
        <v>4</v>
      </c>
      <c r="S284" s="1" t="s">
        <v>33</v>
      </c>
      <c r="T284" s="1" t="s">
        <v>33</v>
      </c>
      <c r="U284" s="1">
        <v>0</v>
      </c>
      <c r="V284" s="1">
        <v>149949</v>
      </c>
      <c r="W284" s="7">
        <v>1413.22</v>
      </c>
      <c r="X284" s="1">
        <v>0.89</v>
      </c>
      <c r="Y284" s="4">
        <v>45108</v>
      </c>
      <c r="Z284" s="1" t="s">
        <v>32</v>
      </c>
      <c r="AA284" s="1" t="s">
        <v>33</v>
      </c>
      <c r="AB284" s="36" t="str" cm="1">
        <f t="array" ref="AB284">_xlfn.IFS(K284&gt;650,"LOW",K284&gt;=550,"MEDIUM",K284&lt;550,"HIGH")</f>
        <v>LOW</v>
      </c>
    </row>
    <row r="285" spans="3:28" x14ac:dyDescent="0.3">
      <c r="C285" s="35" t="s">
        <v>3786</v>
      </c>
      <c r="D285" s="1" t="s">
        <v>1792</v>
      </c>
      <c r="E285" s="1">
        <v>32</v>
      </c>
      <c r="F285" s="1" t="s">
        <v>26</v>
      </c>
      <c r="G285" s="1" t="s">
        <v>45</v>
      </c>
      <c r="H285" s="1" t="s">
        <v>28</v>
      </c>
      <c r="I285" s="1" t="s">
        <v>29</v>
      </c>
      <c r="J285" s="7">
        <v>48615</v>
      </c>
      <c r="K285" s="1">
        <v>772</v>
      </c>
      <c r="L285" s="7">
        <v>13906</v>
      </c>
      <c r="M285" s="1">
        <v>48</v>
      </c>
      <c r="N285" s="6">
        <v>0.18870000000000001</v>
      </c>
      <c r="O285" s="1" t="s">
        <v>41</v>
      </c>
      <c r="P285" s="1" t="s">
        <v>30</v>
      </c>
      <c r="Q285" s="1">
        <v>1</v>
      </c>
      <c r="R285" s="1">
        <v>4</v>
      </c>
      <c r="S285" s="1" t="s">
        <v>31</v>
      </c>
      <c r="T285" s="1" t="s">
        <v>31</v>
      </c>
      <c r="U285" s="1">
        <v>3</v>
      </c>
      <c r="V285" s="1">
        <v>3264</v>
      </c>
      <c r="W285" s="7">
        <v>1568.22</v>
      </c>
      <c r="X285" s="1">
        <v>0.22</v>
      </c>
      <c r="Y285" s="4">
        <v>44403</v>
      </c>
      <c r="Z285" s="1" t="s">
        <v>32</v>
      </c>
      <c r="AA285" s="1" t="s">
        <v>31</v>
      </c>
      <c r="AB285" s="36" t="str" cm="1">
        <f t="array" ref="AB285">_xlfn.IFS(K285&gt;650,"LOW",K285&gt;=550,"MEDIUM",K285&lt;550,"HIGH")</f>
        <v>LOW</v>
      </c>
    </row>
    <row r="286" spans="3:28" x14ac:dyDescent="0.3">
      <c r="C286" s="35" t="s">
        <v>3938</v>
      </c>
      <c r="D286" s="1" t="s">
        <v>1942</v>
      </c>
      <c r="E286" s="1">
        <v>26</v>
      </c>
      <c r="F286" s="1" t="s">
        <v>44</v>
      </c>
      <c r="G286" s="1" t="s">
        <v>35</v>
      </c>
      <c r="H286" s="1" t="s">
        <v>61</v>
      </c>
      <c r="I286" s="1" t="s">
        <v>59</v>
      </c>
      <c r="J286" s="7">
        <v>54731</v>
      </c>
      <c r="K286" s="1">
        <v>772</v>
      </c>
      <c r="L286" s="7">
        <v>32740</v>
      </c>
      <c r="M286" s="1">
        <v>60</v>
      </c>
      <c r="N286" s="6">
        <v>0.1517</v>
      </c>
      <c r="O286" s="1" t="s">
        <v>52</v>
      </c>
      <c r="P286" s="1" t="s">
        <v>30</v>
      </c>
      <c r="Q286" s="1">
        <v>16</v>
      </c>
      <c r="R286" s="1">
        <v>3</v>
      </c>
      <c r="S286" s="1" t="s">
        <v>31</v>
      </c>
      <c r="T286" s="1" t="s">
        <v>31</v>
      </c>
      <c r="U286" s="1">
        <v>0</v>
      </c>
      <c r="V286" s="1">
        <v>126680</v>
      </c>
      <c r="W286" s="7">
        <v>1329.69</v>
      </c>
      <c r="X286" s="1">
        <v>0.49</v>
      </c>
      <c r="Y286" s="4">
        <v>45686</v>
      </c>
      <c r="Z286" s="1" t="s">
        <v>38</v>
      </c>
      <c r="AA286" s="1" t="s">
        <v>31</v>
      </c>
      <c r="AB286" s="36" t="str" cm="1">
        <f t="array" ref="AB286">_xlfn.IFS(K286&gt;650,"LOW",K286&gt;=550,"MEDIUM",K286&lt;550,"HIGH")</f>
        <v>LOW</v>
      </c>
    </row>
    <row r="287" spans="3:28" x14ac:dyDescent="0.3">
      <c r="C287" s="35" t="s">
        <v>3981</v>
      </c>
      <c r="D287" s="1" t="s">
        <v>1981</v>
      </c>
      <c r="E287" s="1">
        <v>32</v>
      </c>
      <c r="F287" s="1" t="s">
        <v>26</v>
      </c>
      <c r="G287" s="1" t="s">
        <v>45</v>
      </c>
      <c r="H287" s="1" t="s">
        <v>28</v>
      </c>
      <c r="I287" s="1" t="s">
        <v>29</v>
      </c>
      <c r="J287" s="7">
        <v>77225</v>
      </c>
      <c r="K287" s="1">
        <v>772</v>
      </c>
      <c r="L287" s="7">
        <v>35818</v>
      </c>
      <c r="M287" s="1">
        <v>36</v>
      </c>
      <c r="N287" s="6">
        <v>0.1736</v>
      </c>
      <c r="O287" s="1" t="s">
        <v>46</v>
      </c>
      <c r="P287" s="1" t="s">
        <v>47</v>
      </c>
      <c r="Q287" s="1">
        <v>15</v>
      </c>
      <c r="R287" s="1">
        <v>0</v>
      </c>
      <c r="S287" s="1" t="s">
        <v>31</v>
      </c>
      <c r="T287" s="1" t="s">
        <v>33</v>
      </c>
      <c r="U287" s="1">
        <v>2</v>
      </c>
      <c r="V287" s="1">
        <v>117298</v>
      </c>
      <c r="W287" s="7">
        <v>200.36</v>
      </c>
      <c r="X287" s="1">
        <v>0.96</v>
      </c>
      <c r="Y287" s="4">
        <v>44669</v>
      </c>
      <c r="Z287" s="1" t="s">
        <v>32</v>
      </c>
      <c r="AA287" s="1" t="s">
        <v>33</v>
      </c>
      <c r="AB287" s="36" t="str" cm="1">
        <f t="array" ref="AB287">_xlfn.IFS(K287&gt;650,"LOW",K287&gt;=550,"MEDIUM",K287&lt;550,"HIGH")</f>
        <v>LOW</v>
      </c>
    </row>
    <row r="288" spans="3:28" x14ac:dyDescent="0.3">
      <c r="C288" s="35" t="s">
        <v>2787</v>
      </c>
      <c r="D288" s="1" t="s">
        <v>815</v>
      </c>
      <c r="E288" s="1">
        <v>54</v>
      </c>
      <c r="F288" s="1" t="s">
        <v>44</v>
      </c>
      <c r="G288" s="1" t="s">
        <v>35</v>
      </c>
      <c r="H288" s="1" t="s">
        <v>61</v>
      </c>
      <c r="I288" s="1" t="s">
        <v>40</v>
      </c>
      <c r="J288" s="7">
        <v>98052</v>
      </c>
      <c r="K288" s="1">
        <v>771</v>
      </c>
      <c r="L288" s="7">
        <v>48373</v>
      </c>
      <c r="M288" s="1">
        <v>48</v>
      </c>
      <c r="N288" s="6">
        <v>0.11349999999999999</v>
      </c>
      <c r="O288" s="1" t="s">
        <v>41</v>
      </c>
      <c r="P288" s="1" t="s">
        <v>30</v>
      </c>
      <c r="Q288" s="1">
        <v>21</v>
      </c>
      <c r="R288" s="1">
        <v>2</v>
      </c>
      <c r="S288" s="1" t="s">
        <v>31</v>
      </c>
      <c r="T288" s="1" t="s">
        <v>31</v>
      </c>
      <c r="U288" s="1">
        <v>0</v>
      </c>
      <c r="V288" s="1">
        <v>106691</v>
      </c>
      <c r="W288" s="7">
        <v>1213.53</v>
      </c>
      <c r="X288" s="1">
        <v>0.2</v>
      </c>
      <c r="Y288" s="4">
        <v>44421</v>
      </c>
      <c r="Z288" s="1" t="s">
        <v>32</v>
      </c>
      <c r="AA288" s="1" t="s">
        <v>33</v>
      </c>
      <c r="AB288" s="36" t="str" cm="1">
        <f t="array" ref="AB288">_xlfn.IFS(K288&gt;650,"LOW",K288&gt;=550,"MEDIUM",K288&lt;550,"HIGH")</f>
        <v>LOW</v>
      </c>
    </row>
    <row r="289" spans="3:28" x14ac:dyDescent="0.3">
      <c r="C289" s="35" t="s">
        <v>2956</v>
      </c>
      <c r="D289" s="1" t="s">
        <v>984</v>
      </c>
      <c r="E289" s="1">
        <v>60</v>
      </c>
      <c r="F289" s="1" t="s">
        <v>44</v>
      </c>
      <c r="G289" s="1" t="s">
        <v>27</v>
      </c>
      <c r="H289" s="1" t="s">
        <v>54</v>
      </c>
      <c r="I289" s="1" t="s">
        <v>59</v>
      </c>
      <c r="J289" s="7">
        <v>46140</v>
      </c>
      <c r="K289" s="1">
        <v>771</v>
      </c>
      <c r="L289" s="7">
        <v>6651</v>
      </c>
      <c r="M289" s="1">
        <v>48</v>
      </c>
      <c r="N289" s="6">
        <v>0.18410000000000001</v>
      </c>
      <c r="O289" s="1" t="s">
        <v>41</v>
      </c>
      <c r="P289" s="1" t="s">
        <v>50</v>
      </c>
      <c r="Q289" s="1">
        <v>3</v>
      </c>
      <c r="R289" s="1">
        <v>1</v>
      </c>
      <c r="S289" s="1" t="s">
        <v>31</v>
      </c>
      <c r="T289" s="1" t="s">
        <v>33</v>
      </c>
      <c r="U289" s="1">
        <v>4</v>
      </c>
      <c r="V289" s="1">
        <v>62473</v>
      </c>
      <c r="W289" s="7">
        <v>1605.29</v>
      </c>
      <c r="X289" s="1">
        <v>0.94</v>
      </c>
      <c r="Y289" s="4">
        <v>44551</v>
      </c>
      <c r="Z289" s="1" t="s">
        <v>38</v>
      </c>
      <c r="AA289" s="1" t="s">
        <v>33</v>
      </c>
      <c r="AB289" s="36" t="str" cm="1">
        <f t="array" ref="AB289">_xlfn.IFS(K289&gt;650,"LOW",K289&gt;=550,"MEDIUM",K289&lt;550,"HIGH")</f>
        <v>LOW</v>
      </c>
    </row>
    <row r="290" spans="3:28" x14ac:dyDescent="0.3">
      <c r="C290" s="35" t="s">
        <v>3054</v>
      </c>
      <c r="D290" s="1" t="s">
        <v>1081</v>
      </c>
      <c r="E290" s="1">
        <v>28</v>
      </c>
      <c r="F290" s="1" t="s">
        <v>44</v>
      </c>
      <c r="G290" s="1" t="s">
        <v>35</v>
      </c>
      <c r="H290" s="1" t="s">
        <v>61</v>
      </c>
      <c r="I290" s="1" t="s">
        <v>59</v>
      </c>
      <c r="J290" s="7">
        <v>119122</v>
      </c>
      <c r="K290" s="1">
        <v>771</v>
      </c>
      <c r="L290" s="7">
        <v>49478</v>
      </c>
      <c r="M290" s="1">
        <v>48</v>
      </c>
      <c r="N290" s="6">
        <v>0.1573</v>
      </c>
      <c r="O290" s="1" t="s">
        <v>41</v>
      </c>
      <c r="P290" s="1" t="s">
        <v>30</v>
      </c>
      <c r="Q290" s="1">
        <v>12</v>
      </c>
      <c r="R290" s="1">
        <v>0</v>
      </c>
      <c r="S290" s="1" t="s">
        <v>33</v>
      </c>
      <c r="T290" s="1" t="s">
        <v>33</v>
      </c>
      <c r="U290" s="1">
        <v>4</v>
      </c>
      <c r="V290" s="1">
        <v>167727</v>
      </c>
      <c r="W290" s="7">
        <v>313.69</v>
      </c>
      <c r="X290" s="1">
        <v>1</v>
      </c>
      <c r="Y290" s="4">
        <v>45129</v>
      </c>
      <c r="Z290" s="1" t="s">
        <v>32</v>
      </c>
      <c r="AA290" s="1" t="s">
        <v>31</v>
      </c>
      <c r="AB290" s="36" t="str" cm="1">
        <f t="array" ref="AB290">_xlfn.IFS(K290&gt;650,"LOW",K290&gt;=550,"MEDIUM",K290&lt;550,"HIGH")</f>
        <v>LOW</v>
      </c>
    </row>
    <row r="291" spans="3:28" x14ac:dyDescent="0.3">
      <c r="C291" s="35" t="s">
        <v>3099</v>
      </c>
      <c r="D291" s="1" t="s">
        <v>1124</v>
      </c>
      <c r="E291" s="1">
        <v>34</v>
      </c>
      <c r="F291" s="1" t="s">
        <v>44</v>
      </c>
      <c r="G291" s="1" t="s">
        <v>35</v>
      </c>
      <c r="H291" s="1" t="s">
        <v>36</v>
      </c>
      <c r="I291" s="1" t="s">
        <v>59</v>
      </c>
      <c r="J291" s="7">
        <v>34591</v>
      </c>
      <c r="K291" s="1">
        <v>771</v>
      </c>
      <c r="L291" s="7">
        <v>24177</v>
      </c>
      <c r="M291" s="1">
        <v>12</v>
      </c>
      <c r="N291" s="6">
        <v>0.14649999999999999</v>
      </c>
      <c r="O291" s="1" t="s">
        <v>46</v>
      </c>
      <c r="P291" s="1" t="s">
        <v>30</v>
      </c>
      <c r="Q291" s="1">
        <v>18</v>
      </c>
      <c r="R291" s="1">
        <v>4</v>
      </c>
      <c r="S291" s="1" t="s">
        <v>31</v>
      </c>
      <c r="T291" s="1" t="s">
        <v>31</v>
      </c>
      <c r="U291" s="1">
        <v>0</v>
      </c>
      <c r="V291" s="1">
        <v>181465</v>
      </c>
      <c r="W291" s="7">
        <v>119.23</v>
      </c>
      <c r="X291" s="1">
        <v>0.86</v>
      </c>
      <c r="Y291" s="4">
        <v>44631</v>
      </c>
      <c r="Z291" s="1" t="s">
        <v>38</v>
      </c>
      <c r="AA291" s="1" t="s">
        <v>33</v>
      </c>
      <c r="AB291" s="36" t="str" cm="1">
        <f t="array" ref="AB291">_xlfn.IFS(K291&gt;650,"LOW",K291&gt;=550,"MEDIUM",K291&lt;550,"HIGH")</f>
        <v>LOW</v>
      </c>
    </row>
    <row r="292" spans="3:28" x14ac:dyDescent="0.3">
      <c r="C292" s="35" t="s">
        <v>3140</v>
      </c>
      <c r="D292" s="1" t="s">
        <v>1165</v>
      </c>
      <c r="E292" s="1">
        <v>49</v>
      </c>
      <c r="F292" s="1" t="s">
        <v>44</v>
      </c>
      <c r="G292" s="1" t="s">
        <v>27</v>
      </c>
      <c r="H292" s="1" t="s">
        <v>36</v>
      </c>
      <c r="I292" s="1" t="s">
        <v>59</v>
      </c>
      <c r="J292" s="7">
        <v>97462</v>
      </c>
      <c r="K292" s="1">
        <v>771</v>
      </c>
      <c r="L292" s="7">
        <v>5301</v>
      </c>
      <c r="M292" s="1">
        <v>24</v>
      </c>
      <c r="N292" s="6">
        <v>0.15579999999999999</v>
      </c>
      <c r="O292" s="1" t="s">
        <v>41</v>
      </c>
      <c r="P292" s="1" t="s">
        <v>30</v>
      </c>
      <c r="Q292" s="1">
        <v>27</v>
      </c>
      <c r="R292" s="1">
        <v>2</v>
      </c>
      <c r="S292" s="1" t="s">
        <v>31</v>
      </c>
      <c r="T292" s="1" t="s">
        <v>31</v>
      </c>
      <c r="U292" s="1">
        <v>0</v>
      </c>
      <c r="V292" s="1">
        <v>1103</v>
      </c>
      <c r="W292" s="7">
        <v>1752.59</v>
      </c>
      <c r="X292" s="1">
        <v>0.8</v>
      </c>
      <c r="Y292" s="4">
        <v>44039</v>
      </c>
      <c r="Z292" s="1" t="s">
        <v>38</v>
      </c>
      <c r="AA292" s="1" t="s">
        <v>33</v>
      </c>
      <c r="AB292" s="36" t="str" cm="1">
        <f t="array" ref="AB292">_xlfn.IFS(K292&gt;650,"LOW",K292&gt;=550,"MEDIUM",K292&lt;550,"HIGH")</f>
        <v>LOW</v>
      </c>
    </row>
    <row r="293" spans="3:28" x14ac:dyDescent="0.3">
      <c r="C293" s="35" t="s">
        <v>3802</v>
      </c>
      <c r="D293" s="1" t="s">
        <v>1808</v>
      </c>
      <c r="E293" s="1">
        <v>34</v>
      </c>
      <c r="F293" s="1" t="s">
        <v>26</v>
      </c>
      <c r="G293" s="1" t="s">
        <v>27</v>
      </c>
      <c r="H293" s="1" t="s">
        <v>54</v>
      </c>
      <c r="I293" s="1" t="s">
        <v>40</v>
      </c>
      <c r="J293" s="7">
        <v>62372</v>
      </c>
      <c r="K293" s="1">
        <v>771</v>
      </c>
      <c r="L293" s="7">
        <v>1633</v>
      </c>
      <c r="M293" s="1">
        <v>24</v>
      </c>
      <c r="N293" s="6">
        <v>0.13059999999999999</v>
      </c>
      <c r="O293" s="1" t="s">
        <v>63</v>
      </c>
      <c r="P293" s="1" t="s">
        <v>30</v>
      </c>
      <c r="Q293" s="1">
        <v>1</v>
      </c>
      <c r="R293" s="1">
        <v>0</v>
      </c>
      <c r="S293" s="1" t="s">
        <v>31</v>
      </c>
      <c r="T293" s="1" t="s">
        <v>31</v>
      </c>
      <c r="U293" s="1">
        <v>1</v>
      </c>
      <c r="V293" s="1">
        <v>76174</v>
      </c>
      <c r="W293" s="7">
        <v>577.24</v>
      </c>
      <c r="X293" s="1">
        <v>0.76</v>
      </c>
      <c r="Y293" s="4">
        <v>44290</v>
      </c>
      <c r="Z293" s="1" t="s">
        <v>32</v>
      </c>
      <c r="AA293" s="1" t="s">
        <v>33</v>
      </c>
      <c r="AB293" s="36" t="str" cm="1">
        <f t="array" ref="AB293">_xlfn.IFS(K293&gt;650,"LOW",K293&gt;=550,"MEDIUM",K293&lt;550,"HIGH")</f>
        <v>LOW</v>
      </c>
    </row>
    <row r="294" spans="3:28" x14ac:dyDescent="0.3">
      <c r="C294" s="35" t="s">
        <v>4004</v>
      </c>
      <c r="D294" s="1" t="s">
        <v>2004</v>
      </c>
      <c r="E294" s="1">
        <v>33</v>
      </c>
      <c r="F294" s="1" t="s">
        <v>44</v>
      </c>
      <c r="G294" s="1" t="s">
        <v>35</v>
      </c>
      <c r="H294" s="1" t="s">
        <v>36</v>
      </c>
      <c r="I294" s="1" t="s">
        <v>57</v>
      </c>
      <c r="J294" s="7">
        <v>48754</v>
      </c>
      <c r="K294" s="1">
        <v>771</v>
      </c>
      <c r="L294" s="7">
        <v>4774</v>
      </c>
      <c r="M294" s="1">
        <v>48</v>
      </c>
      <c r="N294" s="6">
        <v>5.04E-2</v>
      </c>
      <c r="O294" s="1" t="s">
        <v>63</v>
      </c>
      <c r="P294" s="1" t="s">
        <v>30</v>
      </c>
      <c r="Q294" s="1">
        <v>10</v>
      </c>
      <c r="R294" s="1">
        <v>2</v>
      </c>
      <c r="S294" s="1" t="s">
        <v>33</v>
      </c>
      <c r="T294" s="1" t="s">
        <v>33</v>
      </c>
      <c r="U294" s="1">
        <v>3</v>
      </c>
      <c r="V294" s="1">
        <v>80290</v>
      </c>
      <c r="W294" s="7">
        <v>286.02999999999997</v>
      </c>
      <c r="X294" s="1">
        <v>0.49</v>
      </c>
      <c r="Y294" s="4">
        <v>44266</v>
      </c>
      <c r="Z294" s="1" t="s">
        <v>32</v>
      </c>
      <c r="AA294" s="1" t="s">
        <v>33</v>
      </c>
      <c r="AB294" s="36" t="str" cm="1">
        <f t="array" ref="AB294">_xlfn.IFS(K294&gt;650,"LOW",K294&gt;=550,"MEDIUM",K294&lt;550,"HIGH")</f>
        <v>LOW</v>
      </c>
    </row>
    <row r="295" spans="3:28" x14ac:dyDescent="0.3">
      <c r="C295" s="35" t="s">
        <v>2198</v>
      </c>
      <c r="D295" s="1" t="s">
        <v>229</v>
      </c>
      <c r="E295" s="1">
        <v>29</v>
      </c>
      <c r="F295" s="1" t="s">
        <v>44</v>
      </c>
      <c r="G295" s="1" t="s">
        <v>35</v>
      </c>
      <c r="H295" s="1" t="s">
        <v>54</v>
      </c>
      <c r="I295" s="1" t="s">
        <v>40</v>
      </c>
      <c r="J295" s="7">
        <v>76030</v>
      </c>
      <c r="K295" s="1">
        <v>770</v>
      </c>
      <c r="L295" s="7">
        <v>39164</v>
      </c>
      <c r="M295" s="1">
        <v>48</v>
      </c>
      <c r="N295" s="6">
        <v>6.8400000000000002E-2</v>
      </c>
      <c r="O295" s="1" t="s">
        <v>5</v>
      </c>
      <c r="P295" s="1" t="s">
        <v>30</v>
      </c>
      <c r="Q295" s="1">
        <v>23</v>
      </c>
      <c r="R295" s="1">
        <v>1</v>
      </c>
      <c r="S295" s="1" t="s">
        <v>33</v>
      </c>
      <c r="T295" s="1" t="s">
        <v>33</v>
      </c>
      <c r="U295" s="1">
        <v>4</v>
      </c>
      <c r="V295" s="1">
        <v>199109</v>
      </c>
      <c r="W295" s="7">
        <v>1547.87</v>
      </c>
      <c r="X295" s="1">
        <v>0.99</v>
      </c>
      <c r="Y295" s="4">
        <v>44982</v>
      </c>
      <c r="Z295" s="1" t="s">
        <v>38</v>
      </c>
      <c r="AA295" s="1" t="s">
        <v>33</v>
      </c>
      <c r="AB295" s="36" t="str" cm="1">
        <f t="array" ref="AB295">_xlfn.IFS(K295&gt;650,"LOW",K295&gt;=550,"MEDIUM",K295&lt;550,"HIGH")</f>
        <v>LOW</v>
      </c>
    </row>
    <row r="296" spans="3:28" x14ac:dyDescent="0.3">
      <c r="C296" s="35" t="s">
        <v>3020</v>
      </c>
      <c r="D296" s="1" t="s">
        <v>1047</v>
      </c>
      <c r="E296" s="1">
        <v>59</v>
      </c>
      <c r="F296" s="1" t="s">
        <v>26</v>
      </c>
      <c r="G296" s="1" t="s">
        <v>45</v>
      </c>
      <c r="H296" s="1" t="s">
        <v>54</v>
      </c>
      <c r="I296" s="1" t="s">
        <v>59</v>
      </c>
      <c r="J296" s="7">
        <v>28222</v>
      </c>
      <c r="K296" s="1">
        <v>770</v>
      </c>
      <c r="L296" s="7">
        <v>47798</v>
      </c>
      <c r="M296" s="1">
        <v>24</v>
      </c>
      <c r="N296" s="6">
        <v>0.13269999999999998</v>
      </c>
      <c r="O296" s="1" t="s">
        <v>46</v>
      </c>
      <c r="P296" s="1" t="s">
        <v>47</v>
      </c>
      <c r="Q296" s="1">
        <v>4</v>
      </c>
      <c r="R296" s="1">
        <v>0</v>
      </c>
      <c r="S296" s="1" t="s">
        <v>31</v>
      </c>
      <c r="T296" s="1" t="s">
        <v>31</v>
      </c>
      <c r="U296" s="1">
        <v>4</v>
      </c>
      <c r="V296" s="1">
        <v>181065</v>
      </c>
      <c r="W296" s="7">
        <v>168.66</v>
      </c>
      <c r="X296" s="1">
        <v>0.78</v>
      </c>
      <c r="Y296" s="4">
        <v>45190</v>
      </c>
      <c r="Z296" s="1" t="s">
        <v>32</v>
      </c>
      <c r="AA296" s="1" t="s">
        <v>33</v>
      </c>
      <c r="AB296" s="36" t="str" cm="1">
        <f t="array" ref="AB296">_xlfn.IFS(K296&gt;650,"LOW",K296&gt;=550,"MEDIUM",K296&lt;550,"HIGH")</f>
        <v>LOW</v>
      </c>
    </row>
    <row r="297" spans="3:28" x14ac:dyDescent="0.3">
      <c r="C297" s="35" t="s">
        <v>3242</v>
      </c>
      <c r="D297" s="1" t="s">
        <v>1266</v>
      </c>
      <c r="E297" s="1">
        <v>58</v>
      </c>
      <c r="F297" s="1" t="s">
        <v>26</v>
      </c>
      <c r="G297" s="1" t="s">
        <v>35</v>
      </c>
      <c r="H297" s="1" t="s">
        <v>36</v>
      </c>
      <c r="I297" s="1" t="s">
        <v>59</v>
      </c>
      <c r="J297" s="7">
        <v>30702</v>
      </c>
      <c r="K297" s="1">
        <v>770</v>
      </c>
      <c r="L297" s="7">
        <v>23441</v>
      </c>
      <c r="M297" s="1">
        <v>48</v>
      </c>
      <c r="N297" s="6">
        <v>0.1295</v>
      </c>
      <c r="O297" s="1" t="s">
        <v>46</v>
      </c>
      <c r="P297" s="1" t="s">
        <v>50</v>
      </c>
      <c r="Q297" s="1">
        <v>13</v>
      </c>
      <c r="R297" s="1">
        <v>2</v>
      </c>
      <c r="S297" s="1" t="s">
        <v>31</v>
      </c>
      <c r="T297" s="1" t="s">
        <v>31</v>
      </c>
      <c r="U297" s="1">
        <v>4</v>
      </c>
      <c r="V297" s="1">
        <v>70963</v>
      </c>
      <c r="W297" s="7">
        <v>1656.34</v>
      </c>
      <c r="X297" s="1">
        <v>0.54</v>
      </c>
      <c r="Y297" s="4">
        <v>44792</v>
      </c>
      <c r="Z297" s="1" t="s">
        <v>38</v>
      </c>
      <c r="AA297" s="1" t="s">
        <v>31</v>
      </c>
      <c r="AB297" s="36" t="str" cm="1">
        <f t="array" ref="AB297">_xlfn.IFS(K297&gt;650,"LOW",K297&gt;=550,"MEDIUM",K297&lt;550,"HIGH")</f>
        <v>LOW</v>
      </c>
    </row>
    <row r="298" spans="3:28" x14ac:dyDescent="0.3">
      <c r="C298" s="35" t="s">
        <v>3539</v>
      </c>
      <c r="D298" s="1" t="s">
        <v>1556</v>
      </c>
      <c r="E298" s="1">
        <v>26</v>
      </c>
      <c r="F298" s="1" t="s">
        <v>44</v>
      </c>
      <c r="G298" s="1" t="s">
        <v>56</v>
      </c>
      <c r="H298" s="1" t="s">
        <v>28</v>
      </c>
      <c r="I298" s="1" t="s">
        <v>29</v>
      </c>
      <c r="J298" s="7">
        <v>134921</v>
      </c>
      <c r="K298" s="1">
        <v>770</v>
      </c>
      <c r="L298" s="7">
        <v>14587</v>
      </c>
      <c r="M298" s="1">
        <v>60</v>
      </c>
      <c r="N298" s="6">
        <v>7.2000000000000008E-2</v>
      </c>
      <c r="O298" s="1" t="s">
        <v>41</v>
      </c>
      <c r="P298" s="1" t="s">
        <v>50</v>
      </c>
      <c r="Q298" s="1">
        <v>27</v>
      </c>
      <c r="R298" s="1">
        <v>4</v>
      </c>
      <c r="S298" s="1" t="s">
        <v>31</v>
      </c>
      <c r="T298" s="1" t="s">
        <v>33</v>
      </c>
      <c r="U298" s="1">
        <v>0</v>
      </c>
      <c r="V298" s="1">
        <v>34378</v>
      </c>
      <c r="W298" s="7">
        <v>1479.16</v>
      </c>
      <c r="X298" s="1">
        <v>0.34</v>
      </c>
      <c r="Y298" s="4">
        <v>44172</v>
      </c>
      <c r="Z298" s="1" t="s">
        <v>38</v>
      </c>
      <c r="AA298" s="1" t="s">
        <v>33</v>
      </c>
      <c r="AB298" s="36" t="str" cm="1">
        <f t="array" ref="AB298">_xlfn.IFS(K298&gt;650,"LOW",K298&gt;=550,"MEDIUM",K298&lt;550,"HIGH")</f>
        <v>LOW</v>
      </c>
    </row>
    <row r="299" spans="3:28" x14ac:dyDescent="0.3">
      <c r="C299" s="35" t="s">
        <v>2314</v>
      </c>
      <c r="D299" s="1" t="s">
        <v>345</v>
      </c>
      <c r="E299" s="1">
        <v>28</v>
      </c>
      <c r="F299" s="1" t="s">
        <v>26</v>
      </c>
      <c r="G299" s="1" t="s">
        <v>27</v>
      </c>
      <c r="H299" s="1" t="s">
        <v>36</v>
      </c>
      <c r="I299" s="1" t="s">
        <v>40</v>
      </c>
      <c r="J299" s="7">
        <v>99096</v>
      </c>
      <c r="K299" s="1">
        <v>769</v>
      </c>
      <c r="L299" s="7">
        <v>10004</v>
      </c>
      <c r="M299" s="1">
        <v>12</v>
      </c>
      <c r="N299" s="6">
        <v>0.1368</v>
      </c>
      <c r="O299" s="1" t="s">
        <v>5</v>
      </c>
      <c r="P299" s="1" t="s">
        <v>30</v>
      </c>
      <c r="Q299" s="1">
        <v>28</v>
      </c>
      <c r="R299" s="1">
        <v>2</v>
      </c>
      <c r="S299" s="1" t="s">
        <v>31</v>
      </c>
      <c r="T299" s="1" t="s">
        <v>33</v>
      </c>
      <c r="U299" s="1">
        <v>1</v>
      </c>
      <c r="V299" s="1">
        <v>104583</v>
      </c>
      <c r="W299" s="7">
        <v>822.5</v>
      </c>
      <c r="X299" s="1">
        <v>0.46</v>
      </c>
      <c r="Y299" s="4">
        <v>45166</v>
      </c>
      <c r="Z299" s="1" t="s">
        <v>38</v>
      </c>
      <c r="AA299" s="1" t="s">
        <v>33</v>
      </c>
      <c r="AB299" s="36" t="str" cm="1">
        <f t="array" ref="AB299">_xlfn.IFS(K299&gt;650,"LOW",K299&gt;=550,"MEDIUM",K299&lt;550,"HIGH")</f>
        <v>LOW</v>
      </c>
    </row>
    <row r="300" spans="3:28" x14ac:dyDescent="0.3">
      <c r="C300" s="35" t="s">
        <v>3065</v>
      </c>
      <c r="D300" s="1" t="s">
        <v>1091</v>
      </c>
      <c r="E300" s="1">
        <v>63</v>
      </c>
      <c r="F300" s="1" t="s">
        <v>26</v>
      </c>
      <c r="G300" s="1" t="s">
        <v>35</v>
      </c>
      <c r="H300" s="1" t="s">
        <v>36</v>
      </c>
      <c r="I300" s="1" t="s">
        <v>57</v>
      </c>
      <c r="J300" s="7">
        <v>113789</v>
      </c>
      <c r="K300" s="1">
        <v>769</v>
      </c>
      <c r="L300" s="7">
        <v>1246</v>
      </c>
      <c r="M300" s="1">
        <v>24</v>
      </c>
      <c r="N300" s="6">
        <v>0.17879999999999999</v>
      </c>
      <c r="O300" s="1" t="s">
        <v>52</v>
      </c>
      <c r="P300" s="1" t="s">
        <v>30</v>
      </c>
      <c r="Q300" s="1">
        <v>27</v>
      </c>
      <c r="R300" s="1">
        <v>4</v>
      </c>
      <c r="S300" s="1" t="s">
        <v>33</v>
      </c>
      <c r="T300" s="1" t="s">
        <v>31</v>
      </c>
      <c r="U300" s="1">
        <v>2</v>
      </c>
      <c r="V300" s="1">
        <v>20620</v>
      </c>
      <c r="W300" s="7">
        <v>1962.92</v>
      </c>
      <c r="X300" s="1">
        <v>0.42</v>
      </c>
      <c r="Y300" s="4">
        <v>45021</v>
      </c>
      <c r="Z300" s="1" t="s">
        <v>32</v>
      </c>
      <c r="AA300" s="1" t="s">
        <v>31</v>
      </c>
      <c r="AB300" s="36" t="str" cm="1">
        <f t="array" ref="AB300">_xlfn.IFS(K300&gt;650,"LOW",K300&gt;=550,"MEDIUM",K300&lt;550,"HIGH")</f>
        <v>LOW</v>
      </c>
    </row>
    <row r="301" spans="3:28" x14ac:dyDescent="0.3">
      <c r="C301" s="35" t="s">
        <v>3353</v>
      </c>
      <c r="D301" s="1" t="s">
        <v>1375</v>
      </c>
      <c r="E301" s="1">
        <v>32</v>
      </c>
      <c r="F301" s="1" t="s">
        <v>44</v>
      </c>
      <c r="G301" s="1" t="s">
        <v>27</v>
      </c>
      <c r="H301" s="1" t="s">
        <v>36</v>
      </c>
      <c r="I301" s="1" t="s">
        <v>40</v>
      </c>
      <c r="J301" s="7">
        <v>127430</v>
      </c>
      <c r="K301" s="1">
        <v>769</v>
      </c>
      <c r="L301" s="7">
        <v>14919</v>
      </c>
      <c r="M301" s="1">
        <v>24</v>
      </c>
      <c r="N301" s="6">
        <v>5.8499999999999996E-2</v>
      </c>
      <c r="O301" s="1" t="s">
        <v>46</v>
      </c>
      <c r="P301" s="1" t="s">
        <v>30</v>
      </c>
      <c r="Q301" s="1">
        <v>18</v>
      </c>
      <c r="R301" s="1">
        <v>2</v>
      </c>
      <c r="S301" s="1" t="s">
        <v>33</v>
      </c>
      <c r="T301" s="1" t="s">
        <v>31</v>
      </c>
      <c r="U301" s="1">
        <v>3</v>
      </c>
      <c r="V301" s="1">
        <v>113346</v>
      </c>
      <c r="W301" s="7">
        <v>119.4</v>
      </c>
      <c r="X301" s="1">
        <v>0.9</v>
      </c>
      <c r="Y301" s="4">
        <v>45160</v>
      </c>
      <c r="Z301" s="1" t="s">
        <v>38</v>
      </c>
      <c r="AA301" s="1" t="s">
        <v>33</v>
      </c>
      <c r="AB301" s="36" t="str" cm="1">
        <f t="array" ref="AB301">_xlfn.IFS(K301&gt;650,"LOW",K301&gt;=550,"MEDIUM",K301&lt;550,"HIGH")</f>
        <v>LOW</v>
      </c>
    </row>
    <row r="302" spans="3:28" x14ac:dyDescent="0.3">
      <c r="C302" s="35" t="s">
        <v>3605</v>
      </c>
      <c r="D302" s="1" t="s">
        <v>1619</v>
      </c>
      <c r="E302" s="1">
        <v>27</v>
      </c>
      <c r="F302" s="1" t="s">
        <v>44</v>
      </c>
      <c r="G302" s="1" t="s">
        <v>45</v>
      </c>
      <c r="H302" s="1" t="s">
        <v>36</v>
      </c>
      <c r="I302" s="1" t="s">
        <v>57</v>
      </c>
      <c r="J302" s="7">
        <v>125575</v>
      </c>
      <c r="K302" s="1">
        <v>769</v>
      </c>
      <c r="L302" s="7">
        <v>40174</v>
      </c>
      <c r="M302" s="1">
        <v>48</v>
      </c>
      <c r="N302" s="6">
        <v>0.1825</v>
      </c>
      <c r="O302" s="1" t="s">
        <v>37</v>
      </c>
      <c r="P302" s="1" t="s">
        <v>30</v>
      </c>
      <c r="Q302" s="1">
        <v>9</v>
      </c>
      <c r="R302" s="1">
        <v>3</v>
      </c>
      <c r="S302" s="1" t="s">
        <v>31</v>
      </c>
      <c r="T302" s="1" t="s">
        <v>31</v>
      </c>
      <c r="U302" s="1">
        <v>3</v>
      </c>
      <c r="V302" s="1">
        <v>19491</v>
      </c>
      <c r="W302" s="7">
        <v>1510.14</v>
      </c>
      <c r="X302" s="1">
        <v>0.75</v>
      </c>
      <c r="Y302" s="4">
        <v>45393</v>
      </c>
      <c r="Z302" s="1" t="s">
        <v>38</v>
      </c>
      <c r="AA302" s="1" t="s">
        <v>33</v>
      </c>
      <c r="AB302" s="36" t="str" cm="1">
        <f t="array" ref="AB302">_xlfn.IFS(K302&gt;650,"LOW",K302&gt;=550,"MEDIUM",K302&lt;550,"HIGH")</f>
        <v>LOW</v>
      </c>
    </row>
    <row r="303" spans="3:28" x14ac:dyDescent="0.3">
      <c r="C303" s="35" t="s">
        <v>2572</v>
      </c>
      <c r="D303" s="1" t="s">
        <v>602</v>
      </c>
      <c r="E303" s="1">
        <v>56</v>
      </c>
      <c r="F303" s="1" t="s">
        <v>44</v>
      </c>
      <c r="G303" s="1" t="s">
        <v>35</v>
      </c>
      <c r="H303" s="1" t="s">
        <v>36</v>
      </c>
      <c r="I303" s="1" t="s">
        <v>29</v>
      </c>
      <c r="J303" s="7">
        <v>140198</v>
      </c>
      <c r="K303" s="1">
        <v>768</v>
      </c>
      <c r="L303" s="7">
        <v>7805</v>
      </c>
      <c r="M303" s="1">
        <v>12</v>
      </c>
      <c r="N303" s="6">
        <v>0.16570000000000001</v>
      </c>
      <c r="O303" s="1" t="s">
        <v>5</v>
      </c>
      <c r="P303" s="1" t="s">
        <v>47</v>
      </c>
      <c r="Q303" s="1">
        <v>20</v>
      </c>
      <c r="R303" s="1">
        <v>4</v>
      </c>
      <c r="S303" s="1" t="s">
        <v>33</v>
      </c>
      <c r="T303" s="1" t="s">
        <v>31</v>
      </c>
      <c r="U303" s="1">
        <v>2</v>
      </c>
      <c r="V303" s="1">
        <v>64817</v>
      </c>
      <c r="W303" s="7">
        <v>1732.5</v>
      </c>
      <c r="X303" s="1">
        <v>0.73</v>
      </c>
      <c r="Y303" s="4">
        <v>45605</v>
      </c>
      <c r="Z303" s="1" t="s">
        <v>38</v>
      </c>
      <c r="AA303" s="1" t="s">
        <v>33</v>
      </c>
      <c r="AB303" s="36" t="str" cm="1">
        <f t="array" ref="AB303">_xlfn.IFS(K303&gt;650,"LOW",K303&gt;=550,"MEDIUM",K303&lt;550,"HIGH")</f>
        <v>LOW</v>
      </c>
    </row>
    <row r="304" spans="3:28" x14ac:dyDescent="0.3">
      <c r="C304" s="35" t="s">
        <v>3331</v>
      </c>
      <c r="D304" s="1" t="s">
        <v>1354</v>
      </c>
      <c r="E304" s="1">
        <v>29</v>
      </c>
      <c r="F304" s="1" t="s">
        <v>44</v>
      </c>
      <c r="G304" s="1" t="s">
        <v>56</v>
      </c>
      <c r="H304" s="1" t="s">
        <v>61</v>
      </c>
      <c r="I304" s="1" t="s">
        <v>59</v>
      </c>
      <c r="J304" s="7">
        <v>29719</v>
      </c>
      <c r="K304" s="1">
        <v>768</v>
      </c>
      <c r="L304" s="7">
        <v>37930</v>
      </c>
      <c r="M304" s="1">
        <v>36</v>
      </c>
      <c r="N304" s="6">
        <v>6.7799999999999999E-2</v>
      </c>
      <c r="O304" s="1" t="s">
        <v>63</v>
      </c>
      <c r="P304" s="1" t="s">
        <v>50</v>
      </c>
      <c r="Q304" s="1">
        <v>28</v>
      </c>
      <c r="R304" s="1">
        <v>4</v>
      </c>
      <c r="S304" s="1" t="s">
        <v>31</v>
      </c>
      <c r="T304" s="1" t="s">
        <v>33</v>
      </c>
      <c r="U304" s="1">
        <v>3</v>
      </c>
      <c r="V304" s="1">
        <v>49914</v>
      </c>
      <c r="W304" s="7">
        <v>810.12</v>
      </c>
      <c r="X304" s="1">
        <v>0.28000000000000003</v>
      </c>
      <c r="Y304" s="4">
        <v>44449</v>
      </c>
      <c r="Z304" s="1" t="s">
        <v>32</v>
      </c>
      <c r="AA304" s="1" t="s">
        <v>33</v>
      </c>
      <c r="AB304" s="36" t="str" cm="1">
        <f t="array" ref="AB304">_xlfn.IFS(K304&gt;650,"LOW",K304&gt;=550,"MEDIUM",K304&lt;550,"HIGH")</f>
        <v>LOW</v>
      </c>
    </row>
    <row r="305" spans="3:28" x14ac:dyDescent="0.3">
      <c r="C305" s="35" t="s">
        <v>2097</v>
      </c>
      <c r="D305" s="1" t="s">
        <v>128</v>
      </c>
      <c r="E305" s="1">
        <v>41</v>
      </c>
      <c r="F305" s="1" t="s">
        <v>26</v>
      </c>
      <c r="G305" s="1" t="s">
        <v>45</v>
      </c>
      <c r="H305" s="1" t="s">
        <v>28</v>
      </c>
      <c r="I305" s="1" t="s">
        <v>40</v>
      </c>
      <c r="J305" s="7">
        <v>76920</v>
      </c>
      <c r="K305" s="1">
        <v>767</v>
      </c>
      <c r="L305" s="7">
        <v>38805</v>
      </c>
      <c r="M305" s="1">
        <v>36</v>
      </c>
      <c r="N305" s="6">
        <v>0.13350000000000001</v>
      </c>
      <c r="O305" s="1" t="s">
        <v>63</v>
      </c>
      <c r="P305" s="1" t="s">
        <v>50</v>
      </c>
      <c r="Q305" s="1">
        <v>16</v>
      </c>
      <c r="R305" s="1">
        <v>0</v>
      </c>
      <c r="S305" s="1" t="s">
        <v>33</v>
      </c>
      <c r="T305" s="1" t="s">
        <v>31</v>
      </c>
      <c r="U305" s="1">
        <v>3</v>
      </c>
      <c r="V305" s="1">
        <v>146528</v>
      </c>
      <c r="W305" s="7">
        <v>1984</v>
      </c>
      <c r="X305" s="1">
        <v>0.16</v>
      </c>
      <c r="Y305" s="4">
        <v>44218</v>
      </c>
      <c r="Z305" s="1" t="s">
        <v>38</v>
      </c>
      <c r="AA305" s="1" t="s">
        <v>33</v>
      </c>
      <c r="AB305" s="36" t="str" cm="1">
        <f t="array" ref="AB305">_xlfn.IFS(K305&gt;650,"LOW",K305&gt;=550,"MEDIUM",K305&lt;550,"HIGH")</f>
        <v>LOW</v>
      </c>
    </row>
    <row r="306" spans="3:28" x14ac:dyDescent="0.3">
      <c r="C306" s="35" t="s">
        <v>2735</v>
      </c>
      <c r="D306" s="1" t="s">
        <v>765</v>
      </c>
      <c r="E306" s="1">
        <v>21</v>
      </c>
      <c r="F306" s="1" t="s">
        <v>44</v>
      </c>
      <c r="G306" s="1" t="s">
        <v>27</v>
      </c>
      <c r="H306" s="1" t="s">
        <v>54</v>
      </c>
      <c r="I306" s="1" t="s">
        <v>59</v>
      </c>
      <c r="J306" s="7">
        <v>148353</v>
      </c>
      <c r="K306" s="1">
        <v>767</v>
      </c>
      <c r="L306" s="7">
        <v>5666</v>
      </c>
      <c r="M306" s="1">
        <v>48</v>
      </c>
      <c r="N306" s="6">
        <v>5.7500000000000002E-2</v>
      </c>
      <c r="O306" s="1" t="s">
        <v>46</v>
      </c>
      <c r="P306" s="1" t="s">
        <v>47</v>
      </c>
      <c r="Q306" s="1">
        <v>23</v>
      </c>
      <c r="R306" s="1">
        <v>4</v>
      </c>
      <c r="S306" s="1" t="s">
        <v>33</v>
      </c>
      <c r="T306" s="1" t="s">
        <v>33</v>
      </c>
      <c r="U306" s="1">
        <v>3</v>
      </c>
      <c r="V306" s="1">
        <v>143376</v>
      </c>
      <c r="W306" s="7">
        <v>540.28</v>
      </c>
      <c r="X306" s="1">
        <v>0.84</v>
      </c>
      <c r="Y306" s="4">
        <v>45781</v>
      </c>
      <c r="Z306" s="1" t="s">
        <v>32</v>
      </c>
      <c r="AA306" s="1" t="s">
        <v>33</v>
      </c>
      <c r="AB306" s="36" t="str" cm="1">
        <f t="array" ref="AB306">_xlfn.IFS(K306&gt;650,"LOW",K306&gt;=550,"MEDIUM",K306&lt;550,"HIGH")</f>
        <v>LOW</v>
      </c>
    </row>
    <row r="307" spans="3:28" x14ac:dyDescent="0.3">
      <c r="C307" s="35" t="s">
        <v>3114</v>
      </c>
      <c r="D307" s="1" t="s">
        <v>1139</v>
      </c>
      <c r="E307" s="1">
        <v>41</v>
      </c>
      <c r="F307" s="1" t="s">
        <v>26</v>
      </c>
      <c r="G307" s="1" t="s">
        <v>35</v>
      </c>
      <c r="H307" s="1" t="s">
        <v>28</v>
      </c>
      <c r="I307" s="1" t="s">
        <v>59</v>
      </c>
      <c r="J307" s="7">
        <v>43519</v>
      </c>
      <c r="K307" s="1">
        <v>767</v>
      </c>
      <c r="L307" s="7">
        <v>36185</v>
      </c>
      <c r="M307" s="1">
        <v>24</v>
      </c>
      <c r="N307" s="6">
        <v>5.8600000000000006E-2</v>
      </c>
      <c r="O307" s="1" t="s">
        <v>41</v>
      </c>
      <c r="P307" s="1" t="s">
        <v>50</v>
      </c>
      <c r="Q307" s="1">
        <v>1</v>
      </c>
      <c r="R307" s="1">
        <v>1</v>
      </c>
      <c r="S307" s="1" t="s">
        <v>33</v>
      </c>
      <c r="T307" s="1" t="s">
        <v>31</v>
      </c>
      <c r="U307" s="1">
        <v>0</v>
      </c>
      <c r="V307" s="1">
        <v>197863</v>
      </c>
      <c r="W307" s="7">
        <v>160.79</v>
      </c>
      <c r="X307" s="1">
        <v>0.35</v>
      </c>
      <c r="Y307" s="4">
        <v>44440</v>
      </c>
      <c r="Z307" s="1" t="s">
        <v>38</v>
      </c>
      <c r="AA307" s="1" t="s">
        <v>33</v>
      </c>
      <c r="AB307" s="36" t="str" cm="1">
        <f t="array" ref="AB307">_xlfn.IFS(K307&gt;650,"LOW",K307&gt;=550,"MEDIUM",K307&lt;550,"HIGH")</f>
        <v>LOW</v>
      </c>
    </row>
    <row r="308" spans="3:28" x14ac:dyDescent="0.3">
      <c r="C308" s="35" t="s">
        <v>3536</v>
      </c>
      <c r="D308" s="1" t="s">
        <v>1553</v>
      </c>
      <c r="E308" s="1">
        <v>25</v>
      </c>
      <c r="F308" s="1" t="s">
        <v>26</v>
      </c>
      <c r="G308" s="1" t="s">
        <v>35</v>
      </c>
      <c r="H308" s="1" t="s">
        <v>36</v>
      </c>
      <c r="I308" s="1" t="s">
        <v>29</v>
      </c>
      <c r="J308" s="7">
        <v>78408</v>
      </c>
      <c r="K308" s="1">
        <v>767</v>
      </c>
      <c r="L308" s="7">
        <v>8835</v>
      </c>
      <c r="M308" s="1">
        <v>24</v>
      </c>
      <c r="N308" s="6">
        <v>0.1008</v>
      </c>
      <c r="O308" s="1" t="s">
        <v>46</v>
      </c>
      <c r="P308" s="1" t="s">
        <v>50</v>
      </c>
      <c r="Q308" s="1">
        <v>12</v>
      </c>
      <c r="R308" s="1">
        <v>1</v>
      </c>
      <c r="S308" s="1" t="s">
        <v>33</v>
      </c>
      <c r="T308" s="1" t="s">
        <v>33</v>
      </c>
      <c r="U308" s="1">
        <v>4</v>
      </c>
      <c r="V308" s="1">
        <v>55615</v>
      </c>
      <c r="W308" s="7">
        <v>931.7</v>
      </c>
      <c r="X308" s="1">
        <v>0.82</v>
      </c>
      <c r="Y308" s="4">
        <v>45454</v>
      </c>
      <c r="Z308" s="1" t="s">
        <v>38</v>
      </c>
      <c r="AA308" s="1" t="s">
        <v>33</v>
      </c>
      <c r="AB308" s="36" t="str" cm="1">
        <f t="array" ref="AB308">_xlfn.IFS(K308&gt;650,"LOW",K308&gt;=550,"MEDIUM",K308&lt;550,"HIGH")</f>
        <v>LOW</v>
      </c>
    </row>
    <row r="309" spans="3:28" x14ac:dyDescent="0.3">
      <c r="C309" s="35" t="s">
        <v>3596</v>
      </c>
      <c r="D309" s="1" t="s">
        <v>1610</v>
      </c>
      <c r="E309" s="1">
        <v>37</v>
      </c>
      <c r="F309" s="1" t="s">
        <v>26</v>
      </c>
      <c r="G309" s="1" t="s">
        <v>56</v>
      </c>
      <c r="H309" s="1" t="s">
        <v>28</v>
      </c>
      <c r="I309" s="1" t="s">
        <v>59</v>
      </c>
      <c r="J309" s="7">
        <v>135399</v>
      </c>
      <c r="K309" s="1">
        <v>767</v>
      </c>
      <c r="L309" s="7">
        <v>2607</v>
      </c>
      <c r="M309" s="1">
        <v>12</v>
      </c>
      <c r="N309" s="6">
        <v>0.11789999999999999</v>
      </c>
      <c r="O309" s="1" t="s">
        <v>5</v>
      </c>
      <c r="P309" s="1" t="s">
        <v>50</v>
      </c>
      <c r="Q309" s="1">
        <v>12</v>
      </c>
      <c r="R309" s="1">
        <v>4</v>
      </c>
      <c r="S309" s="1" t="s">
        <v>31</v>
      </c>
      <c r="T309" s="1" t="s">
        <v>31</v>
      </c>
      <c r="U309" s="1">
        <v>4</v>
      </c>
      <c r="V309" s="1">
        <v>30377</v>
      </c>
      <c r="W309" s="7">
        <v>1023.54</v>
      </c>
      <c r="X309" s="1">
        <v>0.63</v>
      </c>
      <c r="Y309" s="4">
        <v>45342</v>
      </c>
      <c r="Z309" s="1" t="s">
        <v>38</v>
      </c>
      <c r="AA309" s="1" t="s">
        <v>33</v>
      </c>
      <c r="AB309" s="36" t="str" cm="1">
        <f t="array" ref="AB309">_xlfn.IFS(K309&gt;650,"LOW",K309&gt;=550,"MEDIUM",K309&lt;550,"HIGH")</f>
        <v>LOW</v>
      </c>
    </row>
    <row r="310" spans="3:28" x14ac:dyDescent="0.3">
      <c r="C310" s="35" t="s">
        <v>2195</v>
      </c>
      <c r="D310" s="1" t="s">
        <v>226</v>
      </c>
      <c r="E310" s="1">
        <v>26</v>
      </c>
      <c r="F310" s="1" t="s">
        <v>26</v>
      </c>
      <c r="G310" s="1" t="s">
        <v>45</v>
      </c>
      <c r="H310" s="1" t="s">
        <v>28</v>
      </c>
      <c r="I310" s="1" t="s">
        <v>29</v>
      </c>
      <c r="J310" s="7">
        <v>96768</v>
      </c>
      <c r="K310" s="1">
        <v>766</v>
      </c>
      <c r="L310" s="7">
        <v>16595</v>
      </c>
      <c r="M310" s="1">
        <v>48</v>
      </c>
      <c r="N310" s="6">
        <v>9.7500000000000003E-2</v>
      </c>
      <c r="O310" s="1" t="s">
        <v>5</v>
      </c>
      <c r="P310" s="1" t="s">
        <v>30</v>
      </c>
      <c r="Q310" s="1">
        <v>28</v>
      </c>
      <c r="R310" s="1">
        <v>0</v>
      </c>
      <c r="S310" s="1" t="s">
        <v>31</v>
      </c>
      <c r="T310" s="1" t="s">
        <v>31</v>
      </c>
      <c r="U310" s="1">
        <v>2</v>
      </c>
      <c r="V310" s="1">
        <v>91975</v>
      </c>
      <c r="W310" s="7">
        <v>744.98</v>
      </c>
      <c r="X310" s="1">
        <v>0.11</v>
      </c>
      <c r="Y310" s="4">
        <v>44809</v>
      </c>
      <c r="Z310" s="1" t="s">
        <v>38</v>
      </c>
      <c r="AA310" s="1" t="s">
        <v>33</v>
      </c>
      <c r="AB310" s="36" t="str" cm="1">
        <f t="array" ref="AB310">_xlfn.IFS(K310&gt;650,"LOW",K310&gt;=550,"MEDIUM",K310&lt;550,"HIGH")</f>
        <v>LOW</v>
      </c>
    </row>
    <row r="311" spans="3:28" x14ac:dyDescent="0.3">
      <c r="C311" s="35" t="s">
        <v>2282</v>
      </c>
      <c r="D311" s="1" t="s">
        <v>313</v>
      </c>
      <c r="E311" s="1">
        <v>55</v>
      </c>
      <c r="F311" s="1" t="s">
        <v>44</v>
      </c>
      <c r="G311" s="1" t="s">
        <v>45</v>
      </c>
      <c r="H311" s="1" t="s">
        <v>54</v>
      </c>
      <c r="I311" s="1" t="s">
        <v>29</v>
      </c>
      <c r="J311" s="7">
        <v>102357</v>
      </c>
      <c r="K311" s="1">
        <v>766</v>
      </c>
      <c r="L311" s="7">
        <v>39893</v>
      </c>
      <c r="M311" s="1">
        <v>36</v>
      </c>
      <c r="N311" s="6">
        <v>0.1074</v>
      </c>
      <c r="O311" s="1" t="s">
        <v>5</v>
      </c>
      <c r="P311" s="1" t="s">
        <v>47</v>
      </c>
      <c r="Q311" s="1">
        <v>6</v>
      </c>
      <c r="R311" s="1">
        <v>4</v>
      </c>
      <c r="S311" s="1" t="s">
        <v>33</v>
      </c>
      <c r="T311" s="1" t="s">
        <v>31</v>
      </c>
      <c r="U311" s="1">
        <v>3</v>
      </c>
      <c r="V311" s="1">
        <v>56235</v>
      </c>
      <c r="W311" s="7">
        <v>1413.16</v>
      </c>
      <c r="X311" s="1">
        <v>0.99</v>
      </c>
      <c r="Y311" s="4">
        <v>44712</v>
      </c>
      <c r="Z311" s="1" t="s">
        <v>32</v>
      </c>
      <c r="AA311" s="1" t="s">
        <v>33</v>
      </c>
      <c r="AB311" s="36" t="str" cm="1">
        <f t="array" ref="AB311">_xlfn.IFS(K311&gt;650,"LOW",K311&gt;=550,"MEDIUM",K311&lt;550,"HIGH")</f>
        <v>LOW</v>
      </c>
    </row>
    <row r="312" spans="3:28" x14ac:dyDescent="0.3">
      <c r="C312" s="35" t="s">
        <v>3010</v>
      </c>
      <c r="D312" s="1" t="s">
        <v>1037</v>
      </c>
      <c r="E312" s="1">
        <v>43</v>
      </c>
      <c r="F312" s="1" t="s">
        <v>26</v>
      </c>
      <c r="G312" s="1" t="s">
        <v>45</v>
      </c>
      <c r="H312" s="1" t="s">
        <v>61</v>
      </c>
      <c r="I312" s="1" t="s">
        <v>57</v>
      </c>
      <c r="J312" s="7">
        <v>123361</v>
      </c>
      <c r="K312" s="1">
        <v>766</v>
      </c>
      <c r="L312" s="7">
        <v>6594</v>
      </c>
      <c r="M312" s="1">
        <v>48</v>
      </c>
      <c r="N312" s="6">
        <v>7.4800000000000005E-2</v>
      </c>
      <c r="O312" s="1" t="s">
        <v>63</v>
      </c>
      <c r="P312" s="1" t="s">
        <v>47</v>
      </c>
      <c r="Q312" s="1">
        <v>19</v>
      </c>
      <c r="R312" s="1">
        <v>3</v>
      </c>
      <c r="S312" s="1" t="s">
        <v>33</v>
      </c>
      <c r="T312" s="1" t="s">
        <v>33</v>
      </c>
      <c r="U312" s="1">
        <v>2</v>
      </c>
      <c r="V312" s="1">
        <v>184395</v>
      </c>
      <c r="W312" s="7">
        <v>1785.1</v>
      </c>
      <c r="X312" s="1">
        <v>0.25</v>
      </c>
      <c r="Y312" s="4">
        <v>44600</v>
      </c>
      <c r="Z312" s="1" t="s">
        <v>38</v>
      </c>
      <c r="AA312" s="1" t="s">
        <v>33</v>
      </c>
      <c r="AB312" s="36" t="str" cm="1">
        <f t="array" ref="AB312">_xlfn.IFS(K312&gt;650,"LOW",K312&gt;=550,"MEDIUM",K312&lt;550,"HIGH")</f>
        <v>LOW</v>
      </c>
    </row>
    <row r="313" spans="3:28" x14ac:dyDescent="0.3">
      <c r="C313" s="35" t="s">
        <v>3060</v>
      </c>
      <c r="D313" s="1" t="s">
        <v>1086</v>
      </c>
      <c r="E313" s="1">
        <v>47</v>
      </c>
      <c r="F313" s="1" t="s">
        <v>44</v>
      </c>
      <c r="G313" s="1" t="s">
        <v>35</v>
      </c>
      <c r="H313" s="1" t="s">
        <v>61</v>
      </c>
      <c r="I313" s="1" t="s">
        <v>59</v>
      </c>
      <c r="J313" s="7">
        <v>53688</v>
      </c>
      <c r="K313" s="1">
        <v>766</v>
      </c>
      <c r="L313" s="7">
        <v>11903</v>
      </c>
      <c r="M313" s="1">
        <v>24</v>
      </c>
      <c r="N313" s="6">
        <v>8.9800000000000005E-2</v>
      </c>
      <c r="O313" s="1" t="s">
        <v>63</v>
      </c>
      <c r="P313" s="1" t="s">
        <v>30</v>
      </c>
      <c r="Q313" s="1">
        <v>23</v>
      </c>
      <c r="R313" s="1">
        <v>0</v>
      </c>
      <c r="S313" s="1" t="s">
        <v>33</v>
      </c>
      <c r="T313" s="1" t="s">
        <v>33</v>
      </c>
      <c r="U313" s="1">
        <v>0</v>
      </c>
      <c r="V313" s="1">
        <v>60461</v>
      </c>
      <c r="W313" s="7">
        <v>1390.84</v>
      </c>
      <c r="X313" s="1">
        <v>0.53</v>
      </c>
      <c r="Y313" s="4">
        <v>45158</v>
      </c>
      <c r="Z313" s="1" t="s">
        <v>32</v>
      </c>
      <c r="AA313" s="1" t="s">
        <v>33</v>
      </c>
      <c r="AB313" s="36" t="str" cm="1">
        <f t="array" ref="AB313">_xlfn.IFS(K313&gt;650,"LOW",K313&gt;=550,"MEDIUM",K313&lt;550,"HIGH")</f>
        <v>LOW</v>
      </c>
    </row>
    <row r="314" spans="3:28" x14ac:dyDescent="0.3">
      <c r="C314" s="35" t="s">
        <v>3375</v>
      </c>
      <c r="D314" s="1" t="s">
        <v>1396</v>
      </c>
      <c r="E314" s="1">
        <v>32</v>
      </c>
      <c r="F314" s="1" t="s">
        <v>44</v>
      </c>
      <c r="G314" s="1" t="s">
        <v>56</v>
      </c>
      <c r="H314" s="1" t="s">
        <v>54</v>
      </c>
      <c r="I314" s="1" t="s">
        <v>57</v>
      </c>
      <c r="J314" s="7">
        <v>78436</v>
      </c>
      <c r="K314" s="1">
        <v>766</v>
      </c>
      <c r="L314" s="7">
        <v>26717</v>
      </c>
      <c r="M314" s="1">
        <v>24</v>
      </c>
      <c r="N314" s="6">
        <v>6.25E-2</v>
      </c>
      <c r="O314" s="1" t="s">
        <v>46</v>
      </c>
      <c r="P314" s="1" t="s">
        <v>30</v>
      </c>
      <c r="Q314" s="1">
        <v>16</v>
      </c>
      <c r="R314" s="1">
        <v>1</v>
      </c>
      <c r="S314" s="1" t="s">
        <v>31</v>
      </c>
      <c r="T314" s="1" t="s">
        <v>33</v>
      </c>
      <c r="U314" s="1">
        <v>1</v>
      </c>
      <c r="V314" s="1">
        <v>101815</v>
      </c>
      <c r="W314" s="7">
        <v>1186.72</v>
      </c>
      <c r="X314" s="1">
        <v>0.64</v>
      </c>
      <c r="Y314" s="4">
        <v>44249</v>
      </c>
      <c r="Z314" s="1" t="s">
        <v>32</v>
      </c>
      <c r="AA314" s="1" t="s">
        <v>33</v>
      </c>
      <c r="AB314" s="36" t="str" cm="1">
        <f t="array" ref="AB314">_xlfn.IFS(K314&gt;650,"LOW",K314&gt;=550,"MEDIUM",K314&lt;550,"HIGH")</f>
        <v>LOW</v>
      </c>
    </row>
    <row r="315" spans="3:28" x14ac:dyDescent="0.3">
      <c r="C315" s="35" t="s">
        <v>3454</v>
      </c>
      <c r="D315" s="1" t="s">
        <v>1472</v>
      </c>
      <c r="E315" s="1">
        <v>21</v>
      </c>
      <c r="F315" s="1" t="s">
        <v>44</v>
      </c>
      <c r="G315" s="1" t="s">
        <v>56</v>
      </c>
      <c r="H315" s="1" t="s">
        <v>54</v>
      </c>
      <c r="I315" s="1" t="s">
        <v>59</v>
      </c>
      <c r="J315" s="7">
        <v>131266</v>
      </c>
      <c r="K315" s="1">
        <v>766</v>
      </c>
      <c r="L315" s="7">
        <v>2902</v>
      </c>
      <c r="M315" s="1">
        <v>48</v>
      </c>
      <c r="N315" s="6">
        <v>0.10640000000000001</v>
      </c>
      <c r="O315" s="1" t="s">
        <v>52</v>
      </c>
      <c r="P315" s="1" t="s">
        <v>50</v>
      </c>
      <c r="Q315" s="1">
        <v>27</v>
      </c>
      <c r="R315" s="1">
        <v>0</v>
      </c>
      <c r="S315" s="1" t="s">
        <v>31</v>
      </c>
      <c r="T315" s="1" t="s">
        <v>33</v>
      </c>
      <c r="U315" s="1">
        <v>3</v>
      </c>
      <c r="V315" s="1">
        <v>143993</v>
      </c>
      <c r="W315" s="7">
        <v>1721.04</v>
      </c>
      <c r="X315" s="1">
        <v>0.93</v>
      </c>
      <c r="Y315" s="4">
        <v>45123</v>
      </c>
      <c r="Z315" s="1" t="s">
        <v>38</v>
      </c>
      <c r="AA315" s="1" t="s">
        <v>31</v>
      </c>
      <c r="AB315" s="36" t="str" cm="1">
        <f t="array" ref="AB315">_xlfn.IFS(K315&gt;650,"LOW",K315&gt;=550,"MEDIUM",K315&lt;550,"HIGH")</f>
        <v>LOW</v>
      </c>
    </row>
    <row r="316" spans="3:28" x14ac:dyDescent="0.3">
      <c r="C316" s="35" t="s">
        <v>2085</v>
      </c>
      <c r="D316" s="1" t="s">
        <v>116</v>
      </c>
      <c r="E316" s="1">
        <v>46</v>
      </c>
      <c r="F316" s="1" t="s">
        <v>44</v>
      </c>
      <c r="G316" s="1" t="s">
        <v>56</v>
      </c>
      <c r="H316" s="1" t="s">
        <v>36</v>
      </c>
      <c r="I316" s="1" t="s">
        <v>40</v>
      </c>
      <c r="J316" s="7">
        <v>133034</v>
      </c>
      <c r="K316" s="1">
        <v>765</v>
      </c>
      <c r="L316" s="7">
        <v>29878</v>
      </c>
      <c r="M316" s="1">
        <v>12</v>
      </c>
      <c r="N316" s="6">
        <v>0.109</v>
      </c>
      <c r="O316" s="1" t="s">
        <v>5</v>
      </c>
      <c r="P316" s="1" t="s">
        <v>30</v>
      </c>
      <c r="Q316" s="1">
        <v>16</v>
      </c>
      <c r="R316" s="1">
        <v>0</v>
      </c>
      <c r="S316" s="1" t="s">
        <v>33</v>
      </c>
      <c r="T316" s="1" t="s">
        <v>31</v>
      </c>
      <c r="U316" s="1">
        <v>3</v>
      </c>
      <c r="V316" s="1">
        <v>102304</v>
      </c>
      <c r="W316" s="7">
        <v>371.93</v>
      </c>
      <c r="X316" s="1">
        <v>0.72</v>
      </c>
      <c r="Y316" s="4">
        <v>44741</v>
      </c>
      <c r="Z316" s="1" t="s">
        <v>38</v>
      </c>
      <c r="AA316" s="1" t="s">
        <v>33</v>
      </c>
      <c r="AB316" s="36" t="str" cm="1">
        <f t="array" ref="AB316">_xlfn.IFS(K316&gt;650,"LOW",K316&gt;=550,"MEDIUM",K316&lt;550,"HIGH")</f>
        <v>LOW</v>
      </c>
    </row>
    <row r="317" spans="3:28" x14ac:dyDescent="0.3">
      <c r="C317" s="35" t="s">
        <v>2706</v>
      </c>
      <c r="D317" s="1" t="s">
        <v>736</v>
      </c>
      <c r="E317" s="1">
        <v>47</v>
      </c>
      <c r="F317" s="1" t="s">
        <v>44</v>
      </c>
      <c r="G317" s="1" t="s">
        <v>56</v>
      </c>
      <c r="H317" s="1" t="s">
        <v>61</v>
      </c>
      <c r="I317" s="1" t="s">
        <v>59</v>
      </c>
      <c r="J317" s="7">
        <v>138142</v>
      </c>
      <c r="K317" s="1">
        <v>765</v>
      </c>
      <c r="L317" s="7">
        <v>29039</v>
      </c>
      <c r="M317" s="1">
        <v>12</v>
      </c>
      <c r="N317" s="6">
        <v>0.19589999999999999</v>
      </c>
      <c r="O317" s="1" t="s">
        <v>52</v>
      </c>
      <c r="P317" s="1" t="s">
        <v>50</v>
      </c>
      <c r="Q317" s="1">
        <v>19</v>
      </c>
      <c r="R317" s="1">
        <v>2</v>
      </c>
      <c r="S317" s="1" t="s">
        <v>33</v>
      </c>
      <c r="T317" s="1" t="s">
        <v>31</v>
      </c>
      <c r="U317" s="1">
        <v>4</v>
      </c>
      <c r="V317" s="1">
        <v>49305</v>
      </c>
      <c r="W317" s="7">
        <v>292.85000000000002</v>
      </c>
      <c r="X317" s="1">
        <v>0.8</v>
      </c>
      <c r="Y317" s="4">
        <v>45138</v>
      </c>
      <c r="Z317" s="1" t="s">
        <v>32</v>
      </c>
      <c r="AA317" s="1" t="s">
        <v>33</v>
      </c>
      <c r="AB317" s="36" t="str" cm="1">
        <f t="array" ref="AB317">_xlfn.IFS(K317&gt;650,"LOW",K317&gt;=550,"MEDIUM",K317&lt;550,"HIGH")</f>
        <v>LOW</v>
      </c>
    </row>
    <row r="318" spans="3:28" x14ac:dyDescent="0.3">
      <c r="C318" s="35" t="s">
        <v>3615</v>
      </c>
      <c r="D318" s="1" t="s">
        <v>1628</v>
      </c>
      <c r="E318" s="1">
        <v>42</v>
      </c>
      <c r="F318" s="1" t="s">
        <v>26</v>
      </c>
      <c r="G318" s="1" t="s">
        <v>27</v>
      </c>
      <c r="H318" s="1" t="s">
        <v>61</v>
      </c>
      <c r="I318" s="1" t="s">
        <v>40</v>
      </c>
      <c r="J318" s="7">
        <v>132167</v>
      </c>
      <c r="K318" s="1">
        <v>765</v>
      </c>
      <c r="L318" s="7">
        <v>27415</v>
      </c>
      <c r="M318" s="1">
        <v>60</v>
      </c>
      <c r="N318" s="6">
        <v>9.4E-2</v>
      </c>
      <c r="O318" s="1" t="s">
        <v>63</v>
      </c>
      <c r="P318" s="1" t="s">
        <v>50</v>
      </c>
      <c r="Q318" s="1">
        <v>8</v>
      </c>
      <c r="R318" s="1">
        <v>3</v>
      </c>
      <c r="S318" s="1" t="s">
        <v>33</v>
      </c>
      <c r="T318" s="1" t="s">
        <v>33</v>
      </c>
      <c r="U318" s="1">
        <v>0</v>
      </c>
      <c r="V318" s="1">
        <v>45091</v>
      </c>
      <c r="W318" s="7">
        <v>1566.75</v>
      </c>
      <c r="X318" s="1">
        <v>0.18</v>
      </c>
      <c r="Y318" s="4">
        <v>44199</v>
      </c>
      <c r="Z318" s="1" t="s">
        <v>32</v>
      </c>
      <c r="AA318" s="1" t="s">
        <v>33</v>
      </c>
      <c r="AB318" s="36" t="str" cm="1">
        <f t="array" ref="AB318">_xlfn.IFS(K318&gt;650,"LOW",K318&gt;=550,"MEDIUM",K318&lt;550,"HIGH")</f>
        <v>LOW</v>
      </c>
    </row>
    <row r="319" spans="3:28" x14ac:dyDescent="0.3">
      <c r="C319" s="35" t="s">
        <v>3646</v>
      </c>
      <c r="D319" s="1" t="s">
        <v>1658</v>
      </c>
      <c r="E319" s="1">
        <v>46</v>
      </c>
      <c r="F319" s="1" t="s">
        <v>44</v>
      </c>
      <c r="G319" s="1" t="s">
        <v>35</v>
      </c>
      <c r="H319" s="1" t="s">
        <v>61</v>
      </c>
      <c r="I319" s="1" t="s">
        <v>40</v>
      </c>
      <c r="J319" s="7">
        <v>139815</v>
      </c>
      <c r="K319" s="1">
        <v>765</v>
      </c>
      <c r="L319" s="7">
        <v>9078</v>
      </c>
      <c r="M319" s="1">
        <v>24</v>
      </c>
      <c r="N319" s="6">
        <v>0.1603</v>
      </c>
      <c r="O319" s="1" t="s">
        <v>41</v>
      </c>
      <c r="P319" s="1" t="s">
        <v>30</v>
      </c>
      <c r="Q319" s="1">
        <v>3</v>
      </c>
      <c r="R319" s="1">
        <v>3</v>
      </c>
      <c r="S319" s="1" t="s">
        <v>31</v>
      </c>
      <c r="T319" s="1" t="s">
        <v>31</v>
      </c>
      <c r="U319" s="1">
        <v>4</v>
      </c>
      <c r="V319" s="1">
        <v>199106</v>
      </c>
      <c r="W319" s="7">
        <v>386.2</v>
      </c>
      <c r="X319" s="1">
        <v>0.21</v>
      </c>
      <c r="Y319" s="4">
        <v>45142</v>
      </c>
      <c r="Z319" s="1" t="s">
        <v>32</v>
      </c>
      <c r="AA319" s="1" t="s">
        <v>31</v>
      </c>
      <c r="AB319" s="36" t="str" cm="1">
        <f t="array" ref="AB319">_xlfn.IFS(K319&gt;650,"LOW",K319&gt;=550,"MEDIUM",K319&lt;550,"HIGH")</f>
        <v>LOW</v>
      </c>
    </row>
    <row r="320" spans="3:28" x14ac:dyDescent="0.3">
      <c r="C320" s="35" t="s">
        <v>3994</v>
      </c>
      <c r="D320" s="1" t="s">
        <v>1994</v>
      </c>
      <c r="E320" s="1">
        <v>46</v>
      </c>
      <c r="F320" s="1" t="s">
        <v>26</v>
      </c>
      <c r="G320" s="1" t="s">
        <v>45</v>
      </c>
      <c r="H320" s="1" t="s">
        <v>28</v>
      </c>
      <c r="I320" s="1" t="s">
        <v>57</v>
      </c>
      <c r="J320" s="7">
        <v>62933</v>
      </c>
      <c r="K320" s="1">
        <v>765</v>
      </c>
      <c r="L320" s="7">
        <v>14054</v>
      </c>
      <c r="M320" s="1">
        <v>12</v>
      </c>
      <c r="N320" s="6">
        <v>0.16870000000000002</v>
      </c>
      <c r="O320" s="1" t="s">
        <v>52</v>
      </c>
      <c r="P320" s="1" t="s">
        <v>50</v>
      </c>
      <c r="Q320" s="1">
        <v>24</v>
      </c>
      <c r="R320" s="1">
        <v>1</v>
      </c>
      <c r="S320" s="1" t="s">
        <v>33</v>
      </c>
      <c r="T320" s="1" t="s">
        <v>31</v>
      </c>
      <c r="U320" s="1">
        <v>0</v>
      </c>
      <c r="V320" s="1">
        <v>135248</v>
      </c>
      <c r="W320" s="7">
        <v>507.52</v>
      </c>
      <c r="X320" s="1">
        <v>0.56000000000000005</v>
      </c>
      <c r="Y320" s="4">
        <v>45602</v>
      </c>
      <c r="Z320" s="1" t="s">
        <v>32</v>
      </c>
      <c r="AA320" s="1" t="s">
        <v>33</v>
      </c>
      <c r="AB320" s="36" t="str" cm="1">
        <f t="array" ref="AB320">_xlfn.IFS(K320&gt;650,"LOW",K320&gt;=550,"MEDIUM",K320&lt;550,"HIGH")</f>
        <v>LOW</v>
      </c>
    </row>
    <row r="321" spans="3:28" x14ac:dyDescent="0.3">
      <c r="C321" s="35" t="s">
        <v>2460</v>
      </c>
      <c r="D321" s="1" t="s">
        <v>490</v>
      </c>
      <c r="E321" s="1">
        <v>36</v>
      </c>
      <c r="F321" s="1" t="s">
        <v>44</v>
      </c>
      <c r="G321" s="1" t="s">
        <v>56</v>
      </c>
      <c r="H321" s="1" t="s">
        <v>54</v>
      </c>
      <c r="I321" s="1" t="s">
        <v>57</v>
      </c>
      <c r="J321" s="7">
        <v>61256</v>
      </c>
      <c r="K321" s="1">
        <v>764</v>
      </c>
      <c r="L321" s="7">
        <v>2018</v>
      </c>
      <c r="M321" s="1">
        <v>24</v>
      </c>
      <c r="N321" s="6">
        <v>7.8299999999999995E-2</v>
      </c>
      <c r="O321" s="1" t="s">
        <v>63</v>
      </c>
      <c r="P321" s="1" t="s">
        <v>47</v>
      </c>
      <c r="Q321" s="1">
        <v>4</v>
      </c>
      <c r="R321" s="1">
        <v>4</v>
      </c>
      <c r="S321" s="1" t="s">
        <v>33</v>
      </c>
      <c r="T321" s="1" t="s">
        <v>33</v>
      </c>
      <c r="U321" s="1">
        <v>3</v>
      </c>
      <c r="V321" s="1">
        <v>65059</v>
      </c>
      <c r="W321" s="7">
        <v>394.57</v>
      </c>
      <c r="X321" s="1">
        <v>0.38</v>
      </c>
      <c r="Y321" s="4">
        <v>44356</v>
      </c>
      <c r="Z321" s="1" t="s">
        <v>32</v>
      </c>
      <c r="AA321" s="1" t="s">
        <v>33</v>
      </c>
      <c r="AB321" s="36" t="str" cm="1">
        <f t="array" ref="AB321">_xlfn.IFS(K321&gt;650,"LOW",K321&gt;=550,"MEDIUM",K321&lt;550,"HIGH")</f>
        <v>LOW</v>
      </c>
    </row>
    <row r="322" spans="3:28" x14ac:dyDescent="0.3">
      <c r="C322" s="35" t="s">
        <v>3234</v>
      </c>
      <c r="D322" s="1" t="s">
        <v>1258</v>
      </c>
      <c r="E322" s="1">
        <v>62</v>
      </c>
      <c r="F322" s="1" t="s">
        <v>44</v>
      </c>
      <c r="G322" s="1" t="s">
        <v>35</v>
      </c>
      <c r="H322" s="1" t="s">
        <v>54</v>
      </c>
      <c r="I322" s="1" t="s">
        <v>57</v>
      </c>
      <c r="J322" s="7">
        <v>98816</v>
      </c>
      <c r="K322" s="1">
        <v>764</v>
      </c>
      <c r="L322" s="7">
        <v>23889</v>
      </c>
      <c r="M322" s="1">
        <v>48</v>
      </c>
      <c r="N322" s="6">
        <v>0.1663</v>
      </c>
      <c r="O322" s="1" t="s">
        <v>5</v>
      </c>
      <c r="P322" s="1" t="s">
        <v>50</v>
      </c>
      <c r="Q322" s="1">
        <v>18</v>
      </c>
      <c r="R322" s="1">
        <v>1</v>
      </c>
      <c r="S322" s="1" t="s">
        <v>33</v>
      </c>
      <c r="T322" s="1" t="s">
        <v>31</v>
      </c>
      <c r="U322" s="1">
        <v>0</v>
      </c>
      <c r="V322" s="1">
        <v>51697</v>
      </c>
      <c r="W322" s="7">
        <v>1672.9</v>
      </c>
      <c r="X322" s="1">
        <v>0.72</v>
      </c>
      <c r="Y322" s="4">
        <v>44985</v>
      </c>
      <c r="Z322" s="1" t="s">
        <v>32</v>
      </c>
      <c r="AA322" s="1" t="s">
        <v>33</v>
      </c>
      <c r="AB322" s="36" t="str" cm="1">
        <f t="array" ref="AB322">_xlfn.IFS(K322&gt;650,"LOW",K322&gt;=550,"MEDIUM",K322&lt;550,"HIGH")</f>
        <v>LOW</v>
      </c>
    </row>
    <row r="323" spans="3:28" x14ac:dyDescent="0.3">
      <c r="C323" s="35" t="s">
        <v>3729</v>
      </c>
      <c r="D323" s="1" t="s">
        <v>1737</v>
      </c>
      <c r="E323" s="1">
        <v>38</v>
      </c>
      <c r="F323" s="1" t="s">
        <v>44</v>
      </c>
      <c r="G323" s="1" t="s">
        <v>56</v>
      </c>
      <c r="H323" s="1" t="s">
        <v>61</v>
      </c>
      <c r="I323" s="1" t="s">
        <v>57</v>
      </c>
      <c r="J323" s="7">
        <v>55670</v>
      </c>
      <c r="K323" s="1">
        <v>764</v>
      </c>
      <c r="L323" s="7">
        <v>27119</v>
      </c>
      <c r="M323" s="1">
        <v>48</v>
      </c>
      <c r="N323" s="6">
        <v>0.1794</v>
      </c>
      <c r="O323" s="1" t="s">
        <v>5</v>
      </c>
      <c r="P323" s="1" t="s">
        <v>30</v>
      </c>
      <c r="Q323" s="1">
        <v>6</v>
      </c>
      <c r="R323" s="1">
        <v>2</v>
      </c>
      <c r="S323" s="1" t="s">
        <v>33</v>
      </c>
      <c r="T323" s="1" t="s">
        <v>31</v>
      </c>
      <c r="U323" s="1">
        <v>4</v>
      </c>
      <c r="V323" s="1">
        <v>82121</v>
      </c>
      <c r="W323" s="7">
        <v>1498.86</v>
      </c>
      <c r="X323" s="1">
        <v>0.94</v>
      </c>
      <c r="Y323" s="4">
        <v>45647</v>
      </c>
      <c r="Z323" s="1" t="s">
        <v>38</v>
      </c>
      <c r="AA323" s="1" t="s">
        <v>33</v>
      </c>
      <c r="AB323" s="36" t="str" cm="1">
        <f t="array" ref="AB323">_xlfn.IFS(K323&gt;650,"LOW",K323&gt;=550,"MEDIUM",K323&lt;550,"HIGH")</f>
        <v>LOW</v>
      </c>
    </row>
    <row r="324" spans="3:28" x14ac:dyDescent="0.3">
      <c r="C324" s="35" t="s">
        <v>2258</v>
      </c>
      <c r="D324" s="1" t="s">
        <v>289</v>
      </c>
      <c r="E324" s="1">
        <v>60</v>
      </c>
      <c r="F324" s="1" t="s">
        <v>44</v>
      </c>
      <c r="G324" s="1" t="s">
        <v>45</v>
      </c>
      <c r="H324" s="1" t="s">
        <v>36</v>
      </c>
      <c r="I324" s="1" t="s">
        <v>29</v>
      </c>
      <c r="J324" s="7">
        <v>109317</v>
      </c>
      <c r="K324" s="1">
        <v>763</v>
      </c>
      <c r="L324" s="7">
        <v>43691</v>
      </c>
      <c r="M324" s="1">
        <v>48</v>
      </c>
      <c r="N324" s="6">
        <v>6.0499999999999998E-2</v>
      </c>
      <c r="O324" s="1" t="s">
        <v>41</v>
      </c>
      <c r="P324" s="1" t="s">
        <v>47</v>
      </c>
      <c r="Q324" s="1">
        <v>3</v>
      </c>
      <c r="R324" s="1">
        <v>3</v>
      </c>
      <c r="S324" s="1" t="s">
        <v>33</v>
      </c>
      <c r="T324" s="1" t="s">
        <v>31</v>
      </c>
      <c r="U324" s="1">
        <v>1</v>
      </c>
      <c r="V324" s="1">
        <v>147906</v>
      </c>
      <c r="W324" s="7">
        <v>472.35</v>
      </c>
      <c r="X324" s="1">
        <v>0.26</v>
      </c>
      <c r="Y324" s="4">
        <v>45540</v>
      </c>
      <c r="Z324" s="1" t="s">
        <v>38</v>
      </c>
      <c r="AA324" s="1" t="s">
        <v>33</v>
      </c>
      <c r="AB324" s="36" t="str" cm="1">
        <f t="array" ref="AB324">_xlfn.IFS(K324&gt;650,"LOW",K324&gt;=550,"MEDIUM",K324&lt;550,"HIGH")</f>
        <v>LOW</v>
      </c>
    </row>
    <row r="325" spans="3:28" x14ac:dyDescent="0.3">
      <c r="C325" s="35" t="s">
        <v>2436</v>
      </c>
      <c r="D325" s="1" t="s">
        <v>466</v>
      </c>
      <c r="E325" s="1">
        <v>21</v>
      </c>
      <c r="F325" s="1" t="s">
        <v>44</v>
      </c>
      <c r="G325" s="1" t="s">
        <v>45</v>
      </c>
      <c r="H325" s="1" t="s">
        <v>28</v>
      </c>
      <c r="I325" s="1" t="s">
        <v>59</v>
      </c>
      <c r="J325" s="7">
        <v>138330</v>
      </c>
      <c r="K325" s="1">
        <v>763</v>
      </c>
      <c r="L325" s="7">
        <v>16003</v>
      </c>
      <c r="M325" s="1">
        <v>12</v>
      </c>
      <c r="N325" s="6">
        <v>0.16699999999999998</v>
      </c>
      <c r="O325" s="1" t="s">
        <v>41</v>
      </c>
      <c r="P325" s="1" t="s">
        <v>50</v>
      </c>
      <c r="Q325" s="1">
        <v>23</v>
      </c>
      <c r="R325" s="1">
        <v>3</v>
      </c>
      <c r="S325" s="1" t="s">
        <v>31</v>
      </c>
      <c r="T325" s="1" t="s">
        <v>33</v>
      </c>
      <c r="U325" s="1">
        <v>1</v>
      </c>
      <c r="V325" s="1">
        <v>136354</v>
      </c>
      <c r="W325" s="7">
        <v>618.46</v>
      </c>
      <c r="X325" s="1">
        <v>0.82</v>
      </c>
      <c r="Y325" s="4">
        <v>45677</v>
      </c>
      <c r="Z325" s="1" t="s">
        <v>32</v>
      </c>
      <c r="AA325" s="1" t="s">
        <v>33</v>
      </c>
      <c r="AB325" s="36" t="str" cm="1">
        <f t="array" ref="AB325">_xlfn.IFS(K325&gt;650,"LOW",K325&gt;=550,"MEDIUM",K325&lt;550,"HIGH")</f>
        <v>LOW</v>
      </c>
    </row>
    <row r="326" spans="3:28" x14ac:dyDescent="0.3">
      <c r="C326" s="35" t="s">
        <v>2510</v>
      </c>
      <c r="D326" s="1" t="s">
        <v>540</v>
      </c>
      <c r="E326" s="1">
        <v>43</v>
      </c>
      <c r="F326" s="1" t="s">
        <v>44</v>
      </c>
      <c r="G326" s="1" t="s">
        <v>45</v>
      </c>
      <c r="H326" s="1" t="s">
        <v>54</v>
      </c>
      <c r="I326" s="1" t="s">
        <v>40</v>
      </c>
      <c r="J326" s="7">
        <v>58259</v>
      </c>
      <c r="K326" s="1">
        <v>763</v>
      </c>
      <c r="L326" s="7">
        <v>32403</v>
      </c>
      <c r="M326" s="1">
        <v>36</v>
      </c>
      <c r="N326" s="6">
        <v>5.5E-2</v>
      </c>
      <c r="O326" s="1" t="s">
        <v>37</v>
      </c>
      <c r="P326" s="1" t="s">
        <v>47</v>
      </c>
      <c r="Q326" s="1">
        <v>29</v>
      </c>
      <c r="R326" s="1">
        <v>1</v>
      </c>
      <c r="S326" s="1" t="s">
        <v>31</v>
      </c>
      <c r="T326" s="1" t="s">
        <v>33</v>
      </c>
      <c r="U326" s="1">
        <v>4</v>
      </c>
      <c r="V326" s="1">
        <v>182678</v>
      </c>
      <c r="W326" s="7">
        <v>1747.73</v>
      </c>
      <c r="X326" s="1">
        <v>0.93</v>
      </c>
      <c r="Y326" s="4">
        <v>44330</v>
      </c>
      <c r="Z326" s="1" t="s">
        <v>38</v>
      </c>
      <c r="AA326" s="1" t="s">
        <v>33</v>
      </c>
      <c r="AB326" s="36" t="str" cm="1">
        <f t="array" ref="AB326">_xlfn.IFS(K326&gt;650,"LOW",K326&gt;=550,"MEDIUM",K326&lt;550,"HIGH")</f>
        <v>LOW</v>
      </c>
    </row>
    <row r="327" spans="3:28" x14ac:dyDescent="0.3">
      <c r="C327" s="35" t="s">
        <v>2627</v>
      </c>
      <c r="D327" s="1" t="s">
        <v>657</v>
      </c>
      <c r="E327" s="1">
        <v>48</v>
      </c>
      <c r="F327" s="1" t="s">
        <v>44</v>
      </c>
      <c r="G327" s="1" t="s">
        <v>56</v>
      </c>
      <c r="H327" s="1" t="s">
        <v>54</v>
      </c>
      <c r="I327" s="1" t="s">
        <v>40</v>
      </c>
      <c r="J327" s="7">
        <v>99569</v>
      </c>
      <c r="K327" s="1">
        <v>763</v>
      </c>
      <c r="L327" s="7">
        <v>8187</v>
      </c>
      <c r="M327" s="1">
        <v>48</v>
      </c>
      <c r="N327" s="6">
        <v>0.1527</v>
      </c>
      <c r="O327" s="1" t="s">
        <v>5</v>
      </c>
      <c r="P327" s="1" t="s">
        <v>47</v>
      </c>
      <c r="Q327" s="1">
        <v>5</v>
      </c>
      <c r="R327" s="1">
        <v>0</v>
      </c>
      <c r="S327" s="1" t="s">
        <v>31</v>
      </c>
      <c r="T327" s="1" t="s">
        <v>33</v>
      </c>
      <c r="U327" s="1">
        <v>1</v>
      </c>
      <c r="V327" s="1">
        <v>168465</v>
      </c>
      <c r="W327" s="7">
        <v>880.11</v>
      </c>
      <c r="X327" s="1">
        <v>0.94</v>
      </c>
      <c r="Y327" s="4">
        <v>44115</v>
      </c>
      <c r="Z327" s="1" t="s">
        <v>32</v>
      </c>
      <c r="AA327" s="1" t="s">
        <v>33</v>
      </c>
      <c r="AB327" s="36" t="str" cm="1">
        <f t="array" ref="AB327">_xlfn.IFS(K327&gt;650,"LOW",K327&gt;=550,"MEDIUM",K327&lt;550,"HIGH")</f>
        <v>LOW</v>
      </c>
    </row>
    <row r="328" spans="3:28" x14ac:dyDescent="0.3">
      <c r="C328" s="35" t="s">
        <v>2947</v>
      </c>
      <c r="D328" s="1" t="s">
        <v>975</v>
      </c>
      <c r="E328" s="1">
        <v>53</v>
      </c>
      <c r="F328" s="1" t="s">
        <v>44</v>
      </c>
      <c r="G328" s="1" t="s">
        <v>56</v>
      </c>
      <c r="H328" s="1" t="s">
        <v>28</v>
      </c>
      <c r="I328" s="1" t="s">
        <v>59</v>
      </c>
      <c r="J328" s="7">
        <v>45345</v>
      </c>
      <c r="K328" s="1">
        <v>763</v>
      </c>
      <c r="L328" s="7">
        <v>46766</v>
      </c>
      <c r="M328" s="1">
        <v>12</v>
      </c>
      <c r="N328" s="6">
        <v>0.17300000000000001</v>
      </c>
      <c r="O328" s="1" t="s">
        <v>37</v>
      </c>
      <c r="P328" s="1" t="s">
        <v>50</v>
      </c>
      <c r="Q328" s="1">
        <v>11</v>
      </c>
      <c r="R328" s="1">
        <v>0</v>
      </c>
      <c r="S328" s="1" t="s">
        <v>31</v>
      </c>
      <c r="T328" s="1" t="s">
        <v>31</v>
      </c>
      <c r="U328" s="1">
        <v>2</v>
      </c>
      <c r="V328" s="1">
        <v>37018</v>
      </c>
      <c r="W328" s="7">
        <v>1528.39</v>
      </c>
      <c r="X328" s="1">
        <v>0.39</v>
      </c>
      <c r="Y328" s="4">
        <v>44036</v>
      </c>
      <c r="Z328" s="1" t="s">
        <v>38</v>
      </c>
      <c r="AA328" s="1" t="s">
        <v>33</v>
      </c>
      <c r="AB328" s="36" t="str" cm="1">
        <f t="array" ref="AB328">_xlfn.IFS(K328&gt;650,"LOW",K328&gt;=550,"MEDIUM",K328&lt;550,"HIGH")</f>
        <v>LOW</v>
      </c>
    </row>
    <row r="329" spans="3:28" x14ac:dyDescent="0.3">
      <c r="C329" s="35" t="s">
        <v>2974</v>
      </c>
      <c r="D329" s="1" t="s">
        <v>1002</v>
      </c>
      <c r="E329" s="1">
        <v>31</v>
      </c>
      <c r="F329" s="1" t="s">
        <v>26</v>
      </c>
      <c r="G329" s="1" t="s">
        <v>56</v>
      </c>
      <c r="H329" s="1" t="s">
        <v>54</v>
      </c>
      <c r="I329" s="1" t="s">
        <v>57</v>
      </c>
      <c r="J329" s="7">
        <v>49504</v>
      </c>
      <c r="K329" s="1">
        <v>763</v>
      </c>
      <c r="L329" s="7">
        <v>25373</v>
      </c>
      <c r="M329" s="1">
        <v>24</v>
      </c>
      <c r="N329" s="6">
        <v>0.15390000000000001</v>
      </c>
      <c r="O329" s="1" t="s">
        <v>46</v>
      </c>
      <c r="P329" s="1" t="s">
        <v>47</v>
      </c>
      <c r="Q329" s="1">
        <v>10</v>
      </c>
      <c r="R329" s="1">
        <v>2</v>
      </c>
      <c r="S329" s="1" t="s">
        <v>31</v>
      </c>
      <c r="T329" s="1" t="s">
        <v>33</v>
      </c>
      <c r="U329" s="1">
        <v>1</v>
      </c>
      <c r="V329" s="1">
        <v>37713</v>
      </c>
      <c r="W329" s="7">
        <v>1801.7</v>
      </c>
      <c r="X329" s="1">
        <v>0.7</v>
      </c>
      <c r="Y329" s="4">
        <v>44383</v>
      </c>
      <c r="Z329" s="1" t="s">
        <v>38</v>
      </c>
      <c r="AA329" s="1" t="s">
        <v>33</v>
      </c>
      <c r="AB329" s="36" t="str" cm="1">
        <f t="array" ref="AB329">_xlfn.IFS(K329&gt;650,"LOW",K329&gt;=550,"MEDIUM",K329&lt;550,"HIGH")</f>
        <v>LOW</v>
      </c>
    </row>
    <row r="330" spans="3:28" x14ac:dyDescent="0.3">
      <c r="C330" s="35" t="s">
        <v>3514</v>
      </c>
      <c r="D330" s="1" t="s">
        <v>1531</v>
      </c>
      <c r="E330" s="1">
        <v>31</v>
      </c>
      <c r="F330" s="1" t="s">
        <v>26</v>
      </c>
      <c r="G330" s="1" t="s">
        <v>45</v>
      </c>
      <c r="H330" s="1" t="s">
        <v>54</v>
      </c>
      <c r="I330" s="1" t="s">
        <v>29</v>
      </c>
      <c r="J330" s="7">
        <v>32537</v>
      </c>
      <c r="K330" s="1">
        <v>763</v>
      </c>
      <c r="L330" s="7">
        <v>4952</v>
      </c>
      <c r="M330" s="1">
        <v>24</v>
      </c>
      <c r="N330" s="6">
        <v>0.14369999999999999</v>
      </c>
      <c r="O330" s="1" t="s">
        <v>5</v>
      </c>
      <c r="P330" s="1" t="s">
        <v>30</v>
      </c>
      <c r="Q330" s="1">
        <v>21</v>
      </c>
      <c r="R330" s="1">
        <v>4</v>
      </c>
      <c r="S330" s="1" t="s">
        <v>31</v>
      </c>
      <c r="T330" s="1" t="s">
        <v>33</v>
      </c>
      <c r="U330" s="1">
        <v>0</v>
      </c>
      <c r="V330" s="1">
        <v>93207</v>
      </c>
      <c r="W330" s="7">
        <v>1381.82</v>
      </c>
      <c r="X330" s="1">
        <v>0.84</v>
      </c>
      <c r="Y330" s="4">
        <v>44872</v>
      </c>
      <c r="Z330" s="1" t="s">
        <v>32</v>
      </c>
      <c r="AA330" s="1" t="s">
        <v>33</v>
      </c>
      <c r="AB330" s="36" t="str" cm="1">
        <f t="array" ref="AB330">_xlfn.IFS(K330&gt;650,"LOW",K330&gt;=550,"MEDIUM",K330&lt;550,"HIGH")</f>
        <v>LOW</v>
      </c>
    </row>
    <row r="331" spans="3:28" x14ac:dyDescent="0.3">
      <c r="C331" s="35" t="s">
        <v>3546</v>
      </c>
      <c r="D331" s="1" t="s">
        <v>1563</v>
      </c>
      <c r="E331" s="1">
        <v>60</v>
      </c>
      <c r="F331" s="1" t="s">
        <v>26</v>
      </c>
      <c r="G331" s="1" t="s">
        <v>56</v>
      </c>
      <c r="H331" s="1" t="s">
        <v>36</v>
      </c>
      <c r="I331" s="1" t="s">
        <v>59</v>
      </c>
      <c r="J331" s="7">
        <v>137798</v>
      </c>
      <c r="K331" s="1">
        <v>763</v>
      </c>
      <c r="L331" s="7">
        <v>31636</v>
      </c>
      <c r="M331" s="1">
        <v>12</v>
      </c>
      <c r="N331" s="6">
        <v>9.8900000000000002E-2</v>
      </c>
      <c r="O331" s="1" t="s">
        <v>46</v>
      </c>
      <c r="P331" s="1" t="s">
        <v>30</v>
      </c>
      <c r="Q331" s="1">
        <v>5</v>
      </c>
      <c r="R331" s="1">
        <v>4</v>
      </c>
      <c r="S331" s="1" t="s">
        <v>33</v>
      </c>
      <c r="T331" s="1" t="s">
        <v>31</v>
      </c>
      <c r="U331" s="1">
        <v>1</v>
      </c>
      <c r="V331" s="1">
        <v>172936</v>
      </c>
      <c r="W331" s="7">
        <v>1836.26</v>
      </c>
      <c r="X331" s="1">
        <v>0.7</v>
      </c>
      <c r="Y331" s="4">
        <v>44809</v>
      </c>
      <c r="Z331" s="1" t="s">
        <v>32</v>
      </c>
      <c r="AA331" s="1" t="s">
        <v>31</v>
      </c>
      <c r="AB331" s="36" t="str" cm="1">
        <f t="array" ref="AB331">_xlfn.IFS(K331&gt;650,"LOW",K331&gt;=550,"MEDIUM",K331&lt;550,"HIGH")</f>
        <v>LOW</v>
      </c>
    </row>
    <row r="332" spans="3:28" x14ac:dyDescent="0.3">
      <c r="C332" s="35" t="s">
        <v>3701</v>
      </c>
      <c r="D332" s="1" t="s">
        <v>1712</v>
      </c>
      <c r="E332" s="1">
        <v>23</v>
      </c>
      <c r="F332" s="1" t="s">
        <v>44</v>
      </c>
      <c r="G332" s="1" t="s">
        <v>35</v>
      </c>
      <c r="H332" s="1" t="s">
        <v>28</v>
      </c>
      <c r="I332" s="1" t="s">
        <v>29</v>
      </c>
      <c r="J332" s="7">
        <v>45496</v>
      </c>
      <c r="K332" s="1">
        <v>763</v>
      </c>
      <c r="L332" s="7">
        <v>49082</v>
      </c>
      <c r="M332" s="1">
        <v>60</v>
      </c>
      <c r="N332" s="6">
        <v>8.5000000000000006E-2</v>
      </c>
      <c r="O332" s="1" t="s">
        <v>46</v>
      </c>
      <c r="P332" s="1" t="s">
        <v>47</v>
      </c>
      <c r="Q332" s="1">
        <v>11</v>
      </c>
      <c r="R332" s="1">
        <v>3</v>
      </c>
      <c r="S332" s="1" t="s">
        <v>31</v>
      </c>
      <c r="T332" s="1" t="s">
        <v>33</v>
      </c>
      <c r="U332" s="1">
        <v>3</v>
      </c>
      <c r="V332" s="1">
        <v>55610</v>
      </c>
      <c r="W332" s="7">
        <v>1592.02</v>
      </c>
      <c r="X332" s="1">
        <v>0.54</v>
      </c>
      <c r="Y332" s="4">
        <v>45360</v>
      </c>
      <c r="Z332" s="1" t="s">
        <v>32</v>
      </c>
      <c r="AA332" s="1" t="s">
        <v>31</v>
      </c>
      <c r="AB332" s="36" t="str" cm="1">
        <f t="array" ref="AB332">_xlfn.IFS(K332&gt;650,"LOW",K332&gt;=550,"MEDIUM",K332&lt;550,"HIGH")</f>
        <v>LOW</v>
      </c>
    </row>
    <row r="333" spans="3:28" x14ac:dyDescent="0.3">
      <c r="C333" s="35" t="s">
        <v>3818</v>
      </c>
      <c r="D333" s="1" t="s">
        <v>1824</v>
      </c>
      <c r="E333" s="1">
        <v>38</v>
      </c>
      <c r="F333" s="1" t="s">
        <v>44</v>
      </c>
      <c r="G333" s="1" t="s">
        <v>35</v>
      </c>
      <c r="H333" s="1" t="s">
        <v>54</v>
      </c>
      <c r="I333" s="1" t="s">
        <v>57</v>
      </c>
      <c r="J333" s="7">
        <v>72772</v>
      </c>
      <c r="K333" s="1">
        <v>763</v>
      </c>
      <c r="L333" s="7">
        <v>10492</v>
      </c>
      <c r="M333" s="1">
        <v>60</v>
      </c>
      <c r="N333" s="6">
        <v>0.13589999999999999</v>
      </c>
      <c r="O333" s="1" t="s">
        <v>5</v>
      </c>
      <c r="P333" s="1" t="s">
        <v>47</v>
      </c>
      <c r="Q333" s="1">
        <v>12</v>
      </c>
      <c r="R333" s="1">
        <v>2</v>
      </c>
      <c r="S333" s="1" t="s">
        <v>31</v>
      </c>
      <c r="T333" s="1" t="s">
        <v>31</v>
      </c>
      <c r="U333" s="1">
        <v>2</v>
      </c>
      <c r="V333" s="1">
        <v>90815</v>
      </c>
      <c r="W333" s="7">
        <v>1897.7</v>
      </c>
      <c r="X333" s="1">
        <v>0.17</v>
      </c>
      <c r="Y333" s="4">
        <v>45347</v>
      </c>
      <c r="Z333" s="1" t="s">
        <v>32</v>
      </c>
      <c r="AA333" s="1" t="s">
        <v>33</v>
      </c>
      <c r="AB333" s="36" t="str" cm="1">
        <f t="array" ref="AB333">_xlfn.IFS(K333&gt;650,"LOW",K333&gt;=550,"MEDIUM",K333&lt;550,"HIGH")</f>
        <v>LOW</v>
      </c>
    </row>
    <row r="334" spans="3:28" x14ac:dyDescent="0.3">
      <c r="C334" s="35" t="s">
        <v>3962</v>
      </c>
      <c r="D334" s="1" t="s">
        <v>1964</v>
      </c>
      <c r="E334" s="1">
        <v>41</v>
      </c>
      <c r="F334" s="1" t="s">
        <v>44</v>
      </c>
      <c r="G334" s="1" t="s">
        <v>56</v>
      </c>
      <c r="H334" s="1" t="s">
        <v>54</v>
      </c>
      <c r="I334" s="1" t="s">
        <v>29</v>
      </c>
      <c r="J334" s="7">
        <v>81597</v>
      </c>
      <c r="K334" s="1">
        <v>763</v>
      </c>
      <c r="L334" s="7">
        <v>15662</v>
      </c>
      <c r="M334" s="1">
        <v>24</v>
      </c>
      <c r="N334" s="6">
        <v>0.13570000000000002</v>
      </c>
      <c r="O334" s="1" t="s">
        <v>63</v>
      </c>
      <c r="P334" s="1" t="s">
        <v>47</v>
      </c>
      <c r="Q334" s="1">
        <v>21</v>
      </c>
      <c r="R334" s="1">
        <v>4</v>
      </c>
      <c r="S334" s="1" t="s">
        <v>33</v>
      </c>
      <c r="T334" s="1" t="s">
        <v>33</v>
      </c>
      <c r="U334" s="1">
        <v>2</v>
      </c>
      <c r="V334" s="1">
        <v>128104</v>
      </c>
      <c r="W334" s="7">
        <v>874.58</v>
      </c>
      <c r="X334" s="1">
        <v>0.16</v>
      </c>
      <c r="Y334" s="4">
        <v>45349</v>
      </c>
      <c r="Z334" s="1" t="s">
        <v>38</v>
      </c>
      <c r="AA334" s="1" t="s">
        <v>33</v>
      </c>
      <c r="AB334" s="36" t="str" cm="1">
        <f t="array" ref="AB334">_xlfn.IFS(K334&gt;650,"LOW",K334&gt;=550,"MEDIUM",K334&lt;550,"HIGH")</f>
        <v>LOW</v>
      </c>
    </row>
    <row r="335" spans="3:28" x14ac:dyDescent="0.3">
      <c r="C335" s="35" t="s">
        <v>2521</v>
      </c>
      <c r="D335" s="1" t="s">
        <v>551</v>
      </c>
      <c r="E335" s="1">
        <v>24</v>
      </c>
      <c r="F335" s="1" t="s">
        <v>44</v>
      </c>
      <c r="G335" s="1" t="s">
        <v>27</v>
      </c>
      <c r="H335" s="1" t="s">
        <v>61</v>
      </c>
      <c r="I335" s="1" t="s">
        <v>40</v>
      </c>
      <c r="J335" s="7">
        <v>70639</v>
      </c>
      <c r="K335" s="1">
        <v>762</v>
      </c>
      <c r="L335" s="7">
        <v>34370</v>
      </c>
      <c r="M335" s="1">
        <v>12</v>
      </c>
      <c r="N335" s="6">
        <v>0.17739999999999997</v>
      </c>
      <c r="O335" s="1" t="s">
        <v>5</v>
      </c>
      <c r="P335" s="1" t="s">
        <v>47</v>
      </c>
      <c r="Q335" s="1">
        <v>12</v>
      </c>
      <c r="R335" s="1">
        <v>2</v>
      </c>
      <c r="S335" s="1" t="s">
        <v>31</v>
      </c>
      <c r="T335" s="1" t="s">
        <v>33</v>
      </c>
      <c r="U335" s="1">
        <v>1</v>
      </c>
      <c r="V335" s="1">
        <v>158938</v>
      </c>
      <c r="W335" s="7">
        <v>1466.21</v>
      </c>
      <c r="X335" s="1">
        <v>0.3</v>
      </c>
      <c r="Y335" s="4">
        <v>45419</v>
      </c>
      <c r="Z335" s="1" t="s">
        <v>38</v>
      </c>
      <c r="AA335" s="1" t="s">
        <v>33</v>
      </c>
      <c r="AB335" s="36" t="str" cm="1">
        <f t="array" ref="AB335">_xlfn.IFS(K335&gt;650,"LOW",K335&gt;=550,"MEDIUM",K335&lt;550,"HIGH")</f>
        <v>LOW</v>
      </c>
    </row>
    <row r="336" spans="3:28" x14ac:dyDescent="0.3">
      <c r="C336" s="35" t="s">
        <v>2689</v>
      </c>
      <c r="D336" s="1" t="s">
        <v>719</v>
      </c>
      <c r="E336" s="1">
        <v>26</v>
      </c>
      <c r="F336" s="1" t="s">
        <v>26</v>
      </c>
      <c r="G336" s="1" t="s">
        <v>35</v>
      </c>
      <c r="H336" s="1" t="s">
        <v>36</v>
      </c>
      <c r="I336" s="1" t="s">
        <v>57</v>
      </c>
      <c r="J336" s="7">
        <v>92255</v>
      </c>
      <c r="K336" s="1">
        <v>762</v>
      </c>
      <c r="L336" s="7">
        <v>34298</v>
      </c>
      <c r="M336" s="1">
        <v>48</v>
      </c>
      <c r="N336" s="6">
        <v>0.18489999999999998</v>
      </c>
      <c r="O336" s="1" t="s">
        <v>41</v>
      </c>
      <c r="P336" s="1" t="s">
        <v>50</v>
      </c>
      <c r="Q336" s="1">
        <v>6</v>
      </c>
      <c r="R336" s="1">
        <v>2</v>
      </c>
      <c r="S336" s="1" t="s">
        <v>31</v>
      </c>
      <c r="T336" s="1" t="s">
        <v>33</v>
      </c>
      <c r="U336" s="1">
        <v>4</v>
      </c>
      <c r="V336" s="1">
        <v>179255</v>
      </c>
      <c r="W336" s="7">
        <v>1210.43</v>
      </c>
      <c r="X336" s="1">
        <v>0.36</v>
      </c>
      <c r="Y336" s="4">
        <v>44790</v>
      </c>
      <c r="Z336" s="1" t="s">
        <v>32</v>
      </c>
      <c r="AA336" s="1" t="s">
        <v>33</v>
      </c>
      <c r="AB336" s="36" t="str" cm="1">
        <f t="array" ref="AB336">_xlfn.IFS(K336&gt;650,"LOW",K336&gt;=550,"MEDIUM",K336&lt;550,"HIGH")</f>
        <v>LOW</v>
      </c>
    </row>
    <row r="337" spans="3:28" x14ac:dyDescent="0.3">
      <c r="C337" s="35" t="s">
        <v>3073</v>
      </c>
      <c r="D337" s="1" t="s">
        <v>1099</v>
      </c>
      <c r="E337" s="1">
        <v>26</v>
      </c>
      <c r="F337" s="1" t="s">
        <v>26</v>
      </c>
      <c r="G337" s="1" t="s">
        <v>56</v>
      </c>
      <c r="H337" s="1" t="s">
        <v>61</v>
      </c>
      <c r="I337" s="1" t="s">
        <v>40</v>
      </c>
      <c r="J337" s="7">
        <v>33237</v>
      </c>
      <c r="K337" s="1">
        <v>762</v>
      </c>
      <c r="L337" s="7">
        <v>35607</v>
      </c>
      <c r="M337" s="1">
        <v>60</v>
      </c>
      <c r="N337" s="6">
        <v>0.10630000000000001</v>
      </c>
      <c r="O337" s="1" t="s">
        <v>41</v>
      </c>
      <c r="P337" s="1" t="s">
        <v>30</v>
      </c>
      <c r="Q337" s="1">
        <v>4</v>
      </c>
      <c r="R337" s="1">
        <v>3</v>
      </c>
      <c r="S337" s="1" t="s">
        <v>31</v>
      </c>
      <c r="T337" s="1" t="s">
        <v>31</v>
      </c>
      <c r="U337" s="1">
        <v>0</v>
      </c>
      <c r="V337" s="1">
        <v>82056</v>
      </c>
      <c r="W337" s="7">
        <v>245.73</v>
      </c>
      <c r="X337" s="1">
        <v>0.49</v>
      </c>
      <c r="Y337" s="4">
        <v>44959</v>
      </c>
      <c r="Z337" s="1" t="s">
        <v>38</v>
      </c>
      <c r="AA337" s="1" t="s">
        <v>33</v>
      </c>
      <c r="AB337" s="36" t="str" cm="1">
        <f t="array" ref="AB337">_xlfn.IFS(K337&gt;650,"LOW",K337&gt;=550,"MEDIUM",K337&lt;550,"HIGH")</f>
        <v>LOW</v>
      </c>
    </row>
    <row r="338" spans="3:28" x14ac:dyDescent="0.3">
      <c r="C338" s="35" t="s">
        <v>3560</v>
      </c>
      <c r="D338" s="1" t="s">
        <v>1577</v>
      </c>
      <c r="E338" s="1">
        <v>60</v>
      </c>
      <c r="F338" s="1" t="s">
        <v>26</v>
      </c>
      <c r="G338" s="1" t="s">
        <v>45</v>
      </c>
      <c r="H338" s="1" t="s">
        <v>61</v>
      </c>
      <c r="I338" s="1" t="s">
        <v>57</v>
      </c>
      <c r="J338" s="7">
        <v>87194</v>
      </c>
      <c r="K338" s="1">
        <v>762</v>
      </c>
      <c r="L338" s="7">
        <v>48857</v>
      </c>
      <c r="M338" s="1">
        <v>36</v>
      </c>
      <c r="N338" s="6">
        <v>8.7300000000000003E-2</v>
      </c>
      <c r="O338" s="1" t="s">
        <v>52</v>
      </c>
      <c r="P338" s="1" t="s">
        <v>47</v>
      </c>
      <c r="Q338" s="1">
        <v>18</v>
      </c>
      <c r="R338" s="1">
        <v>0</v>
      </c>
      <c r="S338" s="1" t="s">
        <v>31</v>
      </c>
      <c r="T338" s="1" t="s">
        <v>33</v>
      </c>
      <c r="U338" s="1">
        <v>4</v>
      </c>
      <c r="V338" s="1">
        <v>41706</v>
      </c>
      <c r="W338" s="7">
        <v>684.55</v>
      </c>
      <c r="X338" s="1">
        <v>0.18</v>
      </c>
      <c r="Y338" s="4">
        <v>44389</v>
      </c>
      <c r="Z338" s="1" t="s">
        <v>38</v>
      </c>
      <c r="AA338" s="1" t="s">
        <v>33</v>
      </c>
      <c r="AB338" s="36" t="str" cm="1">
        <f t="array" ref="AB338">_xlfn.IFS(K338&gt;650,"LOW",K338&gt;=550,"MEDIUM",K338&lt;550,"HIGH")</f>
        <v>LOW</v>
      </c>
    </row>
    <row r="339" spans="3:28" x14ac:dyDescent="0.3">
      <c r="C339" s="35" t="s">
        <v>3587</v>
      </c>
      <c r="D339" s="1" t="s">
        <v>1601</v>
      </c>
      <c r="E339" s="1">
        <v>33</v>
      </c>
      <c r="F339" s="1" t="s">
        <v>44</v>
      </c>
      <c r="G339" s="1" t="s">
        <v>27</v>
      </c>
      <c r="H339" s="1" t="s">
        <v>28</v>
      </c>
      <c r="I339" s="1" t="s">
        <v>57</v>
      </c>
      <c r="J339" s="7">
        <v>139496</v>
      </c>
      <c r="K339" s="1">
        <v>762</v>
      </c>
      <c r="L339" s="7">
        <v>32346</v>
      </c>
      <c r="M339" s="1">
        <v>48</v>
      </c>
      <c r="N339" s="6">
        <v>5.4699999999999999E-2</v>
      </c>
      <c r="O339" s="1" t="s">
        <v>52</v>
      </c>
      <c r="P339" s="1" t="s">
        <v>30</v>
      </c>
      <c r="Q339" s="1">
        <v>2</v>
      </c>
      <c r="R339" s="1">
        <v>0</v>
      </c>
      <c r="S339" s="1" t="s">
        <v>33</v>
      </c>
      <c r="T339" s="1" t="s">
        <v>31</v>
      </c>
      <c r="U339" s="1">
        <v>2</v>
      </c>
      <c r="V339" s="1">
        <v>79864</v>
      </c>
      <c r="W339" s="7">
        <v>407.32</v>
      </c>
      <c r="X339" s="1">
        <v>0.31</v>
      </c>
      <c r="Y339" s="4">
        <v>44558</v>
      </c>
      <c r="Z339" s="1" t="s">
        <v>38</v>
      </c>
      <c r="AA339" s="1" t="s">
        <v>33</v>
      </c>
      <c r="AB339" s="36" t="str" cm="1">
        <f t="array" ref="AB339">_xlfn.IFS(K339&gt;650,"LOW",K339&gt;=550,"MEDIUM",K339&lt;550,"HIGH")</f>
        <v>LOW</v>
      </c>
    </row>
    <row r="340" spans="3:28" x14ac:dyDescent="0.3">
      <c r="C340" s="35" t="s">
        <v>2126</v>
      </c>
      <c r="D340" s="1" t="s">
        <v>157</v>
      </c>
      <c r="E340" s="1">
        <v>27</v>
      </c>
      <c r="F340" s="1" t="s">
        <v>44</v>
      </c>
      <c r="G340" s="1" t="s">
        <v>56</v>
      </c>
      <c r="H340" s="1" t="s">
        <v>28</v>
      </c>
      <c r="I340" s="1" t="s">
        <v>29</v>
      </c>
      <c r="J340" s="7">
        <v>131915</v>
      </c>
      <c r="K340" s="1">
        <v>761</v>
      </c>
      <c r="L340" s="7">
        <v>42190</v>
      </c>
      <c r="M340" s="1">
        <v>12</v>
      </c>
      <c r="N340" s="6">
        <v>0.15839999999999999</v>
      </c>
      <c r="O340" s="1" t="s">
        <v>46</v>
      </c>
      <c r="P340" s="1" t="s">
        <v>47</v>
      </c>
      <c r="Q340" s="1">
        <v>10</v>
      </c>
      <c r="R340" s="1">
        <v>3</v>
      </c>
      <c r="S340" s="1" t="s">
        <v>31</v>
      </c>
      <c r="T340" s="1" t="s">
        <v>33</v>
      </c>
      <c r="U340" s="1">
        <v>0</v>
      </c>
      <c r="V340" s="1">
        <v>9952</v>
      </c>
      <c r="W340" s="7">
        <v>1663.84</v>
      </c>
      <c r="X340" s="1">
        <v>0.75</v>
      </c>
      <c r="Y340" s="4">
        <v>44315</v>
      </c>
      <c r="Z340" s="1" t="s">
        <v>32</v>
      </c>
      <c r="AA340" s="1" t="s">
        <v>33</v>
      </c>
      <c r="AB340" s="36" t="str" cm="1">
        <f t="array" ref="AB340">_xlfn.IFS(K340&gt;650,"LOW",K340&gt;=550,"MEDIUM",K340&lt;550,"HIGH")</f>
        <v>LOW</v>
      </c>
    </row>
    <row r="341" spans="3:28" x14ac:dyDescent="0.3">
      <c r="C341" s="35" t="s">
        <v>2964</v>
      </c>
      <c r="D341" s="1" t="s">
        <v>992</v>
      </c>
      <c r="E341" s="1">
        <v>31</v>
      </c>
      <c r="F341" s="1" t="s">
        <v>44</v>
      </c>
      <c r="G341" s="1" t="s">
        <v>35</v>
      </c>
      <c r="H341" s="1" t="s">
        <v>36</v>
      </c>
      <c r="I341" s="1" t="s">
        <v>40</v>
      </c>
      <c r="J341" s="7">
        <v>119764</v>
      </c>
      <c r="K341" s="1">
        <v>761</v>
      </c>
      <c r="L341" s="7">
        <v>5617</v>
      </c>
      <c r="M341" s="1">
        <v>60</v>
      </c>
      <c r="N341" s="6">
        <v>0.15509999999999999</v>
      </c>
      <c r="O341" s="1" t="s">
        <v>63</v>
      </c>
      <c r="P341" s="1" t="s">
        <v>47</v>
      </c>
      <c r="Q341" s="1">
        <v>21</v>
      </c>
      <c r="R341" s="1">
        <v>0</v>
      </c>
      <c r="S341" s="1" t="s">
        <v>33</v>
      </c>
      <c r="T341" s="1" t="s">
        <v>33</v>
      </c>
      <c r="U341" s="1">
        <v>1</v>
      </c>
      <c r="V341" s="1">
        <v>71663</v>
      </c>
      <c r="W341" s="7">
        <v>219.44</v>
      </c>
      <c r="X341" s="1">
        <v>0.78</v>
      </c>
      <c r="Y341" s="4">
        <v>45442</v>
      </c>
      <c r="Z341" s="1" t="s">
        <v>38</v>
      </c>
      <c r="AA341" s="1" t="s">
        <v>33</v>
      </c>
      <c r="AB341" s="36" t="str" cm="1">
        <f t="array" ref="AB341">_xlfn.IFS(K341&gt;650,"LOW",K341&gt;=550,"MEDIUM",K341&lt;550,"HIGH")</f>
        <v>LOW</v>
      </c>
    </row>
    <row r="342" spans="3:28" x14ac:dyDescent="0.3">
      <c r="C342" s="35" t="s">
        <v>2212</v>
      </c>
      <c r="D342" s="1" t="s">
        <v>243</v>
      </c>
      <c r="E342" s="1">
        <v>23</v>
      </c>
      <c r="F342" s="1" t="s">
        <v>26</v>
      </c>
      <c r="G342" s="1" t="s">
        <v>27</v>
      </c>
      <c r="H342" s="1" t="s">
        <v>54</v>
      </c>
      <c r="I342" s="1" t="s">
        <v>59</v>
      </c>
      <c r="J342" s="7">
        <v>63678</v>
      </c>
      <c r="K342" s="1">
        <v>760</v>
      </c>
      <c r="L342" s="7">
        <v>15298</v>
      </c>
      <c r="M342" s="1">
        <v>36</v>
      </c>
      <c r="N342" s="6">
        <v>6.9199999999999998E-2</v>
      </c>
      <c r="O342" s="1" t="s">
        <v>37</v>
      </c>
      <c r="P342" s="1" t="s">
        <v>30</v>
      </c>
      <c r="Q342" s="1">
        <v>6</v>
      </c>
      <c r="R342" s="1">
        <v>0</v>
      </c>
      <c r="S342" s="1" t="s">
        <v>31</v>
      </c>
      <c r="T342" s="1" t="s">
        <v>31</v>
      </c>
      <c r="U342" s="1">
        <v>0</v>
      </c>
      <c r="V342" s="1">
        <v>170556</v>
      </c>
      <c r="W342" s="7">
        <v>810.72</v>
      </c>
      <c r="X342" s="1">
        <v>0.28000000000000003</v>
      </c>
      <c r="Y342" s="4">
        <v>45624</v>
      </c>
      <c r="Z342" s="1" t="s">
        <v>38</v>
      </c>
      <c r="AA342" s="1" t="s">
        <v>33</v>
      </c>
      <c r="AB342" s="36" t="str" cm="1">
        <f t="array" ref="AB342">_xlfn.IFS(K342&gt;650,"LOW",K342&gt;=550,"MEDIUM",K342&lt;550,"HIGH")</f>
        <v>LOW</v>
      </c>
    </row>
    <row r="343" spans="3:28" x14ac:dyDescent="0.3">
      <c r="C343" s="35" t="s">
        <v>2857</v>
      </c>
      <c r="D343" s="1" t="s">
        <v>885</v>
      </c>
      <c r="E343" s="1">
        <v>35</v>
      </c>
      <c r="F343" s="1" t="s">
        <v>44</v>
      </c>
      <c r="G343" s="1" t="s">
        <v>35</v>
      </c>
      <c r="H343" s="1" t="s">
        <v>28</v>
      </c>
      <c r="I343" s="1" t="s">
        <v>40</v>
      </c>
      <c r="J343" s="7">
        <v>23981</v>
      </c>
      <c r="K343" s="1">
        <v>760</v>
      </c>
      <c r="L343" s="7">
        <v>24752</v>
      </c>
      <c r="M343" s="1">
        <v>48</v>
      </c>
      <c r="N343" s="6">
        <v>7.5300000000000006E-2</v>
      </c>
      <c r="O343" s="1" t="s">
        <v>63</v>
      </c>
      <c r="P343" s="1" t="s">
        <v>30</v>
      </c>
      <c r="Q343" s="1">
        <v>29</v>
      </c>
      <c r="R343" s="1">
        <v>3</v>
      </c>
      <c r="S343" s="1" t="s">
        <v>33</v>
      </c>
      <c r="T343" s="1" t="s">
        <v>33</v>
      </c>
      <c r="U343" s="1">
        <v>0</v>
      </c>
      <c r="V343" s="1">
        <v>168246</v>
      </c>
      <c r="W343" s="7">
        <v>920.65</v>
      </c>
      <c r="X343" s="1">
        <v>0.14000000000000001</v>
      </c>
      <c r="Y343" s="4">
        <v>45774</v>
      </c>
      <c r="Z343" s="1" t="s">
        <v>38</v>
      </c>
      <c r="AA343" s="1" t="s">
        <v>33</v>
      </c>
      <c r="AB343" s="36" t="str" cm="1">
        <f t="array" ref="AB343">_xlfn.IFS(K343&gt;650,"LOW",K343&gt;=550,"MEDIUM",K343&lt;550,"HIGH")</f>
        <v>LOW</v>
      </c>
    </row>
    <row r="344" spans="3:28" x14ac:dyDescent="0.3">
      <c r="C344" s="35" t="s">
        <v>2944</v>
      </c>
      <c r="D344" s="1" t="s">
        <v>972</v>
      </c>
      <c r="E344" s="1">
        <v>33</v>
      </c>
      <c r="F344" s="1" t="s">
        <v>26</v>
      </c>
      <c r="G344" s="1" t="s">
        <v>35</v>
      </c>
      <c r="H344" s="1" t="s">
        <v>28</v>
      </c>
      <c r="I344" s="1" t="s">
        <v>29</v>
      </c>
      <c r="J344" s="7">
        <v>74943</v>
      </c>
      <c r="K344" s="1">
        <v>760</v>
      </c>
      <c r="L344" s="7">
        <v>2701</v>
      </c>
      <c r="M344" s="1">
        <v>60</v>
      </c>
      <c r="N344" s="6">
        <v>0.1134</v>
      </c>
      <c r="O344" s="1" t="s">
        <v>63</v>
      </c>
      <c r="P344" s="1" t="s">
        <v>30</v>
      </c>
      <c r="Q344" s="1">
        <v>6</v>
      </c>
      <c r="R344" s="1">
        <v>2</v>
      </c>
      <c r="S344" s="1" t="s">
        <v>31</v>
      </c>
      <c r="T344" s="1" t="s">
        <v>33</v>
      </c>
      <c r="U344" s="1">
        <v>2</v>
      </c>
      <c r="V344" s="1">
        <v>141332</v>
      </c>
      <c r="W344" s="7">
        <v>1606.3</v>
      </c>
      <c r="X344" s="1">
        <v>0.34</v>
      </c>
      <c r="Y344" s="4">
        <v>44213</v>
      </c>
      <c r="Z344" s="1" t="s">
        <v>32</v>
      </c>
      <c r="AA344" s="1" t="s">
        <v>33</v>
      </c>
      <c r="AB344" s="36" t="str" cm="1">
        <f t="array" ref="AB344">_xlfn.IFS(K344&gt;650,"LOW",K344&gt;=550,"MEDIUM",K344&lt;550,"HIGH")</f>
        <v>LOW</v>
      </c>
    </row>
    <row r="345" spans="3:28" x14ac:dyDescent="0.3">
      <c r="C345" s="35" t="s">
        <v>2363</v>
      </c>
      <c r="D345" s="1" t="s">
        <v>393</v>
      </c>
      <c r="E345" s="1">
        <v>44</v>
      </c>
      <c r="F345" s="1" t="s">
        <v>44</v>
      </c>
      <c r="G345" s="1" t="s">
        <v>35</v>
      </c>
      <c r="H345" s="1" t="s">
        <v>28</v>
      </c>
      <c r="I345" s="1" t="s">
        <v>29</v>
      </c>
      <c r="J345" s="7">
        <v>64678</v>
      </c>
      <c r="K345" s="1">
        <v>759</v>
      </c>
      <c r="L345" s="7">
        <v>40328</v>
      </c>
      <c r="M345" s="1">
        <v>12</v>
      </c>
      <c r="N345" s="6">
        <v>0.17329999999999998</v>
      </c>
      <c r="O345" s="1" t="s">
        <v>63</v>
      </c>
      <c r="P345" s="1" t="s">
        <v>47</v>
      </c>
      <c r="Q345" s="1">
        <v>22</v>
      </c>
      <c r="R345" s="1">
        <v>4</v>
      </c>
      <c r="S345" s="1" t="s">
        <v>31</v>
      </c>
      <c r="T345" s="1" t="s">
        <v>31</v>
      </c>
      <c r="U345" s="1">
        <v>0</v>
      </c>
      <c r="V345" s="1">
        <v>37394</v>
      </c>
      <c r="W345" s="7">
        <v>1791.13</v>
      </c>
      <c r="X345" s="1">
        <v>0.32</v>
      </c>
      <c r="Y345" s="4">
        <v>45481</v>
      </c>
      <c r="Z345" s="1" t="s">
        <v>38</v>
      </c>
      <c r="AA345" s="1" t="s">
        <v>33</v>
      </c>
      <c r="AB345" s="36" t="str" cm="1">
        <f t="array" ref="AB345">_xlfn.IFS(K345&gt;650,"LOW",K345&gt;=550,"MEDIUM",K345&lt;550,"HIGH")</f>
        <v>LOW</v>
      </c>
    </row>
    <row r="346" spans="3:28" x14ac:dyDescent="0.3">
      <c r="C346" s="35" t="s">
        <v>3893</v>
      </c>
      <c r="D346" s="1" t="s">
        <v>1897</v>
      </c>
      <c r="E346" s="1">
        <v>60</v>
      </c>
      <c r="F346" s="1" t="s">
        <v>26</v>
      </c>
      <c r="G346" s="1" t="s">
        <v>45</v>
      </c>
      <c r="H346" s="1" t="s">
        <v>36</v>
      </c>
      <c r="I346" s="1" t="s">
        <v>40</v>
      </c>
      <c r="J346" s="7">
        <v>56495</v>
      </c>
      <c r="K346" s="1">
        <v>759</v>
      </c>
      <c r="L346" s="7">
        <v>5889</v>
      </c>
      <c r="M346" s="1">
        <v>24</v>
      </c>
      <c r="N346" s="6">
        <v>5.7000000000000002E-2</v>
      </c>
      <c r="O346" s="1" t="s">
        <v>37</v>
      </c>
      <c r="P346" s="1" t="s">
        <v>47</v>
      </c>
      <c r="Q346" s="1">
        <v>16</v>
      </c>
      <c r="R346" s="1">
        <v>2</v>
      </c>
      <c r="S346" s="1" t="s">
        <v>33</v>
      </c>
      <c r="T346" s="1" t="s">
        <v>33</v>
      </c>
      <c r="U346" s="1">
        <v>3</v>
      </c>
      <c r="V346" s="1">
        <v>151257</v>
      </c>
      <c r="W346" s="7">
        <v>1849.34</v>
      </c>
      <c r="X346" s="1">
        <v>0.64</v>
      </c>
      <c r="Y346" s="4">
        <v>44366</v>
      </c>
      <c r="Z346" s="1" t="s">
        <v>38</v>
      </c>
      <c r="AA346" s="1" t="s">
        <v>31</v>
      </c>
      <c r="AB346" s="36" t="str" cm="1">
        <f t="array" ref="AB346">_xlfn.IFS(K346&gt;650,"LOW",K346&gt;=550,"MEDIUM",K346&lt;550,"HIGH")</f>
        <v>LOW</v>
      </c>
    </row>
    <row r="347" spans="3:28" x14ac:dyDescent="0.3">
      <c r="C347" s="35" t="s">
        <v>2838</v>
      </c>
      <c r="D347" s="1" t="s">
        <v>866</v>
      </c>
      <c r="E347" s="1">
        <v>55</v>
      </c>
      <c r="F347" s="1" t="s">
        <v>26</v>
      </c>
      <c r="G347" s="1" t="s">
        <v>35</v>
      </c>
      <c r="H347" s="1" t="s">
        <v>36</v>
      </c>
      <c r="I347" s="1" t="s">
        <v>59</v>
      </c>
      <c r="J347" s="7">
        <v>120250</v>
      </c>
      <c r="K347" s="1">
        <v>758</v>
      </c>
      <c r="L347" s="7">
        <v>14280</v>
      </c>
      <c r="M347" s="1">
        <v>24</v>
      </c>
      <c r="N347" s="6">
        <v>7.6299999999999993E-2</v>
      </c>
      <c r="O347" s="1" t="s">
        <v>41</v>
      </c>
      <c r="P347" s="1" t="s">
        <v>30</v>
      </c>
      <c r="Q347" s="1">
        <v>4</v>
      </c>
      <c r="R347" s="1">
        <v>1</v>
      </c>
      <c r="S347" s="1" t="s">
        <v>31</v>
      </c>
      <c r="T347" s="1" t="s">
        <v>33</v>
      </c>
      <c r="U347" s="1">
        <v>1</v>
      </c>
      <c r="V347" s="1">
        <v>146083</v>
      </c>
      <c r="W347" s="7">
        <v>1834</v>
      </c>
      <c r="X347" s="1">
        <v>0.96</v>
      </c>
      <c r="Y347" s="4">
        <v>44420</v>
      </c>
      <c r="Z347" s="1" t="s">
        <v>32</v>
      </c>
      <c r="AA347" s="1" t="s">
        <v>31</v>
      </c>
      <c r="AB347" s="36" t="str" cm="1">
        <f t="array" ref="AB347">_xlfn.IFS(K347&gt;650,"LOW",K347&gt;=550,"MEDIUM",K347&lt;550,"HIGH")</f>
        <v>LOW</v>
      </c>
    </row>
    <row r="348" spans="3:28" x14ac:dyDescent="0.3">
      <c r="C348" s="35" t="s">
        <v>2945</v>
      </c>
      <c r="D348" s="1" t="s">
        <v>973</v>
      </c>
      <c r="E348" s="1">
        <v>63</v>
      </c>
      <c r="F348" s="1" t="s">
        <v>44</v>
      </c>
      <c r="G348" s="1" t="s">
        <v>35</v>
      </c>
      <c r="H348" s="1" t="s">
        <v>28</v>
      </c>
      <c r="I348" s="1" t="s">
        <v>40</v>
      </c>
      <c r="J348" s="7">
        <v>95839</v>
      </c>
      <c r="K348" s="1">
        <v>758</v>
      </c>
      <c r="L348" s="7">
        <v>9303</v>
      </c>
      <c r="M348" s="1">
        <v>12</v>
      </c>
      <c r="N348" s="6">
        <v>0.15039999999999998</v>
      </c>
      <c r="O348" s="1" t="s">
        <v>46</v>
      </c>
      <c r="P348" s="1" t="s">
        <v>47</v>
      </c>
      <c r="Q348" s="1">
        <v>17</v>
      </c>
      <c r="R348" s="1">
        <v>0</v>
      </c>
      <c r="S348" s="1" t="s">
        <v>31</v>
      </c>
      <c r="T348" s="1" t="s">
        <v>33</v>
      </c>
      <c r="U348" s="1">
        <v>3</v>
      </c>
      <c r="V348" s="1">
        <v>186018</v>
      </c>
      <c r="W348" s="7">
        <v>1896.11</v>
      </c>
      <c r="X348" s="1">
        <v>0.49</v>
      </c>
      <c r="Y348" s="4">
        <v>44715</v>
      </c>
      <c r="Z348" s="1" t="s">
        <v>38</v>
      </c>
      <c r="AA348" s="1" t="s">
        <v>33</v>
      </c>
      <c r="AB348" s="36" t="str" cm="1">
        <f t="array" ref="AB348">_xlfn.IFS(K348&gt;650,"LOW",K348&gt;=550,"MEDIUM",K348&lt;550,"HIGH")</f>
        <v>LOW</v>
      </c>
    </row>
    <row r="349" spans="3:28" x14ac:dyDescent="0.3">
      <c r="C349" s="35" t="s">
        <v>3957</v>
      </c>
      <c r="D349" s="1" t="s">
        <v>1959</v>
      </c>
      <c r="E349" s="1">
        <v>40</v>
      </c>
      <c r="F349" s="1" t="s">
        <v>44</v>
      </c>
      <c r="G349" s="1" t="s">
        <v>45</v>
      </c>
      <c r="H349" s="1" t="s">
        <v>61</v>
      </c>
      <c r="I349" s="1" t="s">
        <v>40</v>
      </c>
      <c r="J349" s="7">
        <v>144321</v>
      </c>
      <c r="K349" s="1">
        <v>758</v>
      </c>
      <c r="L349" s="7">
        <v>23705</v>
      </c>
      <c r="M349" s="1">
        <v>24</v>
      </c>
      <c r="N349" s="6">
        <v>9.2100000000000015E-2</v>
      </c>
      <c r="O349" s="1" t="s">
        <v>52</v>
      </c>
      <c r="P349" s="1" t="s">
        <v>50</v>
      </c>
      <c r="Q349" s="1">
        <v>6</v>
      </c>
      <c r="R349" s="1">
        <v>2</v>
      </c>
      <c r="S349" s="1" t="s">
        <v>31</v>
      </c>
      <c r="T349" s="1" t="s">
        <v>33</v>
      </c>
      <c r="U349" s="1">
        <v>3</v>
      </c>
      <c r="V349" s="1">
        <v>52389</v>
      </c>
      <c r="W349" s="7">
        <v>652.13</v>
      </c>
      <c r="X349" s="1">
        <v>0.94</v>
      </c>
      <c r="Y349" s="4">
        <v>45266</v>
      </c>
      <c r="Z349" s="1" t="s">
        <v>32</v>
      </c>
      <c r="AA349" s="1" t="s">
        <v>33</v>
      </c>
      <c r="AB349" s="36" t="str" cm="1">
        <f t="array" ref="AB349">_xlfn.IFS(K349&gt;650,"LOW",K349&gt;=550,"MEDIUM",K349&lt;550,"HIGH")</f>
        <v>LOW</v>
      </c>
    </row>
    <row r="350" spans="3:28" x14ac:dyDescent="0.3">
      <c r="C350" s="35" t="s">
        <v>2364</v>
      </c>
      <c r="D350" s="1" t="s">
        <v>394</v>
      </c>
      <c r="E350" s="1">
        <v>52</v>
      </c>
      <c r="F350" s="1" t="s">
        <v>26</v>
      </c>
      <c r="G350" s="1" t="s">
        <v>45</v>
      </c>
      <c r="H350" s="1" t="s">
        <v>36</v>
      </c>
      <c r="I350" s="1" t="s">
        <v>29</v>
      </c>
      <c r="J350" s="7">
        <v>127561</v>
      </c>
      <c r="K350" s="1">
        <v>757</v>
      </c>
      <c r="L350" s="7">
        <v>28301</v>
      </c>
      <c r="M350" s="1">
        <v>36</v>
      </c>
      <c r="N350" s="6">
        <v>0.1343</v>
      </c>
      <c r="O350" s="1" t="s">
        <v>52</v>
      </c>
      <c r="P350" s="1" t="s">
        <v>30</v>
      </c>
      <c r="Q350" s="1">
        <v>3</v>
      </c>
      <c r="R350" s="1">
        <v>0</v>
      </c>
      <c r="S350" s="1" t="s">
        <v>31</v>
      </c>
      <c r="T350" s="1" t="s">
        <v>31</v>
      </c>
      <c r="U350" s="1">
        <v>1</v>
      </c>
      <c r="V350" s="1">
        <v>35030</v>
      </c>
      <c r="W350" s="7">
        <v>984.07</v>
      </c>
      <c r="X350" s="1">
        <v>0.63</v>
      </c>
      <c r="Y350" s="4">
        <v>44239</v>
      </c>
      <c r="Z350" s="1" t="s">
        <v>32</v>
      </c>
      <c r="AA350" s="1" t="s">
        <v>33</v>
      </c>
      <c r="AB350" s="36" t="str" cm="1">
        <f t="array" ref="AB350">_xlfn.IFS(K350&gt;650,"LOW",K350&gt;=550,"MEDIUM",K350&lt;550,"HIGH")</f>
        <v>LOW</v>
      </c>
    </row>
    <row r="351" spans="3:28" x14ac:dyDescent="0.3">
      <c r="C351" s="35" t="s">
        <v>2915</v>
      </c>
      <c r="D351" s="1" t="s">
        <v>943</v>
      </c>
      <c r="E351" s="1">
        <v>48</v>
      </c>
      <c r="F351" s="1" t="s">
        <v>26</v>
      </c>
      <c r="G351" s="1" t="s">
        <v>35</v>
      </c>
      <c r="H351" s="1" t="s">
        <v>54</v>
      </c>
      <c r="I351" s="1" t="s">
        <v>57</v>
      </c>
      <c r="J351" s="7">
        <v>77676</v>
      </c>
      <c r="K351" s="1">
        <v>757</v>
      </c>
      <c r="L351" s="7">
        <v>19800</v>
      </c>
      <c r="M351" s="1">
        <v>60</v>
      </c>
      <c r="N351" s="6">
        <v>0.19170000000000001</v>
      </c>
      <c r="O351" s="1" t="s">
        <v>5</v>
      </c>
      <c r="P351" s="1" t="s">
        <v>47</v>
      </c>
      <c r="Q351" s="1">
        <v>6</v>
      </c>
      <c r="R351" s="1">
        <v>2</v>
      </c>
      <c r="S351" s="1" t="s">
        <v>31</v>
      </c>
      <c r="T351" s="1" t="s">
        <v>31</v>
      </c>
      <c r="U351" s="1">
        <v>3</v>
      </c>
      <c r="V351" s="1">
        <v>55429</v>
      </c>
      <c r="W351" s="7">
        <v>1449.53</v>
      </c>
      <c r="X351" s="1">
        <v>0.96</v>
      </c>
      <c r="Y351" s="4">
        <v>44154</v>
      </c>
      <c r="Z351" s="1" t="s">
        <v>32</v>
      </c>
      <c r="AA351" s="1" t="s">
        <v>33</v>
      </c>
      <c r="AB351" s="36" t="str" cm="1">
        <f t="array" ref="AB351">_xlfn.IFS(K351&gt;650,"LOW",K351&gt;=550,"MEDIUM",K351&lt;550,"HIGH")</f>
        <v>LOW</v>
      </c>
    </row>
    <row r="352" spans="3:28" x14ac:dyDescent="0.3">
      <c r="C352" s="35" t="s">
        <v>3913</v>
      </c>
      <c r="D352" s="1" t="s">
        <v>1917</v>
      </c>
      <c r="E352" s="1">
        <v>63</v>
      </c>
      <c r="F352" s="1" t="s">
        <v>44</v>
      </c>
      <c r="G352" s="1" t="s">
        <v>45</v>
      </c>
      <c r="H352" s="1" t="s">
        <v>36</v>
      </c>
      <c r="I352" s="1" t="s">
        <v>57</v>
      </c>
      <c r="J352" s="7">
        <v>71990</v>
      </c>
      <c r="K352" s="1">
        <v>757</v>
      </c>
      <c r="L352" s="7">
        <v>12217</v>
      </c>
      <c r="M352" s="1">
        <v>48</v>
      </c>
      <c r="N352" s="6">
        <v>0.14019999999999999</v>
      </c>
      <c r="O352" s="1" t="s">
        <v>37</v>
      </c>
      <c r="P352" s="1" t="s">
        <v>30</v>
      </c>
      <c r="Q352" s="1">
        <v>3</v>
      </c>
      <c r="R352" s="1">
        <v>0</v>
      </c>
      <c r="S352" s="1" t="s">
        <v>33</v>
      </c>
      <c r="T352" s="1" t="s">
        <v>33</v>
      </c>
      <c r="U352" s="1">
        <v>4</v>
      </c>
      <c r="V352" s="1">
        <v>82926</v>
      </c>
      <c r="W352" s="7">
        <v>1489.61</v>
      </c>
      <c r="X352" s="1">
        <v>0.25</v>
      </c>
      <c r="Y352" s="4">
        <v>45231</v>
      </c>
      <c r="Z352" s="1" t="s">
        <v>32</v>
      </c>
      <c r="AA352" s="1" t="s">
        <v>33</v>
      </c>
      <c r="AB352" s="36" t="str" cm="1">
        <f t="array" ref="AB352">_xlfn.IFS(K352&gt;650,"LOW",K352&gt;=550,"MEDIUM",K352&lt;550,"HIGH")</f>
        <v>LOW</v>
      </c>
    </row>
    <row r="353" spans="3:28" x14ac:dyDescent="0.3">
      <c r="C353" s="35" t="s">
        <v>2348</v>
      </c>
      <c r="D353" s="1" t="s">
        <v>379</v>
      </c>
      <c r="E353" s="1">
        <v>49</v>
      </c>
      <c r="F353" s="1" t="s">
        <v>44</v>
      </c>
      <c r="G353" s="1" t="s">
        <v>35</v>
      </c>
      <c r="H353" s="1" t="s">
        <v>36</v>
      </c>
      <c r="I353" s="1" t="s">
        <v>40</v>
      </c>
      <c r="J353" s="7">
        <v>123002</v>
      </c>
      <c r="K353" s="1">
        <v>756</v>
      </c>
      <c r="L353" s="7">
        <v>24804</v>
      </c>
      <c r="M353" s="1">
        <v>36</v>
      </c>
      <c r="N353" s="6">
        <v>0.1305</v>
      </c>
      <c r="O353" s="1" t="s">
        <v>46</v>
      </c>
      <c r="P353" s="1" t="s">
        <v>50</v>
      </c>
      <c r="Q353" s="1">
        <v>25</v>
      </c>
      <c r="R353" s="1">
        <v>4</v>
      </c>
      <c r="S353" s="1" t="s">
        <v>31</v>
      </c>
      <c r="T353" s="1" t="s">
        <v>33</v>
      </c>
      <c r="U353" s="1">
        <v>2</v>
      </c>
      <c r="V353" s="1">
        <v>150780</v>
      </c>
      <c r="W353" s="7">
        <v>1654.16</v>
      </c>
      <c r="X353" s="1">
        <v>0.47</v>
      </c>
      <c r="Y353" s="4">
        <v>44178</v>
      </c>
      <c r="Z353" s="1" t="s">
        <v>38</v>
      </c>
      <c r="AA353" s="1" t="s">
        <v>33</v>
      </c>
      <c r="AB353" s="36" t="str" cm="1">
        <f t="array" ref="AB353">_xlfn.IFS(K353&gt;650,"LOW",K353&gt;=550,"MEDIUM",K353&lt;550,"HIGH")</f>
        <v>LOW</v>
      </c>
    </row>
    <row r="354" spans="3:28" x14ac:dyDescent="0.3">
      <c r="C354" s="35" t="s">
        <v>3104</v>
      </c>
      <c r="D354" s="1" t="s">
        <v>1129</v>
      </c>
      <c r="E354" s="1">
        <v>43</v>
      </c>
      <c r="F354" s="1" t="s">
        <v>26</v>
      </c>
      <c r="G354" s="1" t="s">
        <v>35</v>
      </c>
      <c r="H354" s="1" t="s">
        <v>28</v>
      </c>
      <c r="I354" s="1" t="s">
        <v>29</v>
      </c>
      <c r="J354" s="7">
        <v>63822</v>
      </c>
      <c r="K354" s="1">
        <v>756</v>
      </c>
      <c r="L354" s="7">
        <v>43225</v>
      </c>
      <c r="M354" s="1">
        <v>60</v>
      </c>
      <c r="N354" s="6">
        <v>9.9000000000000005E-2</v>
      </c>
      <c r="O354" s="1" t="s">
        <v>5</v>
      </c>
      <c r="P354" s="1" t="s">
        <v>50</v>
      </c>
      <c r="Q354" s="1">
        <v>27</v>
      </c>
      <c r="R354" s="1">
        <v>2</v>
      </c>
      <c r="S354" s="1" t="s">
        <v>31</v>
      </c>
      <c r="T354" s="1" t="s">
        <v>33</v>
      </c>
      <c r="U354" s="1">
        <v>4</v>
      </c>
      <c r="V354" s="1">
        <v>13754</v>
      </c>
      <c r="W354" s="7">
        <v>1940.76</v>
      </c>
      <c r="X354" s="1">
        <v>0.66</v>
      </c>
      <c r="Y354" s="4">
        <v>45593</v>
      </c>
      <c r="Z354" s="1" t="s">
        <v>32</v>
      </c>
      <c r="AA354" s="1" t="s">
        <v>33</v>
      </c>
      <c r="AB354" s="36" t="str" cm="1">
        <f t="array" ref="AB354">_xlfn.IFS(K354&gt;650,"LOW",K354&gt;=550,"MEDIUM",K354&lt;550,"HIGH")</f>
        <v>LOW</v>
      </c>
    </row>
    <row r="355" spans="3:28" x14ac:dyDescent="0.3">
      <c r="C355" s="35" t="s">
        <v>3167</v>
      </c>
      <c r="D355" s="1" t="s">
        <v>1191</v>
      </c>
      <c r="E355" s="1">
        <v>60</v>
      </c>
      <c r="F355" s="1" t="s">
        <v>26</v>
      </c>
      <c r="G355" s="1" t="s">
        <v>45</v>
      </c>
      <c r="H355" s="1" t="s">
        <v>61</v>
      </c>
      <c r="I355" s="1" t="s">
        <v>57</v>
      </c>
      <c r="J355" s="7">
        <v>76096</v>
      </c>
      <c r="K355" s="1">
        <v>756</v>
      </c>
      <c r="L355" s="7">
        <v>18256</v>
      </c>
      <c r="M355" s="1">
        <v>36</v>
      </c>
      <c r="N355" s="6">
        <v>0.19320000000000001</v>
      </c>
      <c r="O355" s="1" t="s">
        <v>46</v>
      </c>
      <c r="P355" s="1" t="s">
        <v>47</v>
      </c>
      <c r="Q355" s="1">
        <v>14</v>
      </c>
      <c r="R355" s="1">
        <v>4</v>
      </c>
      <c r="S355" s="1" t="s">
        <v>33</v>
      </c>
      <c r="T355" s="1" t="s">
        <v>31</v>
      </c>
      <c r="U355" s="1">
        <v>1</v>
      </c>
      <c r="V355" s="1">
        <v>13908</v>
      </c>
      <c r="W355" s="7">
        <v>175.78</v>
      </c>
      <c r="X355" s="1">
        <v>0.81</v>
      </c>
      <c r="Y355" s="4">
        <v>45607</v>
      </c>
      <c r="Z355" s="1" t="s">
        <v>32</v>
      </c>
      <c r="AA355" s="1" t="s">
        <v>31</v>
      </c>
      <c r="AB355" s="36" t="str" cm="1">
        <f t="array" ref="AB355">_xlfn.IFS(K355&gt;650,"LOW",K355&gt;=550,"MEDIUM",K355&lt;550,"HIGH")</f>
        <v>LOW</v>
      </c>
    </row>
    <row r="356" spans="3:28" x14ac:dyDescent="0.3">
      <c r="C356" s="35" t="s">
        <v>3466</v>
      </c>
      <c r="D356" s="1" t="s">
        <v>1484</v>
      </c>
      <c r="E356" s="1">
        <v>35</v>
      </c>
      <c r="F356" s="1" t="s">
        <v>44</v>
      </c>
      <c r="G356" s="1" t="s">
        <v>45</v>
      </c>
      <c r="H356" s="1" t="s">
        <v>54</v>
      </c>
      <c r="I356" s="1" t="s">
        <v>59</v>
      </c>
      <c r="J356" s="7">
        <v>127113</v>
      </c>
      <c r="K356" s="1">
        <v>756</v>
      </c>
      <c r="L356" s="7">
        <v>27467</v>
      </c>
      <c r="M356" s="1">
        <v>12</v>
      </c>
      <c r="N356" s="6">
        <v>6.5099999999999991E-2</v>
      </c>
      <c r="O356" s="1" t="s">
        <v>5</v>
      </c>
      <c r="P356" s="1" t="s">
        <v>47</v>
      </c>
      <c r="Q356" s="1">
        <v>15</v>
      </c>
      <c r="R356" s="1">
        <v>0</v>
      </c>
      <c r="S356" s="1" t="s">
        <v>31</v>
      </c>
      <c r="T356" s="1" t="s">
        <v>33</v>
      </c>
      <c r="U356" s="1">
        <v>4</v>
      </c>
      <c r="V356" s="1">
        <v>117314</v>
      </c>
      <c r="W356" s="7">
        <v>1867.09</v>
      </c>
      <c r="X356" s="1">
        <v>0.8</v>
      </c>
      <c r="Y356" s="4">
        <v>45754</v>
      </c>
      <c r="Z356" s="1" t="s">
        <v>38</v>
      </c>
      <c r="AA356" s="1" t="s">
        <v>33</v>
      </c>
      <c r="AB356" s="36" t="str" cm="1">
        <f t="array" ref="AB356">_xlfn.IFS(K356&gt;650,"LOW",K356&gt;=550,"MEDIUM",K356&lt;550,"HIGH")</f>
        <v>LOW</v>
      </c>
    </row>
    <row r="357" spans="3:28" x14ac:dyDescent="0.3">
      <c r="C357" s="35" t="s">
        <v>2419</v>
      </c>
      <c r="D357" s="1" t="s">
        <v>449</v>
      </c>
      <c r="E357" s="1">
        <v>55</v>
      </c>
      <c r="F357" s="1" t="s">
        <v>26</v>
      </c>
      <c r="G357" s="1" t="s">
        <v>45</v>
      </c>
      <c r="H357" s="1" t="s">
        <v>28</v>
      </c>
      <c r="I357" s="1" t="s">
        <v>59</v>
      </c>
      <c r="J357" s="7">
        <v>25077</v>
      </c>
      <c r="K357" s="1">
        <v>755</v>
      </c>
      <c r="L357" s="7">
        <v>46590</v>
      </c>
      <c r="M357" s="1">
        <v>60</v>
      </c>
      <c r="N357" s="6">
        <v>0.15570000000000001</v>
      </c>
      <c r="O357" s="1" t="s">
        <v>5</v>
      </c>
      <c r="P357" s="1" t="s">
        <v>50</v>
      </c>
      <c r="Q357" s="1">
        <v>1</v>
      </c>
      <c r="R357" s="1">
        <v>4</v>
      </c>
      <c r="S357" s="1" t="s">
        <v>33</v>
      </c>
      <c r="T357" s="1" t="s">
        <v>31</v>
      </c>
      <c r="U357" s="1">
        <v>0</v>
      </c>
      <c r="V357" s="1">
        <v>162003</v>
      </c>
      <c r="W357" s="7">
        <v>1917.31</v>
      </c>
      <c r="X357" s="1">
        <v>0.66</v>
      </c>
      <c r="Y357" s="4">
        <v>45021</v>
      </c>
      <c r="Z357" s="1" t="s">
        <v>32</v>
      </c>
      <c r="AA357" s="1" t="s">
        <v>33</v>
      </c>
      <c r="AB357" s="36" t="str" cm="1">
        <f t="array" ref="AB357">_xlfn.IFS(K357&gt;650,"LOW",K357&gt;=550,"MEDIUM",K357&lt;550,"HIGH")</f>
        <v>LOW</v>
      </c>
    </row>
    <row r="358" spans="3:28" x14ac:dyDescent="0.3">
      <c r="C358" s="35" t="s">
        <v>3072</v>
      </c>
      <c r="D358" s="1" t="s">
        <v>1098</v>
      </c>
      <c r="E358" s="1">
        <v>58</v>
      </c>
      <c r="F358" s="1" t="s">
        <v>44</v>
      </c>
      <c r="G358" s="1" t="s">
        <v>35</v>
      </c>
      <c r="H358" s="1" t="s">
        <v>28</v>
      </c>
      <c r="I358" s="1" t="s">
        <v>29</v>
      </c>
      <c r="J358" s="7">
        <v>75982</v>
      </c>
      <c r="K358" s="1">
        <v>755</v>
      </c>
      <c r="L358" s="7">
        <v>13186</v>
      </c>
      <c r="M358" s="1">
        <v>60</v>
      </c>
      <c r="N358" s="6">
        <v>0.1052</v>
      </c>
      <c r="O358" s="1" t="s">
        <v>46</v>
      </c>
      <c r="P358" s="1" t="s">
        <v>50</v>
      </c>
      <c r="Q358" s="1">
        <v>25</v>
      </c>
      <c r="R358" s="1">
        <v>2</v>
      </c>
      <c r="S358" s="1" t="s">
        <v>33</v>
      </c>
      <c r="T358" s="1" t="s">
        <v>31</v>
      </c>
      <c r="U358" s="1">
        <v>3</v>
      </c>
      <c r="V358" s="1">
        <v>27916</v>
      </c>
      <c r="W358" s="7">
        <v>1364.96</v>
      </c>
      <c r="X358" s="1">
        <v>0.49</v>
      </c>
      <c r="Y358" s="4">
        <v>45776</v>
      </c>
      <c r="Z358" s="1" t="s">
        <v>32</v>
      </c>
      <c r="AA358" s="1" t="s">
        <v>33</v>
      </c>
      <c r="AB358" s="36" t="str" cm="1">
        <f t="array" ref="AB358">_xlfn.IFS(K358&gt;650,"LOW",K358&gt;=550,"MEDIUM",K358&lt;550,"HIGH")</f>
        <v>LOW</v>
      </c>
    </row>
    <row r="359" spans="3:28" x14ac:dyDescent="0.3">
      <c r="C359" s="35" t="s">
        <v>3328</v>
      </c>
      <c r="D359" s="1" t="s">
        <v>1351</v>
      </c>
      <c r="E359" s="1">
        <v>37</v>
      </c>
      <c r="F359" s="1" t="s">
        <v>26</v>
      </c>
      <c r="G359" s="1" t="s">
        <v>27</v>
      </c>
      <c r="H359" s="1" t="s">
        <v>54</v>
      </c>
      <c r="I359" s="1" t="s">
        <v>29</v>
      </c>
      <c r="J359" s="7">
        <v>63890</v>
      </c>
      <c r="K359" s="1">
        <v>755</v>
      </c>
      <c r="L359" s="7">
        <v>38304</v>
      </c>
      <c r="M359" s="1">
        <v>24</v>
      </c>
      <c r="N359" s="6">
        <v>0.1981</v>
      </c>
      <c r="O359" s="1" t="s">
        <v>5</v>
      </c>
      <c r="P359" s="1" t="s">
        <v>47</v>
      </c>
      <c r="Q359" s="1">
        <v>10</v>
      </c>
      <c r="R359" s="1">
        <v>0</v>
      </c>
      <c r="S359" s="1" t="s">
        <v>31</v>
      </c>
      <c r="T359" s="1" t="s">
        <v>31</v>
      </c>
      <c r="U359" s="1">
        <v>1</v>
      </c>
      <c r="V359" s="1">
        <v>34844</v>
      </c>
      <c r="W359" s="7">
        <v>447.2</v>
      </c>
      <c r="X359" s="1">
        <v>0.71</v>
      </c>
      <c r="Y359" s="4">
        <v>44776</v>
      </c>
      <c r="Z359" s="1" t="s">
        <v>32</v>
      </c>
      <c r="AA359" s="1" t="s">
        <v>31</v>
      </c>
      <c r="AB359" s="36" t="str" cm="1">
        <f t="array" ref="AB359">_xlfn.IFS(K359&gt;650,"LOW",K359&gt;=550,"MEDIUM",K359&lt;550,"HIGH")</f>
        <v>LOW</v>
      </c>
    </row>
    <row r="360" spans="3:28" x14ac:dyDescent="0.3">
      <c r="C360" s="35" t="s">
        <v>3360</v>
      </c>
      <c r="D360" s="1" t="s">
        <v>1382</v>
      </c>
      <c r="E360" s="1">
        <v>36</v>
      </c>
      <c r="F360" s="1" t="s">
        <v>26</v>
      </c>
      <c r="G360" s="1" t="s">
        <v>27</v>
      </c>
      <c r="H360" s="1" t="s">
        <v>61</v>
      </c>
      <c r="I360" s="1" t="s">
        <v>40</v>
      </c>
      <c r="J360" s="7">
        <v>44596</v>
      </c>
      <c r="K360" s="1">
        <v>755</v>
      </c>
      <c r="L360" s="7">
        <v>29906</v>
      </c>
      <c r="M360" s="1">
        <v>24</v>
      </c>
      <c r="N360" s="6">
        <v>5.4699999999999999E-2</v>
      </c>
      <c r="O360" s="1" t="s">
        <v>5</v>
      </c>
      <c r="P360" s="1" t="s">
        <v>50</v>
      </c>
      <c r="Q360" s="1">
        <v>29</v>
      </c>
      <c r="R360" s="1">
        <v>1</v>
      </c>
      <c r="S360" s="1" t="s">
        <v>33</v>
      </c>
      <c r="T360" s="1" t="s">
        <v>33</v>
      </c>
      <c r="U360" s="1">
        <v>2</v>
      </c>
      <c r="V360" s="1">
        <v>18033</v>
      </c>
      <c r="W360" s="7">
        <v>621.86</v>
      </c>
      <c r="X360" s="1">
        <v>0.56999999999999995</v>
      </c>
      <c r="Y360" s="4">
        <v>44518</v>
      </c>
      <c r="Z360" s="1" t="s">
        <v>32</v>
      </c>
      <c r="AA360" s="1" t="s">
        <v>33</v>
      </c>
      <c r="AB360" s="36" t="str" cm="1">
        <f t="array" ref="AB360">_xlfn.IFS(K360&gt;650,"LOW",K360&gt;=550,"MEDIUM",K360&lt;550,"HIGH")</f>
        <v>LOW</v>
      </c>
    </row>
    <row r="361" spans="3:28" x14ac:dyDescent="0.3">
      <c r="C361" s="35" t="s">
        <v>3644</v>
      </c>
      <c r="D361" s="1" t="s">
        <v>1656</v>
      </c>
      <c r="E361" s="1">
        <v>31</v>
      </c>
      <c r="F361" s="1" t="s">
        <v>26</v>
      </c>
      <c r="G361" s="1" t="s">
        <v>45</v>
      </c>
      <c r="H361" s="1" t="s">
        <v>61</v>
      </c>
      <c r="I361" s="1" t="s">
        <v>40</v>
      </c>
      <c r="J361" s="7">
        <v>130218</v>
      </c>
      <c r="K361" s="1">
        <v>755</v>
      </c>
      <c r="L361" s="7">
        <v>48981</v>
      </c>
      <c r="M361" s="1">
        <v>60</v>
      </c>
      <c r="N361" s="6">
        <v>0.1426</v>
      </c>
      <c r="O361" s="1" t="s">
        <v>37</v>
      </c>
      <c r="P361" s="1" t="s">
        <v>50</v>
      </c>
      <c r="Q361" s="1">
        <v>19</v>
      </c>
      <c r="R361" s="1">
        <v>3</v>
      </c>
      <c r="S361" s="1" t="s">
        <v>31</v>
      </c>
      <c r="T361" s="1" t="s">
        <v>31</v>
      </c>
      <c r="U361" s="1">
        <v>4</v>
      </c>
      <c r="V361" s="1">
        <v>183699</v>
      </c>
      <c r="W361" s="7">
        <v>397.72</v>
      </c>
      <c r="X361" s="1">
        <v>0.19</v>
      </c>
      <c r="Y361" s="4">
        <v>45509</v>
      </c>
      <c r="Z361" s="1" t="s">
        <v>38</v>
      </c>
      <c r="AA361" s="1" t="s">
        <v>31</v>
      </c>
      <c r="AB361" s="36" t="str" cm="1">
        <f t="array" ref="AB361">_xlfn.IFS(K361&gt;650,"LOW",K361&gt;=550,"MEDIUM",K361&lt;550,"HIGH")</f>
        <v>LOW</v>
      </c>
    </row>
    <row r="362" spans="3:28" x14ac:dyDescent="0.3">
      <c r="C362" s="35" t="s">
        <v>3667</v>
      </c>
      <c r="D362" s="1" t="s">
        <v>1679</v>
      </c>
      <c r="E362" s="1">
        <v>23</v>
      </c>
      <c r="F362" s="1" t="s">
        <v>44</v>
      </c>
      <c r="G362" s="1" t="s">
        <v>45</v>
      </c>
      <c r="H362" s="1" t="s">
        <v>54</v>
      </c>
      <c r="I362" s="1" t="s">
        <v>57</v>
      </c>
      <c r="J362" s="7">
        <v>124301</v>
      </c>
      <c r="K362" s="1">
        <v>755</v>
      </c>
      <c r="L362" s="7">
        <v>38857</v>
      </c>
      <c r="M362" s="1">
        <v>60</v>
      </c>
      <c r="N362" s="6">
        <v>8.900000000000001E-2</v>
      </c>
      <c r="O362" s="1" t="s">
        <v>41</v>
      </c>
      <c r="P362" s="1" t="s">
        <v>50</v>
      </c>
      <c r="Q362" s="1">
        <v>2</v>
      </c>
      <c r="R362" s="1">
        <v>0</v>
      </c>
      <c r="S362" s="1" t="s">
        <v>31</v>
      </c>
      <c r="T362" s="1" t="s">
        <v>31</v>
      </c>
      <c r="U362" s="1">
        <v>1</v>
      </c>
      <c r="V362" s="1">
        <v>4061</v>
      </c>
      <c r="W362" s="7">
        <v>636.76</v>
      </c>
      <c r="X362" s="1">
        <v>0.1</v>
      </c>
      <c r="Y362" s="4">
        <v>45186</v>
      </c>
      <c r="Z362" s="1" t="s">
        <v>32</v>
      </c>
      <c r="AA362" s="1" t="s">
        <v>31</v>
      </c>
      <c r="AB362" s="36" t="str" cm="1">
        <f t="array" ref="AB362">_xlfn.IFS(K362&gt;650,"LOW",K362&gt;=550,"MEDIUM",K362&lt;550,"HIGH")</f>
        <v>LOW</v>
      </c>
    </row>
    <row r="363" spans="3:28" x14ac:dyDescent="0.3">
      <c r="C363" s="35" t="s">
        <v>2047</v>
      </c>
      <c r="D363" s="1" t="s">
        <v>78</v>
      </c>
      <c r="E363" s="1">
        <v>64</v>
      </c>
      <c r="F363" s="1" t="s">
        <v>44</v>
      </c>
      <c r="G363" s="1" t="s">
        <v>56</v>
      </c>
      <c r="H363" s="1" t="s">
        <v>61</v>
      </c>
      <c r="I363" s="1" t="s">
        <v>40</v>
      </c>
      <c r="J363" s="7">
        <v>52940</v>
      </c>
      <c r="K363" s="1">
        <v>754</v>
      </c>
      <c r="L363" s="7">
        <v>5923</v>
      </c>
      <c r="M363" s="1">
        <v>12</v>
      </c>
      <c r="N363" s="6">
        <v>0.16870000000000002</v>
      </c>
      <c r="O363" s="1" t="s">
        <v>37</v>
      </c>
      <c r="P363" s="1" t="s">
        <v>50</v>
      </c>
      <c r="Q363" s="1">
        <v>10</v>
      </c>
      <c r="R363" s="1">
        <v>3</v>
      </c>
      <c r="S363" s="1" t="s">
        <v>33</v>
      </c>
      <c r="T363" s="1" t="s">
        <v>33</v>
      </c>
      <c r="U363" s="1">
        <v>0</v>
      </c>
      <c r="V363" s="1">
        <v>139128</v>
      </c>
      <c r="W363" s="7">
        <v>330.78</v>
      </c>
      <c r="X363" s="1">
        <v>0.95</v>
      </c>
      <c r="Y363" s="4">
        <v>44823</v>
      </c>
      <c r="Z363" s="1" t="s">
        <v>38</v>
      </c>
      <c r="AA363" s="1" t="s">
        <v>31</v>
      </c>
      <c r="AB363" s="36" t="str" cm="1">
        <f t="array" ref="AB363">_xlfn.IFS(K363&gt;650,"LOW",K363&gt;=550,"MEDIUM",K363&lt;550,"HIGH")</f>
        <v>LOW</v>
      </c>
    </row>
    <row r="364" spans="3:28" x14ac:dyDescent="0.3">
      <c r="C364" s="35" t="s">
        <v>2072</v>
      </c>
      <c r="D364" s="1" t="s">
        <v>103</v>
      </c>
      <c r="E364" s="1">
        <v>28</v>
      </c>
      <c r="F364" s="1" t="s">
        <v>44</v>
      </c>
      <c r="G364" s="1" t="s">
        <v>27</v>
      </c>
      <c r="H364" s="1" t="s">
        <v>61</v>
      </c>
      <c r="I364" s="1" t="s">
        <v>40</v>
      </c>
      <c r="J364" s="7">
        <v>63454</v>
      </c>
      <c r="K364" s="1">
        <v>754</v>
      </c>
      <c r="L364" s="7">
        <v>48114</v>
      </c>
      <c r="M364" s="1">
        <v>12</v>
      </c>
      <c r="N364" s="6">
        <v>0.183</v>
      </c>
      <c r="O364" s="1" t="s">
        <v>5</v>
      </c>
      <c r="P364" s="1" t="s">
        <v>30</v>
      </c>
      <c r="Q364" s="1">
        <v>21</v>
      </c>
      <c r="R364" s="1">
        <v>3</v>
      </c>
      <c r="S364" s="1" t="s">
        <v>33</v>
      </c>
      <c r="T364" s="1" t="s">
        <v>31</v>
      </c>
      <c r="U364" s="1">
        <v>4</v>
      </c>
      <c r="V364" s="1">
        <v>195340</v>
      </c>
      <c r="W364" s="7">
        <v>1494.24</v>
      </c>
      <c r="X364" s="1">
        <v>0.24</v>
      </c>
      <c r="Y364" s="4">
        <v>45072</v>
      </c>
      <c r="Z364" s="1" t="s">
        <v>38</v>
      </c>
      <c r="AA364" s="1" t="s">
        <v>33</v>
      </c>
      <c r="AB364" s="36" t="str" cm="1">
        <f t="array" ref="AB364">_xlfn.IFS(K364&gt;650,"LOW",K364&gt;=550,"MEDIUM",K364&lt;550,"HIGH")</f>
        <v>LOW</v>
      </c>
    </row>
    <row r="365" spans="3:28" x14ac:dyDescent="0.3">
      <c r="C365" s="35" t="s">
        <v>2164</v>
      </c>
      <c r="D365" s="1" t="s">
        <v>195</v>
      </c>
      <c r="E365" s="1">
        <v>43</v>
      </c>
      <c r="F365" s="1" t="s">
        <v>26</v>
      </c>
      <c r="G365" s="1" t="s">
        <v>56</v>
      </c>
      <c r="H365" s="1" t="s">
        <v>36</v>
      </c>
      <c r="I365" s="1" t="s">
        <v>57</v>
      </c>
      <c r="J365" s="7">
        <v>106486</v>
      </c>
      <c r="K365" s="1">
        <v>754</v>
      </c>
      <c r="L365" s="7">
        <v>49080</v>
      </c>
      <c r="M365" s="1">
        <v>12</v>
      </c>
      <c r="N365" s="6">
        <v>0.13650000000000001</v>
      </c>
      <c r="O365" s="1" t="s">
        <v>52</v>
      </c>
      <c r="P365" s="1" t="s">
        <v>50</v>
      </c>
      <c r="Q365" s="1">
        <v>23</v>
      </c>
      <c r="R365" s="1">
        <v>3</v>
      </c>
      <c r="S365" s="1" t="s">
        <v>33</v>
      </c>
      <c r="T365" s="1" t="s">
        <v>33</v>
      </c>
      <c r="U365" s="1">
        <v>4</v>
      </c>
      <c r="V365" s="1">
        <v>181810</v>
      </c>
      <c r="W365" s="7">
        <v>788.62</v>
      </c>
      <c r="X365" s="1">
        <v>0.71</v>
      </c>
      <c r="Y365" s="4">
        <v>45837</v>
      </c>
      <c r="Z365" s="1" t="s">
        <v>32</v>
      </c>
      <c r="AA365" s="1" t="s">
        <v>33</v>
      </c>
      <c r="AB365" s="36" t="str" cm="1">
        <f t="array" ref="AB365">_xlfn.IFS(K365&gt;650,"LOW",K365&gt;=550,"MEDIUM",K365&lt;550,"HIGH")</f>
        <v>LOW</v>
      </c>
    </row>
    <row r="366" spans="3:28" x14ac:dyDescent="0.3">
      <c r="C366" s="35" t="s">
        <v>3271</v>
      </c>
      <c r="D366" s="1" t="s">
        <v>1294</v>
      </c>
      <c r="E366" s="1">
        <v>43</v>
      </c>
      <c r="F366" s="1" t="s">
        <v>44</v>
      </c>
      <c r="G366" s="1" t="s">
        <v>35</v>
      </c>
      <c r="H366" s="1" t="s">
        <v>28</v>
      </c>
      <c r="I366" s="1" t="s">
        <v>57</v>
      </c>
      <c r="J366" s="7">
        <v>97658</v>
      </c>
      <c r="K366" s="1">
        <v>754</v>
      </c>
      <c r="L366" s="7">
        <v>25686</v>
      </c>
      <c r="M366" s="1">
        <v>36</v>
      </c>
      <c r="N366" s="6">
        <v>7.4700000000000003E-2</v>
      </c>
      <c r="O366" s="1" t="s">
        <v>5</v>
      </c>
      <c r="P366" s="1" t="s">
        <v>30</v>
      </c>
      <c r="Q366" s="1">
        <v>16</v>
      </c>
      <c r="R366" s="1">
        <v>2</v>
      </c>
      <c r="S366" s="1" t="s">
        <v>33</v>
      </c>
      <c r="T366" s="1" t="s">
        <v>33</v>
      </c>
      <c r="U366" s="1">
        <v>3</v>
      </c>
      <c r="V366" s="1">
        <v>20656</v>
      </c>
      <c r="W366" s="7">
        <v>1301.6300000000001</v>
      </c>
      <c r="X366" s="1">
        <v>0.55000000000000004</v>
      </c>
      <c r="Y366" s="4">
        <v>44954</v>
      </c>
      <c r="Z366" s="1" t="s">
        <v>32</v>
      </c>
      <c r="AA366" s="1" t="s">
        <v>33</v>
      </c>
      <c r="AB366" s="36" t="str" cm="1">
        <f t="array" ref="AB366">_xlfn.IFS(K366&gt;650,"LOW",K366&gt;=550,"MEDIUM",K366&lt;550,"HIGH")</f>
        <v>LOW</v>
      </c>
    </row>
    <row r="367" spans="3:28" x14ac:dyDescent="0.3">
      <c r="C367" s="35" t="s">
        <v>3720</v>
      </c>
      <c r="D367" s="1" t="s">
        <v>1729</v>
      </c>
      <c r="E367" s="1">
        <v>44</v>
      </c>
      <c r="F367" s="1" t="s">
        <v>26</v>
      </c>
      <c r="G367" s="1" t="s">
        <v>27</v>
      </c>
      <c r="H367" s="1" t="s">
        <v>61</v>
      </c>
      <c r="I367" s="1" t="s">
        <v>59</v>
      </c>
      <c r="J367" s="7">
        <v>127293</v>
      </c>
      <c r="K367" s="1">
        <v>754</v>
      </c>
      <c r="L367" s="7">
        <v>42476</v>
      </c>
      <c r="M367" s="1">
        <v>12</v>
      </c>
      <c r="N367" s="6">
        <v>9.4499999999999987E-2</v>
      </c>
      <c r="O367" s="1" t="s">
        <v>63</v>
      </c>
      <c r="P367" s="1" t="s">
        <v>30</v>
      </c>
      <c r="Q367" s="1">
        <v>25</v>
      </c>
      <c r="R367" s="1">
        <v>2</v>
      </c>
      <c r="S367" s="1" t="s">
        <v>33</v>
      </c>
      <c r="T367" s="1" t="s">
        <v>33</v>
      </c>
      <c r="U367" s="1">
        <v>1</v>
      </c>
      <c r="V367" s="1">
        <v>197323</v>
      </c>
      <c r="W367" s="7">
        <v>921.31</v>
      </c>
      <c r="X367" s="1">
        <v>0.97</v>
      </c>
      <c r="Y367" s="4">
        <v>44224</v>
      </c>
      <c r="Z367" s="1" t="s">
        <v>38</v>
      </c>
      <c r="AA367" s="1" t="s">
        <v>33</v>
      </c>
      <c r="AB367" s="36" t="str" cm="1">
        <f t="array" ref="AB367">_xlfn.IFS(K367&gt;650,"LOW",K367&gt;=550,"MEDIUM",K367&lt;550,"HIGH")</f>
        <v>LOW</v>
      </c>
    </row>
    <row r="368" spans="3:28" x14ac:dyDescent="0.3">
      <c r="C368" s="35" t="s">
        <v>2139</v>
      </c>
      <c r="D368" s="1" t="s">
        <v>170</v>
      </c>
      <c r="E368" s="1">
        <v>47</v>
      </c>
      <c r="F368" s="1" t="s">
        <v>26</v>
      </c>
      <c r="G368" s="1" t="s">
        <v>35</v>
      </c>
      <c r="H368" s="1" t="s">
        <v>36</v>
      </c>
      <c r="I368" s="1" t="s">
        <v>29</v>
      </c>
      <c r="J368" s="7">
        <v>47304</v>
      </c>
      <c r="K368" s="1">
        <v>753</v>
      </c>
      <c r="L368" s="7">
        <v>40143</v>
      </c>
      <c r="M368" s="1">
        <v>24</v>
      </c>
      <c r="N368" s="6">
        <v>0.12710000000000002</v>
      </c>
      <c r="O368" s="1" t="s">
        <v>46</v>
      </c>
      <c r="P368" s="1" t="s">
        <v>47</v>
      </c>
      <c r="Q368" s="1">
        <v>15</v>
      </c>
      <c r="R368" s="1">
        <v>0</v>
      </c>
      <c r="S368" s="1" t="s">
        <v>31</v>
      </c>
      <c r="T368" s="1" t="s">
        <v>33</v>
      </c>
      <c r="U368" s="1">
        <v>2</v>
      </c>
      <c r="V368" s="1">
        <v>131460</v>
      </c>
      <c r="W368" s="7">
        <v>1187.3499999999999</v>
      </c>
      <c r="X368" s="1">
        <v>0.52</v>
      </c>
      <c r="Y368" s="4">
        <v>44360</v>
      </c>
      <c r="Z368" s="1" t="s">
        <v>32</v>
      </c>
      <c r="AA368" s="1" t="s">
        <v>33</v>
      </c>
      <c r="AB368" s="36" t="str" cm="1">
        <f t="array" ref="AB368">_xlfn.IFS(K368&gt;650,"LOW",K368&gt;=550,"MEDIUM",K368&lt;550,"HIGH")</f>
        <v>LOW</v>
      </c>
    </row>
    <row r="369" spans="3:28" x14ac:dyDescent="0.3">
      <c r="C369" s="35" t="s">
        <v>3398</v>
      </c>
      <c r="D369" s="1" t="s">
        <v>1418</v>
      </c>
      <c r="E369" s="1">
        <v>51</v>
      </c>
      <c r="F369" s="1" t="s">
        <v>44</v>
      </c>
      <c r="G369" s="1" t="s">
        <v>56</v>
      </c>
      <c r="H369" s="1" t="s">
        <v>54</v>
      </c>
      <c r="I369" s="1" t="s">
        <v>57</v>
      </c>
      <c r="J369" s="7">
        <v>63074</v>
      </c>
      <c r="K369" s="1">
        <v>753</v>
      </c>
      <c r="L369" s="7">
        <v>7765</v>
      </c>
      <c r="M369" s="1">
        <v>60</v>
      </c>
      <c r="N369" s="6">
        <v>9.4800000000000009E-2</v>
      </c>
      <c r="O369" s="1" t="s">
        <v>52</v>
      </c>
      <c r="P369" s="1" t="s">
        <v>30</v>
      </c>
      <c r="Q369" s="1">
        <v>9</v>
      </c>
      <c r="R369" s="1">
        <v>2</v>
      </c>
      <c r="S369" s="1" t="s">
        <v>33</v>
      </c>
      <c r="T369" s="1" t="s">
        <v>33</v>
      </c>
      <c r="U369" s="1">
        <v>4</v>
      </c>
      <c r="V369" s="1">
        <v>97643</v>
      </c>
      <c r="W369" s="7">
        <v>1826.16</v>
      </c>
      <c r="X369" s="1">
        <v>0.46</v>
      </c>
      <c r="Y369" s="4">
        <v>44987</v>
      </c>
      <c r="Z369" s="1" t="s">
        <v>32</v>
      </c>
      <c r="AA369" s="1" t="s">
        <v>33</v>
      </c>
      <c r="AB369" s="36" t="str" cm="1">
        <f t="array" ref="AB369">_xlfn.IFS(K369&gt;650,"LOW",K369&gt;=550,"MEDIUM",K369&lt;550,"HIGH")</f>
        <v>LOW</v>
      </c>
    </row>
    <row r="370" spans="3:28" x14ac:dyDescent="0.3">
      <c r="C370" s="35" t="s">
        <v>3769</v>
      </c>
      <c r="D370" s="1" t="s">
        <v>1776</v>
      </c>
      <c r="E370" s="1">
        <v>59</v>
      </c>
      <c r="F370" s="1" t="s">
        <v>26</v>
      </c>
      <c r="G370" s="1" t="s">
        <v>56</v>
      </c>
      <c r="H370" s="1" t="s">
        <v>61</v>
      </c>
      <c r="I370" s="1" t="s">
        <v>29</v>
      </c>
      <c r="J370" s="7">
        <v>145342</v>
      </c>
      <c r="K370" s="1">
        <v>753</v>
      </c>
      <c r="L370" s="7">
        <v>27199</v>
      </c>
      <c r="M370" s="1">
        <v>24</v>
      </c>
      <c r="N370" s="6">
        <v>5.4100000000000002E-2</v>
      </c>
      <c r="O370" s="1" t="s">
        <v>41</v>
      </c>
      <c r="P370" s="1" t="s">
        <v>30</v>
      </c>
      <c r="Q370" s="1">
        <v>6</v>
      </c>
      <c r="R370" s="1">
        <v>1</v>
      </c>
      <c r="S370" s="1" t="s">
        <v>31</v>
      </c>
      <c r="T370" s="1" t="s">
        <v>31</v>
      </c>
      <c r="U370" s="1">
        <v>2</v>
      </c>
      <c r="V370" s="1">
        <v>173614</v>
      </c>
      <c r="W370" s="7">
        <v>776.48</v>
      </c>
      <c r="X370" s="1">
        <v>0.12</v>
      </c>
      <c r="Y370" s="4">
        <v>44281</v>
      </c>
      <c r="Z370" s="1" t="s">
        <v>38</v>
      </c>
      <c r="AA370" s="1" t="s">
        <v>33</v>
      </c>
      <c r="AB370" s="36" t="str" cm="1">
        <f t="array" ref="AB370">_xlfn.IFS(K370&gt;650,"LOW",K370&gt;=550,"MEDIUM",K370&lt;550,"HIGH")</f>
        <v>LOW</v>
      </c>
    </row>
    <row r="371" spans="3:28" x14ac:dyDescent="0.3">
      <c r="C371" s="35" t="s">
        <v>3979</v>
      </c>
      <c r="D371" s="1" t="s">
        <v>1979</v>
      </c>
      <c r="E371" s="1">
        <v>28</v>
      </c>
      <c r="F371" s="1" t="s">
        <v>44</v>
      </c>
      <c r="G371" s="1" t="s">
        <v>27</v>
      </c>
      <c r="H371" s="1" t="s">
        <v>54</v>
      </c>
      <c r="I371" s="1" t="s">
        <v>57</v>
      </c>
      <c r="J371" s="7">
        <v>112118</v>
      </c>
      <c r="K371" s="1">
        <v>753</v>
      </c>
      <c r="L371" s="7">
        <v>16203</v>
      </c>
      <c r="M371" s="1">
        <v>12</v>
      </c>
      <c r="N371" s="6">
        <v>0.17149999999999999</v>
      </c>
      <c r="O371" s="1" t="s">
        <v>5</v>
      </c>
      <c r="P371" s="1" t="s">
        <v>50</v>
      </c>
      <c r="Q371" s="1">
        <v>22</v>
      </c>
      <c r="R371" s="1">
        <v>4</v>
      </c>
      <c r="S371" s="1" t="s">
        <v>31</v>
      </c>
      <c r="T371" s="1" t="s">
        <v>31</v>
      </c>
      <c r="U371" s="1">
        <v>1</v>
      </c>
      <c r="V371" s="1">
        <v>149078</v>
      </c>
      <c r="W371" s="7">
        <v>389.58</v>
      </c>
      <c r="X371" s="1">
        <v>0.25</v>
      </c>
      <c r="Y371" s="4">
        <v>45248</v>
      </c>
      <c r="Z371" s="1" t="s">
        <v>32</v>
      </c>
      <c r="AA371" s="1" t="s">
        <v>31</v>
      </c>
      <c r="AB371" s="36" t="str" cm="1">
        <f t="array" ref="AB371">_xlfn.IFS(K371&gt;650,"LOW",K371&gt;=550,"MEDIUM",K371&lt;550,"HIGH")</f>
        <v>LOW</v>
      </c>
    </row>
    <row r="372" spans="3:28" x14ac:dyDescent="0.3">
      <c r="C372" s="35" t="s">
        <v>2209</v>
      </c>
      <c r="D372" s="1" t="s">
        <v>240</v>
      </c>
      <c r="E372" s="1">
        <v>32</v>
      </c>
      <c r="F372" s="1" t="s">
        <v>26</v>
      </c>
      <c r="G372" s="1" t="s">
        <v>56</v>
      </c>
      <c r="H372" s="1" t="s">
        <v>54</v>
      </c>
      <c r="I372" s="1" t="s">
        <v>40</v>
      </c>
      <c r="J372" s="7">
        <v>45022</v>
      </c>
      <c r="K372" s="1">
        <v>752</v>
      </c>
      <c r="L372" s="7">
        <v>11265</v>
      </c>
      <c r="M372" s="1">
        <v>60</v>
      </c>
      <c r="N372" s="6">
        <v>0.10490000000000001</v>
      </c>
      <c r="O372" s="1" t="s">
        <v>37</v>
      </c>
      <c r="P372" s="1" t="s">
        <v>50</v>
      </c>
      <c r="Q372" s="1">
        <v>26</v>
      </c>
      <c r="R372" s="1">
        <v>4</v>
      </c>
      <c r="S372" s="1" t="s">
        <v>33</v>
      </c>
      <c r="T372" s="1" t="s">
        <v>31</v>
      </c>
      <c r="U372" s="1">
        <v>4</v>
      </c>
      <c r="V372" s="1">
        <v>112133</v>
      </c>
      <c r="W372" s="7">
        <v>1283.71</v>
      </c>
      <c r="X372" s="1">
        <v>0.95</v>
      </c>
      <c r="Y372" s="4">
        <v>44676</v>
      </c>
      <c r="Z372" s="1" t="s">
        <v>32</v>
      </c>
      <c r="AA372" s="1" t="s">
        <v>31</v>
      </c>
      <c r="AB372" s="36" t="str" cm="1">
        <f t="array" ref="AB372">_xlfn.IFS(K372&gt;650,"LOW",K372&gt;=550,"MEDIUM",K372&lt;550,"HIGH")</f>
        <v>LOW</v>
      </c>
    </row>
    <row r="373" spans="3:28" x14ac:dyDescent="0.3">
      <c r="C373" s="35" t="s">
        <v>2259</v>
      </c>
      <c r="D373" s="1" t="s">
        <v>290</v>
      </c>
      <c r="E373" s="1">
        <v>59</v>
      </c>
      <c r="F373" s="1" t="s">
        <v>26</v>
      </c>
      <c r="G373" s="1" t="s">
        <v>45</v>
      </c>
      <c r="H373" s="1" t="s">
        <v>36</v>
      </c>
      <c r="I373" s="1" t="s">
        <v>57</v>
      </c>
      <c r="J373" s="7">
        <v>87838</v>
      </c>
      <c r="K373" s="1">
        <v>752</v>
      </c>
      <c r="L373" s="7">
        <v>14782</v>
      </c>
      <c r="M373" s="1">
        <v>60</v>
      </c>
      <c r="N373" s="6">
        <v>0.16870000000000002</v>
      </c>
      <c r="O373" s="1" t="s">
        <v>63</v>
      </c>
      <c r="P373" s="1" t="s">
        <v>47</v>
      </c>
      <c r="Q373" s="1">
        <v>20</v>
      </c>
      <c r="R373" s="1">
        <v>1</v>
      </c>
      <c r="S373" s="1" t="s">
        <v>33</v>
      </c>
      <c r="T373" s="1" t="s">
        <v>33</v>
      </c>
      <c r="U373" s="1">
        <v>3</v>
      </c>
      <c r="V373" s="1">
        <v>9554</v>
      </c>
      <c r="W373" s="7">
        <v>852.18</v>
      </c>
      <c r="X373" s="1">
        <v>0.84</v>
      </c>
      <c r="Y373" s="4">
        <v>44593</v>
      </c>
      <c r="Z373" s="1" t="s">
        <v>32</v>
      </c>
      <c r="AA373" s="1" t="s">
        <v>31</v>
      </c>
      <c r="AB373" s="36" t="str" cm="1">
        <f t="array" ref="AB373">_xlfn.IFS(K373&gt;650,"LOW",K373&gt;=550,"MEDIUM",K373&lt;550,"HIGH")</f>
        <v>LOW</v>
      </c>
    </row>
    <row r="374" spans="3:28" x14ac:dyDescent="0.3">
      <c r="C374" s="35" t="s">
        <v>2037</v>
      </c>
      <c r="D374" s="1" t="s">
        <v>68</v>
      </c>
      <c r="E374" s="1">
        <v>22</v>
      </c>
      <c r="F374" s="1" t="s">
        <v>26</v>
      </c>
      <c r="G374" s="1" t="s">
        <v>45</v>
      </c>
      <c r="H374" s="1" t="s">
        <v>54</v>
      </c>
      <c r="I374" s="1" t="s">
        <v>29</v>
      </c>
      <c r="J374" s="7">
        <v>77836</v>
      </c>
      <c r="K374" s="1">
        <v>751</v>
      </c>
      <c r="L374" s="7">
        <v>24092</v>
      </c>
      <c r="M374" s="1">
        <v>24</v>
      </c>
      <c r="N374" s="6">
        <v>0.1956</v>
      </c>
      <c r="O374" s="1" t="s">
        <v>5</v>
      </c>
      <c r="P374" s="1" t="s">
        <v>50</v>
      </c>
      <c r="Q374" s="1">
        <v>16</v>
      </c>
      <c r="R374" s="1">
        <v>4</v>
      </c>
      <c r="S374" s="1" t="s">
        <v>33</v>
      </c>
      <c r="T374" s="1" t="s">
        <v>31</v>
      </c>
      <c r="U374" s="1">
        <v>1</v>
      </c>
      <c r="V374" s="1">
        <v>26515</v>
      </c>
      <c r="W374" s="7">
        <v>879.59</v>
      </c>
      <c r="X374" s="1">
        <v>0.32</v>
      </c>
      <c r="Y374" s="4">
        <v>44844</v>
      </c>
      <c r="Z374" s="1" t="s">
        <v>32</v>
      </c>
      <c r="AA374" s="1" t="s">
        <v>31</v>
      </c>
      <c r="AB374" s="36" t="str" cm="1">
        <f t="array" ref="AB374">_xlfn.IFS(K374&gt;650,"LOW",K374&gt;=550,"MEDIUM",K374&lt;550,"HIGH")</f>
        <v>LOW</v>
      </c>
    </row>
    <row r="375" spans="3:28" x14ac:dyDescent="0.3">
      <c r="C375" s="35" t="s">
        <v>2249</v>
      </c>
      <c r="D375" s="1" t="s">
        <v>280</v>
      </c>
      <c r="E375" s="1">
        <v>39</v>
      </c>
      <c r="F375" s="1" t="s">
        <v>44</v>
      </c>
      <c r="G375" s="1" t="s">
        <v>35</v>
      </c>
      <c r="H375" s="1" t="s">
        <v>54</v>
      </c>
      <c r="I375" s="1" t="s">
        <v>29</v>
      </c>
      <c r="J375" s="7">
        <v>135074</v>
      </c>
      <c r="K375" s="1">
        <v>751</v>
      </c>
      <c r="L375" s="7">
        <v>8444</v>
      </c>
      <c r="M375" s="1">
        <v>24</v>
      </c>
      <c r="N375" s="6">
        <v>0.16980000000000001</v>
      </c>
      <c r="O375" s="1" t="s">
        <v>63</v>
      </c>
      <c r="P375" s="1" t="s">
        <v>30</v>
      </c>
      <c r="Q375" s="1">
        <v>22</v>
      </c>
      <c r="R375" s="1">
        <v>1</v>
      </c>
      <c r="S375" s="1" t="s">
        <v>33</v>
      </c>
      <c r="T375" s="1" t="s">
        <v>33</v>
      </c>
      <c r="U375" s="1">
        <v>2</v>
      </c>
      <c r="V375" s="1">
        <v>120340</v>
      </c>
      <c r="W375" s="7">
        <v>1250.69</v>
      </c>
      <c r="X375" s="1">
        <v>0.34</v>
      </c>
      <c r="Y375" s="4">
        <v>44716</v>
      </c>
      <c r="Z375" s="1" t="s">
        <v>32</v>
      </c>
      <c r="AA375" s="1" t="s">
        <v>33</v>
      </c>
      <c r="AB375" s="36" t="str" cm="1">
        <f t="array" ref="AB375">_xlfn.IFS(K375&gt;650,"LOW",K375&gt;=550,"MEDIUM",K375&lt;550,"HIGH")</f>
        <v>LOW</v>
      </c>
    </row>
    <row r="376" spans="3:28" x14ac:dyDescent="0.3">
      <c r="C376" s="35" t="s">
        <v>3022</v>
      </c>
      <c r="D376" s="1" t="s">
        <v>1049</v>
      </c>
      <c r="E376" s="1">
        <v>26</v>
      </c>
      <c r="F376" s="1" t="s">
        <v>26</v>
      </c>
      <c r="G376" s="1" t="s">
        <v>27</v>
      </c>
      <c r="H376" s="1" t="s">
        <v>28</v>
      </c>
      <c r="I376" s="1" t="s">
        <v>40</v>
      </c>
      <c r="J376" s="7">
        <v>131958</v>
      </c>
      <c r="K376" s="1">
        <v>751</v>
      </c>
      <c r="L376" s="7">
        <v>26976</v>
      </c>
      <c r="M376" s="1">
        <v>24</v>
      </c>
      <c r="N376" s="6">
        <v>5.2400000000000002E-2</v>
      </c>
      <c r="O376" s="1" t="s">
        <v>41</v>
      </c>
      <c r="P376" s="1" t="s">
        <v>47</v>
      </c>
      <c r="Q376" s="1">
        <v>12</v>
      </c>
      <c r="R376" s="1">
        <v>0</v>
      </c>
      <c r="S376" s="1" t="s">
        <v>33</v>
      </c>
      <c r="T376" s="1" t="s">
        <v>31</v>
      </c>
      <c r="U376" s="1">
        <v>2</v>
      </c>
      <c r="V376" s="1">
        <v>38343</v>
      </c>
      <c r="W376" s="7">
        <v>806.35</v>
      </c>
      <c r="X376" s="1">
        <v>0.15</v>
      </c>
      <c r="Y376" s="4">
        <v>44407</v>
      </c>
      <c r="Z376" s="1" t="s">
        <v>32</v>
      </c>
      <c r="AA376" s="1" t="s">
        <v>33</v>
      </c>
      <c r="AB376" s="36" t="str" cm="1">
        <f t="array" ref="AB376">_xlfn.IFS(K376&gt;650,"LOW",K376&gt;=550,"MEDIUM",K376&lt;550,"HIGH")</f>
        <v>LOW</v>
      </c>
    </row>
    <row r="377" spans="3:28" x14ac:dyDescent="0.3">
      <c r="C377" s="35" t="s">
        <v>3298</v>
      </c>
      <c r="D377" s="1" t="s">
        <v>1321</v>
      </c>
      <c r="E377" s="1">
        <v>27</v>
      </c>
      <c r="F377" s="1" t="s">
        <v>44</v>
      </c>
      <c r="G377" s="1" t="s">
        <v>56</v>
      </c>
      <c r="H377" s="1" t="s">
        <v>54</v>
      </c>
      <c r="I377" s="1" t="s">
        <v>29</v>
      </c>
      <c r="J377" s="7">
        <v>147408</v>
      </c>
      <c r="K377" s="1">
        <v>751</v>
      </c>
      <c r="L377" s="7">
        <v>29687</v>
      </c>
      <c r="M377" s="1">
        <v>24</v>
      </c>
      <c r="N377" s="6">
        <v>0.18140000000000001</v>
      </c>
      <c r="O377" s="1" t="s">
        <v>52</v>
      </c>
      <c r="P377" s="1" t="s">
        <v>30</v>
      </c>
      <c r="Q377" s="1">
        <v>4</v>
      </c>
      <c r="R377" s="1">
        <v>1</v>
      </c>
      <c r="S377" s="1" t="s">
        <v>31</v>
      </c>
      <c r="T377" s="1" t="s">
        <v>33</v>
      </c>
      <c r="U377" s="1">
        <v>1</v>
      </c>
      <c r="V377" s="1">
        <v>170419</v>
      </c>
      <c r="W377" s="7">
        <v>1639.36</v>
      </c>
      <c r="X377" s="1">
        <v>0.81</v>
      </c>
      <c r="Y377" s="4">
        <v>44943</v>
      </c>
      <c r="Z377" s="1" t="s">
        <v>38</v>
      </c>
      <c r="AA377" s="1" t="s">
        <v>33</v>
      </c>
      <c r="AB377" s="36" t="str" cm="1">
        <f t="array" ref="AB377">_xlfn.IFS(K377&gt;650,"LOW",K377&gt;=550,"MEDIUM",K377&lt;550,"HIGH")</f>
        <v>LOW</v>
      </c>
    </row>
    <row r="378" spans="3:28" x14ac:dyDescent="0.3">
      <c r="C378" s="35" t="s">
        <v>3034</v>
      </c>
      <c r="D378" s="1" t="s">
        <v>1061</v>
      </c>
      <c r="E378" s="1">
        <v>49</v>
      </c>
      <c r="F378" s="1" t="s">
        <v>26</v>
      </c>
      <c r="G378" s="1" t="s">
        <v>56</v>
      </c>
      <c r="H378" s="1" t="s">
        <v>54</v>
      </c>
      <c r="I378" s="1" t="s">
        <v>29</v>
      </c>
      <c r="J378" s="7">
        <v>55507</v>
      </c>
      <c r="K378" s="1">
        <v>750</v>
      </c>
      <c r="L378" s="7">
        <v>29180</v>
      </c>
      <c r="M378" s="1">
        <v>48</v>
      </c>
      <c r="N378" s="6">
        <v>5.0599999999999999E-2</v>
      </c>
      <c r="O378" s="1" t="s">
        <v>52</v>
      </c>
      <c r="P378" s="1" t="s">
        <v>50</v>
      </c>
      <c r="Q378" s="1">
        <v>1</v>
      </c>
      <c r="R378" s="1">
        <v>3</v>
      </c>
      <c r="S378" s="1" t="s">
        <v>33</v>
      </c>
      <c r="T378" s="1" t="s">
        <v>33</v>
      </c>
      <c r="U378" s="1">
        <v>4</v>
      </c>
      <c r="V378" s="1">
        <v>607</v>
      </c>
      <c r="W378" s="7">
        <v>690.68</v>
      </c>
      <c r="X378" s="1">
        <v>0.76</v>
      </c>
      <c r="Y378" s="4">
        <v>45406</v>
      </c>
      <c r="Z378" s="1" t="s">
        <v>38</v>
      </c>
      <c r="AA378" s="1" t="s">
        <v>31</v>
      </c>
      <c r="AB378" s="36" t="str" cm="1">
        <f t="array" ref="AB378">_xlfn.IFS(K378&gt;650,"LOW",K378&gt;=550,"MEDIUM",K378&lt;550,"HIGH")</f>
        <v>LOW</v>
      </c>
    </row>
    <row r="379" spans="3:28" x14ac:dyDescent="0.3">
      <c r="C379" s="35" t="s">
        <v>2437</v>
      </c>
      <c r="D379" s="1" t="s">
        <v>467</v>
      </c>
      <c r="E379" s="1">
        <v>54</v>
      </c>
      <c r="F379" s="1" t="s">
        <v>26</v>
      </c>
      <c r="G379" s="1" t="s">
        <v>56</v>
      </c>
      <c r="H379" s="1" t="s">
        <v>28</v>
      </c>
      <c r="I379" s="1" t="s">
        <v>57</v>
      </c>
      <c r="J379" s="7">
        <v>120304</v>
      </c>
      <c r="K379" s="1">
        <v>749</v>
      </c>
      <c r="L379" s="7">
        <v>31866</v>
      </c>
      <c r="M379" s="1">
        <v>48</v>
      </c>
      <c r="N379" s="6">
        <v>9.3599999999999989E-2</v>
      </c>
      <c r="O379" s="1" t="s">
        <v>63</v>
      </c>
      <c r="P379" s="1" t="s">
        <v>30</v>
      </c>
      <c r="Q379" s="1">
        <v>22</v>
      </c>
      <c r="R379" s="1">
        <v>1</v>
      </c>
      <c r="S379" s="1" t="s">
        <v>33</v>
      </c>
      <c r="T379" s="1" t="s">
        <v>31</v>
      </c>
      <c r="U379" s="1">
        <v>3</v>
      </c>
      <c r="V379" s="1">
        <v>26222</v>
      </c>
      <c r="W379" s="7">
        <v>499.2</v>
      </c>
      <c r="X379" s="1">
        <v>0.83</v>
      </c>
      <c r="Y379" s="4">
        <v>45040</v>
      </c>
      <c r="Z379" s="1" t="s">
        <v>38</v>
      </c>
      <c r="AA379" s="1" t="s">
        <v>33</v>
      </c>
      <c r="AB379" s="36" t="str" cm="1">
        <f t="array" ref="AB379">_xlfn.IFS(K379&gt;650,"LOW",K379&gt;=550,"MEDIUM",K379&lt;550,"HIGH")</f>
        <v>LOW</v>
      </c>
    </row>
    <row r="380" spans="3:28" x14ac:dyDescent="0.3">
      <c r="C380" s="35" t="s">
        <v>2502</v>
      </c>
      <c r="D380" s="1" t="s">
        <v>532</v>
      </c>
      <c r="E380" s="1">
        <v>63</v>
      </c>
      <c r="F380" s="1" t="s">
        <v>26</v>
      </c>
      <c r="G380" s="1" t="s">
        <v>56</v>
      </c>
      <c r="H380" s="1" t="s">
        <v>28</v>
      </c>
      <c r="I380" s="1" t="s">
        <v>57</v>
      </c>
      <c r="J380" s="7">
        <v>87136</v>
      </c>
      <c r="K380" s="1">
        <v>749</v>
      </c>
      <c r="L380" s="7">
        <v>22795</v>
      </c>
      <c r="M380" s="1">
        <v>48</v>
      </c>
      <c r="N380" s="6">
        <v>0.14029999999999998</v>
      </c>
      <c r="O380" s="1" t="s">
        <v>5</v>
      </c>
      <c r="P380" s="1" t="s">
        <v>50</v>
      </c>
      <c r="Q380" s="1">
        <v>4</v>
      </c>
      <c r="R380" s="1">
        <v>0</v>
      </c>
      <c r="S380" s="1" t="s">
        <v>31</v>
      </c>
      <c r="T380" s="1" t="s">
        <v>33</v>
      </c>
      <c r="U380" s="1">
        <v>4</v>
      </c>
      <c r="V380" s="1">
        <v>45820</v>
      </c>
      <c r="W380" s="7">
        <v>474.87</v>
      </c>
      <c r="X380" s="1">
        <v>0.83</v>
      </c>
      <c r="Y380" s="4">
        <v>44869</v>
      </c>
      <c r="Z380" s="1" t="s">
        <v>38</v>
      </c>
      <c r="AA380" s="1" t="s">
        <v>33</v>
      </c>
      <c r="AB380" s="36" t="str" cm="1">
        <f t="array" ref="AB380">_xlfn.IFS(K380&gt;650,"LOW",K380&gt;=550,"MEDIUM",K380&lt;550,"HIGH")</f>
        <v>LOW</v>
      </c>
    </row>
    <row r="381" spans="3:28" x14ac:dyDescent="0.3">
      <c r="C381" s="35" t="s">
        <v>3320</v>
      </c>
      <c r="D381" s="1" t="s">
        <v>1343</v>
      </c>
      <c r="E381" s="1">
        <v>42</v>
      </c>
      <c r="F381" s="1" t="s">
        <v>26</v>
      </c>
      <c r="G381" s="1" t="s">
        <v>45</v>
      </c>
      <c r="H381" s="1" t="s">
        <v>54</v>
      </c>
      <c r="I381" s="1" t="s">
        <v>59</v>
      </c>
      <c r="J381" s="7">
        <v>79635</v>
      </c>
      <c r="K381" s="1">
        <v>749</v>
      </c>
      <c r="L381" s="7">
        <v>49681</v>
      </c>
      <c r="M381" s="1">
        <v>36</v>
      </c>
      <c r="N381" s="6">
        <v>8.7899999999999992E-2</v>
      </c>
      <c r="O381" s="1" t="s">
        <v>41</v>
      </c>
      <c r="P381" s="1" t="s">
        <v>50</v>
      </c>
      <c r="Q381" s="1">
        <v>20</v>
      </c>
      <c r="R381" s="1">
        <v>4</v>
      </c>
      <c r="S381" s="1" t="s">
        <v>33</v>
      </c>
      <c r="T381" s="1" t="s">
        <v>33</v>
      </c>
      <c r="U381" s="1">
        <v>0</v>
      </c>
      <c r="V381" s="1">
        <v>31604</v>
      </c>
      <c r="W381" s="7">
        <v>945.78</v>
      </c>
      <c r="X381" s="1">
        <v>0.63</v>
      </c>
      <c r="Y381" s="4">
        <v>45570</v>
      </c>
      <c r="Z381" s="1" t="s">
        <v>38</v>
      </c>
      <c r="AA381" s="1" t="s">
        <v>31</v>
      </c>
      <c r="AB381" s="36" t="str" cm="1">
        <f t="array" ref="AB381">_xlfn.IFS(K381&gt;650,"LOW",K381&gt;=550,"MEDIUM",K381&lt;550,"HIGH")</f>
        <v>LOW</v>
      </c>
    </row>
    <row r="382" spans="3:28" x14ac:dyDescent="0.3">
      <c r="C382" s="35" t="s">
        <v>3341</v>
      </c>
      <c r="D382" s="1" t="s">
        <v>1363</v>
      </c>
      <c r="E382" s="1">
        <v>60</v>
      </c>
      <c r="F382" s="1" t="s">
        <v>26</v>
      </c>
      <c r="G382" s="1" t="s">
        <v>45</v>
      </c>
      <c r="H382" s="1" t="s">
        <v>36</v>
      </c>
      <c r="I382" s="1" t="s">
        <v>59</v>
      </c>
      <c r="J382" s="7">
        <v>118865</v>
      </c>
      <c r="K382" s="1">
        <v>749</v>
      </c>
      <c r="L382" s="7">
        <v>45415</v>
      </c>
      <c r="M382" s="1">
        <v>60</v>
      </c>
      <c r="N382" s="6">
        <v>0.16879999999999998</v>
      </c>
      <c r="O382" s="1" t="s">
        <v>5</v>
      </c>
      <c r="P382" s="1" t="s">
        <v>47</v>
      </c>
      <c r="Q382" s="1">
        <v>4</v>
      </c>
      <c r="R382" s="1">
        <v>3</v>
      </c>
      <c r="S382" s="1" t="s">
        <v>31</v>
      </c>
      <c r="T382" s="1" t="s">
        <v>31</v>
      </c>
      <c r="U382" s="1">
        <v>2</v>
      </c>
      <c r="V382" s="1">
        <v>138313</v>
      </c>
      <c r="W382" s="7">
        <v>1610.22</v>
      </c>
      <c r="X382" s="1">
        <v>0.11</v>
      </c>
      <c r="Y382" s="4">
        <v>45574</v>
      </c>
      <c r="Z382" s="1" t="s">
        <v>38</v>
      </c>
      <c r="AA382" s="1" t="s">
        <v>31</v>
      </c>
      <c r="AB382" s="36" t="str" cm="1">
        <f t="array" ref="AB382">_xlfn.IFS(K382&gt;650,"LOW",K382&gt;=550,"MEDIUM",K382&lt;550,"HIGH")</f>
        <v>LOW</v>
      </c>
    </row>
    <row r="383" spans="3:28" x14ac:dyDescent="0.3">
      <c r="C383" s="35" t="s">
        <v>3565</v>
      </c>
      <c r="D383" s="1" t="s">
        <v>1582</v>
      </c>
      <c r="E383" s="1">
        <v>63</v>
      </c>
      <c r="F383" s="1" t="s">
        <v>26</v>
      </c>
      <c r="G383" s="1" t="s">
        <v>35</v>
      </c>
      <c r="H383" s="1" t="s">
        <v>36</v>
      </c>
      <c r="I383" s="1" t="s">
        <v>29</v>
      </c>
      <c r="J383" s="7">
        <v>144297</v>
      </c>
      <c r="K383" s="1">
        <v>749</v>
      </c>
      <c r="L383" s="7">
        <v>39055</v>
      </c>
      <c r="M383" s="1">
        <v>36</v>
      </c>
      <c r="N383" s="6">
        <v>9.8699999999999996E-2</v>
      </c>
      <c r="O383" s="1" t="s">
        <v>37</v>
      </c>
      <c r="P383" s="1" t="s">
        <v>50</v>
      </c>
      <c r="Q383" s="1">
        <v>3</v>
      </c>
      <c r="R383" s="1">
        <v>3</v>
      </c>
      <c r="S383" s="1" t="s">
        <v>33</v>
      </c>
      <c r="T383" s="1" t="s">
        <v>31</v>
      </c>
      <c r="U383" s="1">
        <v>1</v>
      </c>
      <c r="V383" s="1">
        <v>68833</v>
      </c>
      <c r="W383" s="7">
        <v>1033.33</v>
      </c>
      <c r="X383" s="1">
        <v>0.49</v>
      </c>
      <c r="Y383" s="4">
        <v>44509</v>
      </c>
      <c r="Z383" s="1" t="s">
        <v>38</v>
      </c>
      <c r="AA383" s="1" t="s">
        <v>33</v>
      </c>
      <c r="AB383" s="36" t="str" cm="1">
        <f t="array" ref="AB383">_xlfn.IFS(K383&gt;650,"LOW",K383&gt;=550,"MEDIUM",K383&lt;550,"HIGH")</f>
        <v>LOW</v>
      </c>
    </row>
    <row r="384" spans="3:28" x14ac:dyDescent="0.3">
      <c r="C384" s="35" t="s">
        <v>2081</v>
      </c>
      <c r="D384" s="1" t="s">
        <v>112</v>
      </c>
      <c r="E384" s="1">
        <v>62</v>
      </c>
      <c r="F384" s="1" t="s">
        <v>26</v>
      </c>
      <c r="G384" s="1" t="s">
        <v>35</v>
      </c>
      <c r="H384" s="1" t="s">
        <v>28</v>
      </c>
      <c r="I384" s="1" t="s">
        <v>29</v>
      </c>
      <c r="J384" s="7">
        <v>80102</v>
      </c>
      <c r="K384" s="1">
        <v>748</v>
      </c>
      <c r="L384" s="7">
        <v>40551</v>
      </c>
      <c r="M384" s="1">
        <v>48</v>
      </c>
      <c r="N384" s="6">
        <v>0.1331</v>
      </c>
      <c r="O384" s="1" t="s">
        <v>46</v>
      </c>
      <c r="P384" s="1" t="s">
        <v>50</v>
      </c>
      <c r="Q384" s="1">
        <v>10</v>
      </c>
      <c r="R384" s="1">
        <v>4</v>
      </c>
      <c r="S384" s="1" t="s">
        <v>33</v>
      </c>
      <c r="T384" s="1" t="s">
        <v>31</v>
      </c>
      <c r="U384" s="1">
        <v>1</v>
      </c>
      <c r="V384" s="1">
        <v>190376</v>
      </c>
      <c r="W384" s="7">
        <v>1164.4000000000001</v>
      </c>
      <c r="X384" s="1">
        <v>0.97</v>
      </c>
      <c r="Y384" s="4">
        <v>44555</v>
      </c>
      <c r="Z384" s="1" t="s">
        <v>38</v>
      </c>
      <c r="AA384" s="1" t="s">
        <v>33</v>
      </c>
      <c r="AB384" s="36" t="str" cm="1">
        <f t="array" ref="AB384">_xlfn.IFS(K384&gt;650,"LOW",K384&gt;=550,"MEDIUM",K384&lt;550,"HIGH")</f>
        <v>LOW</v>
      </c>
    </row>
    <row r="385" spans="3:28" x14ac:dyDescent="0.3">
      <c r="C385" s="35" t="s">
        <v>2870</v>
      </c>
      <c r="D385" s="1" t="s">
        <v>898</v>
      </c>
      <c r="E385" s="1">
        <v>33</v>
      </c>
      <c r="F385" s="1" t="s">
        <v>26</v>
      </c>
      <c r="G385" s="1" t="s">
        <v>45</v>
      </c>
      <c r="H385" s="1" t="s">
        <v>28</v>
      </c>
      <c r="I385" s="1" t="s">
        <v>40</v>
      </c>
      <c r="J385" s="7">
        <v>21524</v>
      </c>
      <c r="K385" s="1">
        <v>748</v>
      </c>
      <c r="L385" s="7">
        <v>37572</v>
      </c>
      <c r="M385" s="1">
        <v>36</v>
      </c>
      <c r="N385" s="6">
        <v>6.0100000000000001E-2</v>
      </c>
      <c r="O385" s="1" t="s">
        <v>63</v>
      </c>
      <c r="P385" s="1" t="s">
        <v>50</v>
      </c>
      <c r="Q385" s="1">
        <v>18</v>
      </c>
      <c r="R385" s="1">
        <v>2</v>
      </c>
      <c r="S385" s="1" t="s">
        <v>33</v>
      </c>
      <c r="T385" s="1" t="s">
        <v>33</v>
      </c>
      <c r="U385" s="1">
        <v>1</v>
      </c>
      <c r="V385" s="1">
        <v>156202</v>
      </c>
      <c r="W385" s="7">
        <v>1053.97</v>
      </c>
      <c r="X385" s="1">
        <v>0.14000000000000001</v>
      </c>
      <c r="Y385" s="4">
        <v>44285</v>
      </c>
      <c r="Z385" s="1" t="s">
        <v>38</v>
      </c>
      <c r="AA385" s="1" t="s">
        <v>33</v>
      </c>
      <c r="AB385" s="36" t="str" cm="1">
        <f t="array" ref="AB385">_xlfn.IFS(K385&gt;650,"LOW",K385&gt;=550,"MEDIUM",K385&lt;550,"HIGH")</f>
        <v>LOW</v>
      </c>
    </row>
    <row r="386" spans="3:28" x14ac:dyDescent="0.3">
      <c r="C386" s="35" t="s">
        <v>2938</v>
      </c>
      <c r="D386" s="1" t="s">
        <v>966</v>
      </c>
      <c r="E386" s="1">
        <v>46</v>
      </c>
      <c r="F386" s="1" t="s">
        <v>26</v>
      </c>
      <c r="G386" s="1" t="s">
        <v>56</v>
      </c>
      <c r="H386" s="1" t="s">
        <v>36</v>
      </c>
      <c r="I386" s="1" t="s">
        <v>40</v>
      </c>
      <c r="J386" s="7">
        <v>87560</v>
      </c>
      <c r="K386" s="1">
        <v>748</v>
      </c>
      <c r="L386" s="7">
        <v>17979</v>
      </c>
      <c r="M386" s="1">
        <v>48</v>
      </c>
      <c r="N386" s="6">
        <v>9.6199999999999994E-2</v>
      </c>
      <c r="O386" s="1" t="s">
        <v>5</v>
      </c>
      <c r="P386" s="1" t="s">
        <v>47</v>
      </c>
      <c r="Q386" s="1">
        <v>27</v>
      </c>
      <c r="R386" s="1">
        <v>1</v>
      </c>
      <c r="S386" s="1" t="s">
        <v>33</v>
      </c>
      <c r="T386" s="1" t="s">
        <v>31</v>
      </c>
      <c r="U386" s="1">
        <v>2</v>
      </c>
      <c r="V386" s="1">
        <v>18825</v>
      </c>
      <c r="W386" s="7">
        <v>1541.81</v>
      </c>
      <c r="X386" s="1">
        <v>0.67</v>
      </c>
      <c r="Y386" s="4">
        <v>45463</v>
      </c>
      <c r="Z386" s="1" t="s">
        <v>38</v>
      </c>
      <c r="AA386" s="1" t="s">
        <v>33</v>
      </c>
      <c r="AB386" s="36" t="str" cm="1">
        <f t="array" ref="AB386">_xlfn.IFS(K386&gt;650,"LOW",K386&gt;=550,"MEDIUM",K386&lt;550,"HIGH")</f>
        <v>LOW</v>
      </c>
    </row>
    <row r="387" spans="3:28" x14ac:dyDescent="0.3">
      <c r="C387" s="35" t="s">
        <v>3035</v>
      </c>
      <c r="D387" s="1" t="s">
        <v>1062</v>
      </c>
      <c r="E387" s="1">
        <v>58</v>
      </c>
      <c r="F387" s="1" t="s">
        <v>26</v>
      </c>
      <c r="G387" s="1" t="s">
        <v>27</v>
      </c>
      <c r="H387" s="1" t="s">
        <v>54</v>
      </c>
      <c r="I387" s="1" t="s">
        <v>59</v>
      </c>
      <c r="J387" s="7">
        <v>119244</v>
      </c>
      <c r="K387" s="1">
        <v>748</v>
      </c>
      <c r="L387" s="7">
        <v>49791</v>
      </c>
      <c r="M387" s="1">
        <v>60</v>
      </c>
      <c r="N387" s="6">
        <v>8.9099999999999999E-2</v>
      </c>
      <c r="O387" s="1" t="s">
        <v>37</v>
      </c>
      <c r="P387" s="1" t="s">
        <v>50</v>
      </c>
      <c r="Q387" s="1">
        <v>18</v>
      </c>
      <c r="R387" s="1">
        <v>0</v>
      </c>
      <c r="S387" s="1" t="s">
        <v>31</v>
      </c>
      <c r="T387" s="1" t="s">
        <v>31</v>
      </c>
      <c r="U387" s="1">
        <v>4</v>
      </c>
      <c r="V387" s="1">
        <v>37386</v>
      </c>
      <c r="W387" s="7">
        <v>1287.44</v>
      </c>
      <c r="X387" s="1">
        <v>0.14000000000000001</v>
      </c>
      <c r="Y387" s="4">
        <v>44159</v>
      </c>
      <c r="Z387" s="1" t="s">
        <v>32</v>
      </c>
      <c r="AA387" s="1" t="s">
        <v>33</v>
      </c>
      <c r="AB387" s="36" t="str" cm="1">
        <f t="array" ref="AB387">_xlfn.IFS(K387&gt;650,"LOW",K387&gt;=550,"MEDIUM",K387&lt;550,"HIGH")</f>
        <v>LOW</v>
      </c>
    </row>
    <row r="388" spans="3:28" x14ac:dyDescent="0.3">
      <c r="C388" s="35" t="s">
        <v>3282</v>
      </c>
      <c r="D388" s="1" t="s">
        <v>1305</v>
      </c>
      <c r="E388" s="1">
        <v>37</v>
      </c>
      <c r="F388" s="1" t="s">
        <v>26</v>
      </c>
      <c r="G388" s="1" t="s">
        <v>27</v>
      </c>
      <c r="H388" s="1" t="s">
        <v>36</v>
      </c>
      <c r="I388" s="1" t="s">
        <v>59</v>
      </c>
      <c r="J388" s="7">
        <v>108290</v>
      </c>
      <c r="K388" s="1">
        <v>748</v>
      </c>
      <c r="L388" s="7">
        <v>29133</v>
      </c>
      <c r="M388" s="1">
        <v>36</v>
      </c>
      <c r="N388" s="6">
        <v>0.15259999999999999</v>
      </c>
      <c r="O388" s="1" t="s">
        <v>63</v>
      </c>
      <c r="P388" s="1" t="s">
        <v>30</v>
      </c>
      <c r="Q388" s="1">
        <v>27</v>
      </c>
      <c r="R388" s="1">
        <v>3</v>
      </c>
      <c r="S388" s="1" t="s">
        <v>31</v>
      </c>
      <c r="T388" s="1" t="s">
        <v>31</v>
      </c>
      <c r="U388" s="1">
        <v>4</v>
      </c>
      <c r="V388" s="1">
        <v>96060</v>
      </c>
      <c r="W388" s="7">
        <v>1254.1199999999999</v>
      </c>
      <c r="X388" s="1">
        <v>0.71</v>
      </c>
      <c r="Y388" s="4">
        <v>44952</v>
      </c>
      <c r="Z388" s="1" t="s">
        <v>38</v>
      </c>
      <c r="AA388" s="1" t="s">
        <v>33</v>
      </c>
      <c r="AB388" s="36" t="str" cm="1">
        <f t="array" ref="AB388">_xlfn.IFS(K388&gt;650,"LOW",K388&gt;=550,"MEDIUM",K388&lt;550,"HIGH")</f>
        <v>LOW</v>
      </c>
    </row>
    <row r="389" spans="3:28" x14ac:dyDescent="0.3">
      <c r="C389" s="35" t="s">
        <v>3657</v>
      </c>
      <c r="D389" s="1" t="s">
        <v>1669</v>
      </c>
      <c r="E389" s="1">
        <v>49</v>
      </c>
      <c r="F389" s="1" t="s">
        <v>44</v>
      </c>
      <c r="G389" s="1" t="s">
        <v>45</v>
      </c>
      <c r="H389" s="1" t="s">
        <v>61</v>
      </c>
      <c r="I389" s="1" t="s">
        <v>57</v>
      </c>
      <c r="J389" s="7">
        <v>126843</v>
      </c>
      <c r="K389" s="1">
        <v>748</v>
      </c>
      <c r="L389" s="7">
        <v>22246</v>
      </c>
      <c r="M389" s="1">
        <v>24</v>
      </c>
      <c r="N389" s="6">
        <v>0.17180000000000001</v>
      </c>
      <c r="O389" s="1" t="s">
        <v>41</v>
      </c>
      <c r="P389" s="1" t="s">
        <v>30</v>
      </c>
      <c r="Q389" s="1">
        <v>14</v>
      </c>
      <c r="R389" s="1">
        <v>0</v>
      </c>
      <c r="S389" s="1" t="s">
        <v>33</v>
      </c>
      <c r="T389" s="1" t="s">
        <v>33</v>
      </c>
      <c r="U389" s="1">
        <v>0</v>
      </c>
      <c r="V389" s="1">
        <v>183975</v>
      </c>
      <c r="W389" s="7">
        <v>1789.73</v>
      </c>
      <c r="X389" s="1">
        <v>0.57999999999999996</v>
      </c>
      <c r="Y389" s="4">
        <v>45827</v>
      </c>
      <c r="Z389" s="1" t="s">
        <v>32</v>
      </c>
      <c r="AA389" s="1" t="s">
        <v>33</v>
      </c>
      <c r="AB389" s="36" t="str" cm="1">
        <f t="array" ref="AB389">_xlfn.IFS(K389&gt;650,"LOW",K389&gt;=550,"MEDIUM",K389&lt;550,"HIGH")</f>
        <v>LOW</v>
      </c>
    </row>
    <row r="390" spans="3:28" x14ac:dyDescent="0.3">
      <c r="C390" s="35" t="s">
        <v>2134</v>
      </c>
      <c r="D390" s="1" t="s">
        <v>165</v>
      </c>
      <c r="E390" s="1">
        <v>57</v>
      </c>
      <c r="F390" s="1" t="s">
        <v>26</v>
      </c>
      <c r="G390" s="1" t="s">
        <v>27</v>
      </c>
      <c r="H390" s="1" t="s">
        <v>61</v>
      </c>
      <c r="I390" s="1" t="s">
        <v>59</v>
      </c>
      <c r="J390" s="7">
        <v>93313</v>
      </c>
      <c r="K390" s="1">
        <v>747</v>
      </c>
      <c r="L390" s="7">
        <v>2041</v>
      </c>
      <c r="M390" s="1">
        <v>48</v>
      </c>
      <c r="N390" s="6">
        <v>6.6699999999999995E-2</v>
      </c>
      <c r="O390" s="1" t="s">
        <v>5</v>
      </c>
      <c r="P390" s="1" t="s">
        <v>50</v>
      </c>
      <c r="Q390" s="1">
        <v>2</v>
      </c>
      <c r="R390" s="1">
        <v>3</v>
      </c>
      <c r="S390" s="1" t="s">
        <v>31</v>
      </c>
      <c r="T390" s="1" t="s">
        <v>31</v>
      </c>
      <c r="U390" s="1">
        <v>0</v>
      </c>
      <c r="V390" s="1">
        <v>28130</v>
      </c>
      <c r="W390" s="7">
        <v>716.66</v>
      </c>
      <c r="X390" s="1">
        <v>0.32</v>
      </c>
      <c r="Y390" s="4">
        <v>44895</v>
      </c>
      <c r="Z390" s="1" t="s">
        <v>32</v>
      </c>
      <c r="AA390" s="1" t="s">
        <v>33</v>
      </c>
      <c r="AB390" s="36" t="str" cm="1">
        <f t="array" ref="AB390">_xlfn.IFS(K390&gt;650,"LOW",K390&gt;=550,"MEDIUM",K390&lt;550,"HIGH")</f>
        <v>LOW</v>
      </c>
    </row>
    <row r="391" spans="3:28" x14ac:dyDescent="0.3">
      <c r="C391" s="35" t="s">
        <v>3109</v>
      </c>
      <c r="D391" s="1" t="s">
        <v>1134</v>
      </c>
      <c r="E391" s="1">
        <v>56</v>
      </c>
      <c r="F391" s="1" t="s">
        <v>44</v>
      </c>
      <c r="G391" s="1" t="s">
        <v>56</v>
      </c>
      <c r="H391" s="1" t="s">
        <v>54</v>
      </c>
      <c r="I391" s="1" t="s">
        <v>59</v>
      </c>
      <c r="J391" s="7">
        <v>108534</v>
      </c>
      <c r="K391" s="1">
        <v>747</v>
      </c>
      <c r="L391" s="7">
        <v>36017</v>
      </c>
      <c r="M391" s="1">
        <v>24</v>
      </c>
      <c r="N391" s="6">
        <v>0.1789</v>
      </c>
      <c r="O391" s="1" t="s">
        <v>37</v>
      </c>
      <c r="P391" s="1" t="s">
        <v>30</v>
      </c>
      <c r="Q391" s="1">
        <v>2</v>
      </c>
      <c r="R391" s="1">
        <v>3</v>
      </c>
      <c r="S391" s="1" t="s">
        <v>33</v>
      </c>
      <c r="T391" s="1" t="s">
        <v>33</v>
      </c>
      <c r="U391" s="1">
        <v>3</v>
      </c>
      <c r="V391" s="1">
        <v>4567</v>
      </c>
      <c r="W391" s="7">
        <v>1548.37</v>
      </c>
      <c r="X391" s="1">
        <v>0.52</v>
      </c>
      <c r="Y391" s="4">
        <v>44405</v>
      </c>
      <c r="Z391" s="1" t="s">
        <v>32</v>
      </c>
      <c r="AA391" s="1" t="s">
        <v>33</v>
      </c>
      <c r="AB391" s="36" t="str" cm="1">
        <f t="array" ref="AB391">_xlfn.IFS(K391&gt;650,"LOW",K391&gt;=550,"MEDIUM",K391&lt;550,"HIGH")</f>
        <v>LOW</v>
      </c>
    </row>
    <row r="392" spans="3:28" x14ac:dyDescent="0.3">
      <c r="C392" s="35" t="s">
        <v>3830</v>
      </c>
      <c r="D392" s="1" t="s">
        <v>1836</v>
      </c>
      <c r="E392" s="1">
        <v>53</v>
      </c>
      <c r="F392" s="1" t="s">
        <v>44</v>
      </c>
      <c r="G392" s="1" t="s">
        <v>45</v>
      </c>
      <c r="H392" s="1" t="s">
        <v>54</v>
      </c>
      <c r="I392" s="1" t="s">
        <v>59</v>
      </c>
      <c r="J392" s="7">
        <v>101099</v>
      </c>
      <c r="K392" s="1">
        <v>747</v>
      </c>
      <c r="L392" s="7">
        <v>26936</v>
      </c>
      <c r="M392" s="1">
        <v>60</v>
      </c>
      <c r="N392" s="6">
        <v>0.17319999999999999</v>
      </c>
      <c r="O392" s="1" t="s">
        <v>63</v>
      </c>
      <c r="P392" s="1" t="s">
        <v>30</v>
      </c>
      <c r="Q392" s="1">
        <v>1</v>
      </c>
      <c r="R392" s="1">
        <v>3</v>
      </c>
      <c r="S392" s="1" t="s">
        <v>31</v>
      </c>
      <c r="T392" s="1" t="s">
        <v>33</v>
      </c>
      <c r="U392" s="1">
        <v>0</v>
      </c>
      <c r="V392" s="1">
        <v>157883</v>
      </c>
      <c r="W392" s="7">
        <v>1175.52</v>
      </c>
      <c r="X392" s="1">
        <v>0.96</v>
      </c>
      <c r="Y392" s="4">
        <v>45729</v>
      </c>
      <c r="Z392" s="1" t="s">
        <v>32</v>
      </c>
      <c r="AA392" s="1" t="s">
        <v>33</v>
      </c>
      <c r="AB392" s="36" t="str" cm="1">
        <f t="array" ref="AB392">_xlfn.IFS(K392&gt;650,"LOW",K392&gt;=550,"MEDIUM",K392&lt;550,"HIGH")</f>
        <v>LOW</v>
      </c>
    </row>
    <row r="393" spans="3:28" x14ac:dyDescent="0.3">
      <c r="C393" s="35" t="s">
        <v>2036</v>
      </c>
      <c r="D393" s="1" t="s">
        <v>67</v>
      </c>
      <c r="E393" s="1">
        <v>42</v>
      </c>
      <c r="F393" s="1" t="s">
        <v>26</v>
      </c>
      <c r="G393" s="1" t="s">
        <v>35</v>
      </c>
      <c r="H393" s="1" t="s">
        <v>28</v>
      </c>
      <c r="I393" s="1" t="s">
        <v>59</v>
      </c>
      <c r="J393" s="7">
        <v>129236</v>
      </c>
      <c r="K393" s="1">
        <v>746</v>
      </c>
      <c r="L393" s="7">
        <v>47628</v>
      </c>
      <c r="M393" s="1">
        <v>12</v>
      </c>
      <c r="N393" s="6">
        <v>0.1825</v>
      </c>
      <c r="O393" s="1" t="s">
        <v>37</v>
      </c>
      <c r="P393" s="1" t="s">
        <v>30</v>
      </c>
      <c r="Q393" s="1">
        <v>5</v>
      </c>
      <c r="R393" s="1">
        <v>3</v>
      </c>
      <c r="S393" s="1" t="s">
        <v>31</v>
      </c>
      <c r="T393" s="1" t="s">
        <v>33</v>
      </c>
      <c r="U393" s="1">
        <v>4</v>
      </c>
      <c r="V393" s="1">
        <v>139223</v>
      </c>
      <c r="W393" s="7">
        <v>1452.68</v>
      </c>
      <c r="X393" s="1">
        <v>0.57999999999999996</v>
      </c>
      <c r="Y393" s="4">
        <v>44076</v>
      </c>
      <c r="Z393" s="1" t="s">
        <v>38</v>
      </c>
      <c r="AA393" s="1" t="s">
        <v>31</v>
      </c>
      <c r="AB393" s="36" t="str" cm="1">
        <f t="array" ref="AB393">_xlfn.IFS(K393&gt;650,"LOW",K393&gt;=550,"MEDIUM",K393&lt;550,"HIGH")</f>
        <v>LOW</v>
      </c>
    </row>
    <row r="394" spans="3:28" x14ac:dyDescent="0.3">
      <c r="C394" s="35" t="s">
        <v>2641</v>
      </c>
      <c r="D394" s="1" t="s">
        <v>671</v>
      </c>
      <c r="E394" s="1">
        <v>41</v>
      </c>
      <c r="F394" s="1" t="s">
        <v>26</v>
      </c>
      <c r="G394" s="1" t="s">
        <v>35</v>
      </c>
      <c r="H394" s="1" t="s">
        <v>28</v>
      </c>
      <c r="I394" s="1" t="s">
        <v>59</v>
      </c>
      <c r="J394" s="7">
        <v>127611</v>
      </c>
      <c r="K394" s="1">
        <v>746</v>
      </c>
      <c r="L394" s="7">
        <v>41747</v>
      </c>
      <c r="M394" s="1">
        <v>48</v>
      </c>
      <c r="N394" s="6">
        <v>6.6000000000000003E-2</v>
      </c>
      <c r="O394" s="1" t="s">
        <v>63</v>
      </c>
      <c r="P394" s="1" t="s">
        <v>47</v>
      </c>
      <c r="Q394" s="1">
        <v>4</v>
      </c>
      <c r="R394" s="1">
        <v>4</v>
      </c>
      <c r="S394" s="1" t="s">
        <v>33</v>
      </c>
      <c r="T394" s="1" t="s">
        <v>33</v>
      </c>
      <c r="U394" s="1">
        <v>0</v>
      </c>
      <c r="V394" s="1">
        <v>40643</v>
      </c>
      <c r="W394" s="7">
        <v>1339.65</v>
      </c>
      <c r="X394" s="1">
        <v>0.45</v>
      </c>
      <c r="Y394" s="4">
        <v>44760</v>
      </c>
      <c r="Z394" s="1" t="s">
        <v>32</v>
      </c>
      <c r="AA394" s="1" t="s">
        <v>33</v>
      </c>
      <c r="AB394" s="36" t="str" cm="1">
        <f t="array" ref="AB394">_xlfn.IFS(K394&gt;650,"LOW",K394&gt;=550,"MEDIUM",K394&lt;550,"HIGH")</f>
        <v>LOW</v>
      </c>
    </row>
    <row r="395" spans="3:28" x14ac:dyDescent="0.3">
      <c r="C395" s="35" t="s">
        <v>2696</v>
      </c>
      <c r="D395" s="1" t="s">
        <v>726</v>
      </c>
      <c r="E395" s="1">
        <v>25</v>
      </c>
      <c r="F395" s="1" t="s">
        <v>44</v>
      </c>
      <c r="G395" s="1" t="s">
        <v>27</v>
      </c>
      <c r="H395" s="1" t="s">
        <v>36</v>
      </c>
      <c r="I395" s="1" t="s">
        <v>40</v>
      </c>
      <c r="J395" s="7">
        <v>93548</v>
      </c>
      <c r="K395" s="1">
        <v>746</v>
      </c>
      <c r="L395" s="7">
        <v>19185</v>
      </c>
      <c r="M395" s="1">
        <v>36</v>
      </c>
      <c r="N395" s="6">
        <v>0.13619999999999999</v>
      </c>
      <c r="O395" s="1" t="s">
        <v>52</v>
      </c>
      <c r="P395" s="1" t="s">
        <v>47</v>
      </c>
      <c r="Q395" s="1">
        <v>15</v>
      </c>
      <c r="R395" s="1">
        <v>0</v>
      </c>
      <c r="S395" s="1" t="s">
        <v>33</v>
      </c>
      <c r="T395" s="1" t="s">
        <v>31</v>
      </c>
      <c r="U395" s="1">
        <v>0</v>
      </c>
      <c r="V395" s="1">
        <v>143994</v>
      </c>
      <c r="W395" s="7">
        <v>1650.81</v>
      </c>
      <c r="X395" s="1">
        <v>0.41</v>
      </c>
      <c r="Y395" s="4">
        <v>44336</v>
      </c>
      <c r="Z395" s="1" t="s">
        <v>38</v>
      </c>
      <c r="AA395" s="1" t="s">
        <v>33</v>
      </c>
      <c r="AB395" s="36" t="str" cm="1">
        <f t="array" ref="AB395">_xlfn.IFS(K395&gt;650,"LOW",K395&gt;=550,"MEDIUM",K395&lt;550,"HIGH")</f>
        <v>LOW</v>
      </c>
    </row>
    <row r="396" spans="3:28" x14ac:dyDescent="0.3">
      <c r="C396" s="35" t="s">
        <v>3877</v>
      </c>
      <c r="D396" s="1" t="s">
        <v>1883</v>
      </c>
      <c r="E396" s="1">
        <v>61</v>
      </c>
      <c r="F396" s="1" t="s">
        <v>44</v>
      </c>
      <c r="G396" s="1" t="s">
        <v>56</v>
      </c>
      <c r="H396" s="1" t="s">
        <v>28</v>
      </c>
      <c r="I396" s="1" t="s">
        <v>57</v>
      </c>
      <c r="J396" s="7">
        <v>28593</v>
      </c>
      <c r="K396" s="1">
        <v>746</v>
      </c>
      <c r="L396" s="7">
        <v>18443</v>
      </c>
      <c r="M396" s="1">
        <v>60</v>
      </c>
      <c r="N396" s="6">
        <v>0.12939999999999999</v>
      </c>
      <c r="O396" s="1" t="s">
        <v>41</v>
      </c>
      <c r="P396" s="1" t="s">
        <v>30</v>
      </c>
      <c r="Q396" s="1">
        <v>19</v>
      </c>
      <c r="R396" s="1">
        <v>1</v>
      </c>
      <c r="S396" s="1" t="s">
        <v>33</v>
      </c>
      <c r="T396" s="1" t="s">
        <v>33</v>
      </c>
      <c r="U396" s="1">
        <v>0</v>
      </c>
      <c r="V396" s="1">
        <v>118078</v>
      </c>
      <c r="W396" s="7">
        <v>122.78</v>
      </c>
      <c r="X396" s="1">
        <v>0.68</v>
      </c>
      <c r="Y396" s="4">
        <v>44235</v>
      </c>
      <c r="Z396" s="1" t="s">
        <v>32</v>
      </c>
      <c r="AA396" s="1" t="s">
        <v>33</v>
      </c>
      <c r="AB396" s="36" t="str" cm="1">
        <f t="array" ref="AB396">_xlfn.IFS(K396&gt;650,"LOW",K396&gt;=550,"MEDIUM",K396&lt;550,"HIGH")</f>
        <v>LOW</v>
      </c>
    </row>
    <row r="397" spans="3:28" x14ac:dyDescent="0.3">
      <c r="C397" s="35" t="s">
        <v>3891</v>
      </c>
      <c r="D397" s="1" t="s">
        <v>1896</v>
      </c>
      <c r="E397" s="1">
        <v>25</v>
      </c>
      <c r="F397" s="1" t="s">
        <v>26</v>
      </c>
      <c r="G397" s="1" t="s">
        <v>45</v>
      </c>
      <c r="H397" s="1" t="s">
        <v>54</v>
      </c>
      <c r="I397" s="1" t="s">
        <v>29</v>
      </c>
      <c r="J397" s="7">
        <v>138724</v>
      </c>
      <c r="K397" s="1">
        <v>746</v>
      </c>
      <c r="L397" s="7">
        <v>38317</v>
      </c>
      <c r="M397" s="1">
        <v>60</v>
      </c>
      <c r="N397" s="6">
        <v>0.1845</v>
      </c>
      <c r="O397" s="1" t="s">
        <v>41</v>
      </c>
      <c r="P397" s="1" t="s">
        <v>30</v>
      </c>
      <c r="Q397" s="1">
        <v>28</v>
      </c>
      <c r="R397" s="1">
        <v>4</v>
      </c>
      <c r="S397" s="1" t="s">
        <v>31</v>
      </c>
      <c r="T397" s="1" t="s">
        <v>33</v>
      </c>
      <c r="U397" s="1">
        <v>4</v>
      </c>
      <c r="V397" s="1">
        <v>76981</v>
      </c>
      <c r="W397" s="7">
        <v>1383.11</v>
      </c>
      <c r="X397" s="1">
        <v>0.22</v>
      </c>
      <c r="Y397" s="4">
        <v>44090</v>
      </c>
      <c r="Z397" s="1" t="s">
        <v>32</v>
      </c>
      <c r="AA397" s="1" t="s">
        <v>33</v>
      </c>
      <c r="AB397" s="36" t="str" cm="1">
        <f t="array" ref="AB397">_xlfn.IFS(K397&gt;650,"LOW",K397&gt;=550,"MEDIUM",K397&lt;550,"HIGH")</f>
        <v>LOW</v>
      </c>
    </row>
    <row r="398" spans="3:28" x14ac:dyDescent="0.3">
      <c r="C398" s="35" t="s">
        <v>2312</v>
      </c>
      <c r="D398" s="1" t="s">
        <v>343</v>
      </c>
      <c r="E398" s="1">
        <v>41</v>
      </c>
      <c r="F398" s="1" t="s">
        <v>26</v>
      </c>
      <c r="G398" s="1" t="s">
        <v>35</v>
      </c>
      <c r="H398" s="1" t="s">
        <v>28</v>
      </c>
      <c r="I398" s="1" t="s">
        <v>40</v>
      </c>
      <c r="J398" s="7">
        <v>128574</v>
      </c>
      <c r="K398" s="1">
        <v>745</v>
      </c>
      <c r="L398" s="7">
        <v>6790</v>
      </c>
      <c r="M398" s="1">
        <v>48</v>
      </c>
      <c r="N398" s="6">
        <v>7.5800000000000006E-2</v>
      </c>
      <c r="O398" s="1" t="s">
        <v>37</v>
      </c>
      <c r="P398" s="1" t="s">
        <v>30</v>
      </c>
      <c r="Q398" s="1">
        <v>4</v>
      </c>
      <c r="R398" s="1">
        <v>0</v>
      </c>
      <c r="S398" s="1" t="s">
        <v>31</v>
      </c>
      <c r="T398" s="1" t="s">
        <v>31</v>
      </c>
      <c r="U398" s="1">
        <v>4</v>
      </c>
      <c r="V398" s="1">
        <v>49239</v>
      </c>
      <c r="W398" s="7">
        <v>541.28</v>
      </c>
      <c r="X398" s="1">
        <v>0.26</v>
      </c>
      <c r="Y398" s="4">
        <v>45577</v>
      </c>
      <c r="Z398" s="1" t="s">
        <v>38</v>
      </c>
      <c r="AA398" s="1" t="s">
        <v>33</v>
      </c>
      <c r="AB398" s="36" t="str" cm="1">
        <f t="array" ref="AB398">_xlfn.IFS(K398&gt;650,"LOW",K398&gt;=550,"MEDIUM",K398&lt;550,"HIGH")</f>
        <v>LOW</v>
      </c>
    </row>
    <row r="399" spans="3:28" x14ac:dyDescent="0.3">
      <c r="C399" s="35" t="s">
        <v>2500</v>
      </c>
      <c r="D399" s="1" t="s">
        <v>530</v>
      </c>
      <c r="E399" s="1">
        <v>60</v>
      </c>
      <c r="F399" s="1" t="s">
        <v>26</v>
      </c>
      <c r="G399" s="1" t="s">
        <v>27</v>
      </c>
      <c r="H399" s="1" t="s">
        <v>36</v>
      </c>
      <c r="I399" s="1" t="s">
        <v>57</v>
      </c>
      <c r="J399" s="7">
        <v>21849</v>
      </c>
      <c r="K399" s="1">
        <v>745</v>
      </c>
      <c r="L399" s="7">
        <v>4439</v>
      </c>
      <c r="M399" s="1">
        <v>12</v>
      </c>
      <c r="N399" s="6">
        <v>0.13769999999999999</v>
      </c>
      <c r="O399" s="1" t="s">
        <v>41</v>
      </c>
      <c r="P399" s="1" t="s">
        <v>30</v>
      </c>
      <c r="Q399" s="1">
        <v>15</v>
      </c>
      <c r="R399" s="1">
        <v>0</v>
      </c>
      <c r="S399" s="1" t="s">
        <v>33</v>
      </c>
      <c r="T399" s="1" t="s">
        <v>33</v>
      </c>
      <c r="U399" s="1">
        <v>1</v>
      </c>
      <c r="V399" s="1">
        <v>190790</v>
      </c>
      <c r="W399" s="7">
        <v>843.85</v>
      </c>
      <c r="X399" s="1">
        <v>0.25</v>
      </c>
      <c r="Y399" s="4">
        <v>45405</v>
      </c>
      <c r="Z399" s="1" t="s">
        <v>32</v>
      </c>
      <c r="AA399" s="1" t="s">
        <v>33</v>
      </c>
      <c r="AB399" s="36" t="str" cm="1">
        <f t="array" ref="AB399">_xlfn.IFS(K399&gt;650,"LOW",K399&gt;=550,"MEDIUM",K399&lt;550,"HIGH")</f>
        <v>LOW</v>
      </c>
    </row>
    <row r="400" spans="3:28" x14ac:dyDescent="0.3">
      <c r="C400" s="35" t="s">
        <v>3753</v>
      </c>
      <c r="D400" s="1" t="s">
        <v>1761</v>
      </c>
      <c r="E400" s="1">
        <v>60</v>
      </c>
      <c r="F400" s="1" t="s">
        <v>26</v>
      </c>
      <c r="G400" s="1" t="s">
        <v>56</v>
      </c>
      <c r="H400" s="1" t="s">
        <v>28</v>
      </c>
      <c r="I400" s="1" t="s">
        <v>40</v>
      </c>
      <c r="J400" s="7">
        <v>110201</v>
      </c>
      <c r="K400" s="1">
        <v>745</v>
      </c>
      <c r="L400" s="7">
        <v>18769</v>
      </c>
      <c r="M400" s="1">
        <v>60</v>
      </c>
      <c r="N400" s="6">
        <v>7.9500000000000001E-2</v>
      </c>
      <c r="O400" s="1" t="s">
        <v>41</v>
      </c>
      <c r="P400" s="1" t="s">
        <v>50</v>
      </c>
      <c r="Q400" s="1">
        <v>10</v>
      </c>
      <c r="R400" s="1">
        <v>0</v>
      </c>
      <c r="S400" s="1" t="s">
        <v>33</v>
      </c>
      <c r="T400" s="1" t="s">
        <v>31</v>
      </c>
      <c r="U400" s="1">
        <v>0</v>
      </c>
      <c r="V400" s="1">
        <v>60850</v>
      </c>
      <c r="W400" s="7">
        <v>1696.78</v>
      </c>
      <c r="X400" s="1">
        <v>0.91</v>
      </c>
      <c r="Y400" s="4">
        <v>44040</v>
      </c>
      <c r="Z400" s="1" t="s">
        <v>38</v>
      </c>
      <c r="AA400" s="1" t="s">
        <v>33</v>
      </c>
      <c r="AB400" s="36" t="str" cm="1">
        <f t="array" ref="AB400">_xlfn.IFS(K400&gt;650,"LOW",K400&gt;=550,"MEDIUM",K400&lt;550,"HIGH")</f>
        <v>LOW</v>
      </c>
    </row>
    <row r="401" spans="3:28" x14ac:dyDescent="0.3">
      <c r="C401" s="35" t="s">
        <v>3866</v>
      </c>
      <c r="D401" s="1" t="s">
        <v>1872</v>
      </c>
      <c r="E401" s="1">
        <v>56</v>
      </c>
      <c r="F401" s="1" t="s">
        <v>44</v>
      </c>
      <c r="G401" s="1" t="s">
        <v>35</v>
      </c>
      <c r="H401" s="1" t="s">
        <v>36</v>
      </c>
      <c r="I401" s="1" t="s">
        <v>29</v>
      </c>
      <c r="J401" s="7">
        <v>40982</v>
      </c>
      <c r="K401" s="1">
        <v>745</v>
      </c>
      <c r="L401" s="7">
        <v>31383</v>
      </c>
      <c r="M401" s="1">
        <v>12</v>
      </c>
      <c r="N401" s="6">
        <v>0.17749999999999999</v>
      </c>
      <c r="O401" s="1" t="s">
        <v>37</v>
      </c>
      <c r="P401" s="1" t="s">
        <v>47</v>
      </c>
      <c r="Q401" s="1">
        <v>28</v>
      </c>
      <c r="R401" s="1">
        <v>1</v>
      </c>
      <c r="S401" s="1" t="s">
        <v>31</v>
      </c>
      <c r="T401" s="1" t="s">
        <v>33</v>
      </c>
      <c r="U401" s="1">
        <v>2</v>
      </c>
      <c r="V401" s="1">
        <v>12464</v>
      </c>
      <c r="W401" s="7">
        <v>316.27999999999997</v>
      </c>
      <c r="X401" s="1">
        <v>0.16</v>
      </c>
      <c r="Y401" s="4">
        <v>45386</v>
      </c>
      <c r="Z401" s="1" t="s">
        <v>32</v>
      </c>
      <c r="AA401" s="1" t="s">
        <v>33</v>
      </c>
      <c r="AB401" s="36" t="str" cm="1">
        <f t="array" ref="AB401">_xlfn.IFS(K401&gt;650,"LOW",K401&gt;=550,"MEDIUM",K401&lt;550,"HIGH")</f>
        <v>LOW</v>
      </c>
    </row>
    <row r="402" spans="3:28" x14ac:dyDescent="0.3">
      <c r="C402" s="35" t="s">
        <v>2392</v>
      </c>
      <c r="D402" s="1" t="s">
        <v>422</v>
      </c>
      <c r="E402" s="1">
        <v>32</v>
      </c>
      <c r="F402" s="1" t="s">
        <v>26</v>
      </c>
      <c r="G402" s="1" t="s">
        <v>45</v>
      </c>
      <c r="H402" s="1" t="s">
        <v>54</v>
      </c>
      <c r="I402" s="1" t="s">
        <v>57</v>
      </c>
      <c r="J402" s="7">
        <v>98929</v>
      </c>
      <c r="K402" s="1">
        <v>744</v>
      </c>
      <c r="L402" s="7">
        <v>35964</v>
      </c>
      <c r="M402" s="1">
        <v>36</v>
      </c>
      <c r="N402" s="6">
        <v>0.18010000000000001</v>
      </c>
      <c r="O402" s="1" t="s">
        <v>52</v>
      </c>
      <c r="P402" s="1" t="s">
        <v>50</v>
      </c>
      <c r="Q402" s="1">
        <v>21</v>
      </c>
      <c r="R402" s="1">
        <v>1</v>
      </c>
      <c r="S402" s="1" t="s">
        <v>33</v>
      </c>
      <c r="T402" s="1" t="s">
        <v>31</v>
      </c>
      <c r="U402" s="1">
        <v>4</v>
      </c>
      <c r="V402" s="1">
        <v>150013</v>
      </c>
      <c r="W402" s="7">
        <v>1447.25</v>
      </c>
      <c r="X402" s="1">
        <v>0.13</v>
      </c>
      <c r="Y402" s="4">
        <v>45264</v>
      </c>
      <c r="Z402" s="1" t="s">
        <v>38</v>
      </c>
      <c r="AA402" s="1" t="s">
        <v>33</v>
      </c>
      <c r="AB402" s="36" t="str" cm="1">
        <f t="array" ref="AB402">_xlfn.IFS(K402&gt;650,"LOW",K402&gt;=550,"MEDIUM",K402&lt;550,"HIGH")</f>
        <v>LOW</v>
      </c>
    </row>
    <row r="403" spans="3:28" x14ac:dyDescent="0.3">
      <c r="C403" s="35" t="s">
        <v>2393</v>
      </c>
      <c r="D403" s="1" t="s">
        <v>423</v>
      </c>
      <c r="E403" s="1">
        <v>43</v>
      </c>
      <c r="F403" s="1" t="s">
        <v>44</v>
      </c>
      <c r="G403" s="1" t="s">
        <v>27</v>
      </c>
      <c r="H403" s="1" t="s">
        <v>36</v>
      </c>
      <c r="I403" s="1" t="s">
        <v>29</v>
      </c>
      <c r="J403" s="7">
        <v>89206</v>
      </c>
      <c r="K403" s="1">
        <v>744</v>
      </c>
      <c r="L403" s="7">
        <v>37234</v>
      </c>
      <c r="M403" s="1">
        <v>60</v>
      </c>
      <c r="N403" s="6">
        <v>9.9900000000000003E-2</v>
      </c>
      <c r="O403" s="1" t="s">
        <v>37</v>
      </c>
      <c r="P403" s="1" t="s">
        <v>47</v>
      </c>
      <c r="Q403" s="1">
        <v>23</v>
      </c>
      <c r="R403" s="1">
        <v>3</v>
      </c>
      <c r="S403" s="1" t="s">
        <v>33</v>
      </c>
      <c r="T403" s="1" t="s">
        <v>33</v>
      </c>
      <c r="U403" s="1">
        <v>0</v>
      </c>
      <c r="V403" s="1">
        <v>156091</v>
      </c>
      <c r="W403" s="7">
        <v>1217.28</v>
      </c>
      <c r="X403" s="1">
        <v>0.44</v>
      </c>
      <c r="Y403" s="4">
        <v>44656</v>
      </c>
      <c r="Z403" s="1" t="s">
        <v>38</v>
      </c>
      <c r="AA403" s="1" t="s">
        <v>33</v>
      </c>
      <c r="AB403" s="36" t="str" cm="1">
        <f t="array" ref="AB403">_xlfn.IFS(K403&gt;650,"LOW",K403&gt;=550,"MEDIUM",K403&lt;550,"HIGH")</f>
        <v>LOW</v>
      </c>
    </row>
    <row r="404" spans="3:28" x14ac:dyDescent="0.3">
      <c r="C404" s="35" t="s">
        <v>3180</v>
      </c>
      <c r="D404" s="1" t="s">
        <v>1204</v>
      </c>
      <c r="E404" s="1">
        <v>59</v>
      </c>
      <c r="F404" s="1" t="s">
        <v>44</v>
      </c>
      <c r="G404" s="1" t="s">
        <v>45</v>
      </c>
      <c r="H404" s="1" t="s">
        <v>54</v>
      </c>
      <c r="I404" s="1" t="s">
        <v>59</v>
      </c>
      <c r="J404" s="7">
        <v>61954</v>
      </c>
      <c r="K404" s="1">
        <v>744</v>
      </c>
      <c r="L404" s="7">
        <v>14056</v>
      </c>
      <c r="M404" s="1">
        <v>12</v>
      </c>
      <c r="N404" s="6">
        <v>9.4399999999999998E-2</v>
      </c>
      <c r="O404" s="1" t="s">
        <v>52</v>
      </c>
      <c r="P404" s="1" t="s">
        <v>30</v>
      </c>
      <c r="Q404" s="1">
        <v>4</v>
      </c>
      <c r="R404" s="1">
        <v>1</v>
      </c>
      <c r="S404" s="1" t="s">
        <v>31</v>
      </c>
      <c r="T404" s="1" t="s">
        <v>31</v>
      </c>
      <c r="U404" s="1">
        <v>0</v>
      </c>
      <c r="V404" s="1">
        <v>130920</v>
      </c>
      <c r="W404" s="7">
        <v>374.37</v>
      </c>
      <c r="X404" s="1">
        <v>0.27</v>
      </c>
      <c r="Y404" s="4">
        <v>44741</v>
      </c>
      <c r="Z404" s="1" t="s">
        <v>38</v>
      </c>
      <c r="AA404" s="1" t="s">
        <v>33</v>
      </c>
      <c r="AB404" s="36" t="str" cm="1">
        <f t="array" ref="AB404">_xlfn.IFS(K404&gt;650,"LOW",K404&gt;=550,"MEDIUM",K404&lt;550,"HIGH")</f>
        <v>LOW</v>
      </c>
    </row>
    <row r="405" spans="3:28" x14ac:dyDescent="0.3">
      <c r="C405" s="35" t="s">
        <v>3355</v>
      </c>
      <c r="D405" s="1" t="s">
        <v>1377</v>
      </c>
      <c r="E405" s="1">
        <v>57</v>
      </c>
      <c r="F405" s="1" t="s">
        <v>26</v>
      </c>
      <c r="G405" s="1" t="s">
        <v>27</v>
      </c>
      <c r="H405" s="1" t="s">
        <v>61</v>
      </c>
      <c r="I405" s="1" t="s">
        <v>29</v>
      </c>
      <c r="J405" s="7">
        <v>76247</v>
      </c>
      <c r="K405" s="1">
        <v>744</v>
      </c>
      <c r="L405" s="7">
        <v>16256</v>
      </c>
      <c r="M405" s="1">
        <v>24</v>
      </c>
      <c r="N405" s="6">
        <v>6.25E-2</v>
      </c>
      <c r="O405" s="1" t="s">
        <v>41</v>
      </c>
      <c r="P405" s="1" t="s">
        <v>30</v>
      </c>
      <c r="Q405" s="1">
        <v>27</v>
      </c>
      <c r="R405" s="1">
        <v>0</v>
      </c>
      <c r="S405" s="1" t="s">
        <v>31</v>
      </c>
      <c r="T405" s="1" t="s">
        <v>33</v>
      </c>
      <c r="U405" s="1">
        <v>0</v>
      </c>
      <c r="V405" s="1">
        <v>83442</v>
      </c>
      <c r="W405" s="7">
        <v>1164.28</v>
      </c>
      <c r="X405" s="1">
        <v>0.84</v>
      </c>
      <c r="Y405" s="4">
        <v>44132</v>
      </c>
      <c r="Z405" s="1" t="s">
        <v>32</v>
      </c>
      <c r="AA405" s="1" t="s">
        <v>31</v>
      </c>
      <c r="AB405" s="36" t="str" cm="1">
        <f t="array" ref="AB405">_xlfn.IFS(K405&gt;650,"LOW",K405&gt;=550,"MEDIUM",K405&lt;550,"HIGH")</f>
        <v>LOW</v>
      </c>
    </row>
    <row r="406" spans="3:28" x14ac:dyDescent="0.3">
      <c r="C406" s="35" t="s">
        <v>3418</v>
      </c>
      <c r="D406" s="1" t="s">
        <v>1438</v>
      </c>
      <c r="E406" s="1">
        <v>64</v>
      </c>
      <c r="F406" s="1" t="s">
        <v>44</v>
      </c>
      <c r="G406" s="1" t="s">
        <v>27</v>
      </c>
      <c r="H406" s="1" t="s">
        <v>28</v>
      </c>
      <c r="I406" s="1" t="s">
        <v>57</v>
      </c>
      <c r="J406" s="7">
        <v>64013</v>
      </c>
      <c r="K406" s="1">
        <v>744</v>
      </c>
      <c r="L406" s="7">
        <v>9062</v>
      </c>
      <c r="M406" s="1">
        <v>60</v>
      </c>
      <c r="N406" s="6">
        <v>0.14419999999999999</v>
      </c>
      <c r="O406" s="1" t="s">
        <v>52</v>
      </c>
      <c r="P406" s="1" t="s">
        <v>30</v>
      </c>
      <c r="Q406" s="1">
        <v>14</v>
      </c>
      <c r="R406" s="1">
        <v>3</v>
      </c>
      <c r="S406" s="1" t="s">
        <v>31</v>
      </c>
      <c r="T406" s="1" t="s">
        <v>33</v>
      </c>
      <c r="U406" s="1">
        <v>1</v>
      </c>
      <c r="V406" s="1">
        <v>9547</v>
      </c>
      <c r="W406" s="7">
        <v>197.32</v>
      </c>
      <c r="X406" s="1">
        <v>0.3</v>
      </c>
      <c r="Y406" s="4">
        <v>44092</v>
      </c>
      <c r="Z406" s="1" t="s">
        <v>38</v>
      </c>
      <c r="AA406" s="1" t="s">
        <v>33</v>
      </c>
      <c r="AB406" s="36" t="str" cm="1">
        <f t="array" ref="AB406">_xlfn.IFS(K406&gt;650,"LOW",K406&gt;=550,"MEDIUM",K406&lt;550,"HIGH")</f>
        <v>LOW</v>
      </c>
    </row>
    <row r="407" spans="3:28" x14ac:dyDescent="0.3">
      <c r="C407" s="35" t="s">
        <v>3545</v>
      </c>
      <c r="D407" s="1" t="s">
        <v>1562</v>
      </c>
      <c r="E407" s="1">
        <v>37</v>
      </c>
      <c r="F407" s="1" t="s">
        <v>44</v>
      </c>
      <c r="G407" s="1" t="s">
        <v>27</v>
      </c>
      <c r="H407" s="1" t="s">
        <v>54</v>
      </c>
      <c r="I407" s="1" t="s">
        <v>29</v>
      </c>
      <c r="J407" s="7">
        <v>35762</v>
      </c>
      <c r="K407" s="1">
        <v>744</v>
      </c>
      <c r="L407" s="7">
        <v>36183</v>
      </c>
      <c r="M407" s="1">
        <v>24</v>
      </c>
      <c r="N407" s="6">
        <v>0.15039999999999998</v>
      </c>
      <c r="O407" s="1" t="s">
        <v>46</v>
      </c>
      <c r="P407" s="1" t="s">
        <v>47</v>
      </c>
      <c r="Q407" s="1">
        <v>7</v>
      </c>
      <c r="R407" s="1">
        <v>1</v>
      </c>
      <c r="S407" s="1" t="s">
        <v>31</v>
      </c>
      <c r="T407" s="1" t="s">
        <v>33</v>
      </c>
      <c r="U407" s="1">
        <v>1</v>
      </c>
      <c r="V407" s="1">
        <v>87411</v>
      </c>
      <c r="W407" s="7">
        <v>1918.34</v>
      </c>
      <c r="X407" s="1">
        <v>0.71</v>
      </c>
      <c r="Y407" s="4">
        <v>45227</v>
      </c>
      <c r="Z407" s="1" t="s">
        <v>32</v>
      </c>
      <c r="AA407" s="1" t="s">
        <v>33</v>
      </c>
      <c r="AB407" s="36" t="str" cm="1">
        <f t="array" ref="AB407">_xlfn.IFS(K407&gt;650,"LOW",K407&gt;=550,"MEDIUM",K407&lt;550,"HIGH")</f>
        <v>LOW</v>
      </c>
    </row>
    <row r="408" spans="3:28" x14ac:dyDescent="0.3">
      <c r="C408" s="35" t="s">
        <v>2881</v>
      </c>
      <c r="D408" s="1" t="s">
        <v>909</v>
      </c>
      <c r="E408" s="1">
        <v>28</v>
      </c>
      <c r="F408" s="1" t="s">
        <v>26</v>
      </c>
      <c r="G408" s="1" t="s">
        <v>35</v>
      </c>
      <c r="H408" s="1" t="s">
        <v>54</v>
      </c>
      <c r="I408" s="1" t="s">
        <v>59</v>
      </c>
      <c r="J408" s="7">
        <v>86745</v>
      </c>
      <c r="K408" s="1">
        <v>743</v>
      </c>
      <c r="L408" s="7">
        <v>10862</v>
      </c>
      <c r="M408" s="1">
        <v>12</v>
      </c>
      <c r="N408" s="6">
        <v>0.182</v>
      </c>
      <c r="O408" s="1" t="s">
        <v>41</v>
      </c>
      <c r="P408" s="1" t="s">
        <v>30</v>
      </c>
      <c r="Q408" s="1">
        <v>15</v>
      </c>
      <c r="R408" s="1">
        <v>4</v>
      </c>
      <c r="S408" s="1" t="s">
        <v>31</v>
      </c>
      <c r="T408" s="1" t="s">
        <v>31</v>
      </c>
      <c r="U408" s="1">
        <v>0</v>
      </c>
      <c r="V408" s="1">
        <v>74457</v>
      </c>
      <c r="W408" s="7">
        <v>235.25</v>
      </c>
      <c r="X408" s="1">
        <v>0.75</v>
      </c>
      <c r="Y408" s="4">
        <v>44759</v>
      </c>
      <c r="Z408" s="1" t="s">
        <v>38</v>
      </c>
      <c r="AA408" s="1" t="s">
        <v>33</v>
      </c>
      <c r="AB408" s="36" t="str" cm="1">
        <f t="array" ref="AB408">_xlfn.IFS(K408&gt;650,"LOW",K408&gt;=550,"MEDIUM",K408&lt;550,"HIGH")</f>
        <v>LOW</v>
      </c>
    </row>
    <row r="409" spans="3:28" x14ac:dyDescent="0.3">
      <c r="C409" s="35" t="s">
        <v>3391</v>
      </c>
      <c r="D409" s="1" t="s">
        <v>1411</v>
      </c>
      <c r="E409" s="1">
        <v>35</v>
      </c>
      <c r="F409" s="1" t="s">
        <v>44</v>
      </c>
      <c r="G409" s="1" t="s">
        <v>56</v>
      </c>
      <c r="H409" s="1" t="s">
        <v>36</v>
      </c>
      <c r="I409" s="1" t="s">
        <v>40</v>
      </c>
      <c r="J409" s="7">
        <v>47472</v>
      </c>
      <c r="K409" s="1">
        <v>743</v>
      </c>
      <c r="L409" s="7">
        <v>25796</v>
      </c>
      <c r="M409" s="1">
        <v>48</v>
      </c>
      <c r="N409" s="6">
        <v>0.16899999999999998</v>
      </c>
      <c r="O409" s="1" t="s">
        <v>46</v>
      </c>
      <c r="P409" s="1" t="s">
        <v>30</v>
      </c>
      <c r="Q409" s="1">
        <v>4</v>
      </c>
      <c r="R409" s="1">
        <v>1</v>
      </c>
      <c r="S409" s="1" t="s">
        <v>33</v>
      </c>
      <c r="T409" s="1" t="s">
        <v>33</v>
      </c>
      <c r="U409" s="1">
        <v>3</v>
      </c>
      <c r="V409" s="1">
        <v>120527</v>
      </c>
      <c r="W409" s="7">
        <v>596.59</v>
      </c>
      <c r="X409" s="1">
        <v>0.24</v>
      </c>
      <c r="Y409" s="4">
        <v>44165</v>
      </c>
      <c r="Z409" s="1" t="s">
        <v>32</v>
      </c>
      <c r="AA409" s="1" t="s">
        <v>33</v>
      </c>
      <c r="AB409" s="36" t="str" cm="1">
        <f t="array" ref="AB409">_xlfn.IFS(K409&gt;650,"LOW",K409&gt;=550,"MEDIUM",K409&lt;550,"HIGH")</f>
        <v>LOW</v>
      </c>
    </row>
    <row r="410" spans="3:28" x14ac:dyDescent="0.3">
      <c r="C410" s="35" t="s">
        <v>2610</v>
      </c>
      <c r="D410" s="1" t="s">
        <v>640</v>
      </c>
      <c r="E410" s="1">
        <v>45</v>
      </c>
      <c r="F410" s="1" t="s">
        <v>26</v>
      </c>
      <c r="G410" s="1" t="s">
        <v>45</v>
      </c>
      <c r="H410" s="1" t="s">
        <v>54</v>
      </c>
      <c r="I410" s="1" t="s">
        <v>57</v>
      </c>
      <c r="J410" s="7">
        <v>65809</v>
      </c>
      <c r="K410" s="1">
        <v>742</v>
      </c>
      <c r="L410" s="7">
        <v>34529</v>
      </c>
      <c r="M410" s="1">
        <v>60</v>
      </c>
      <c r="N410" s="6">
        <v>0.17620000000000002</v>
      </c>
      <c r="O410" s="1" t="s">
        <v>41</v>
      </c>
      <c r="P410" s="1" t="s">
        <v>47</v>
      </c>
      <c r="Q410" s="1">
        <v>8</v>
      </c>
      <c r="R410" s="1">
        <v>1</v>
      </c>
      <c r="S410" s="1" t="s">
        <v>33</v>
      </c>
      <c r="T410" s="1" t="s">
        <v>31</v>
      </c>
      <c r="U410" s="1">
        <v>1</v>
      </c>
      <c r="V410" s="1">
        <v>65446</v>
      </c>
      <c r="W410" s="7">
        <v>884.49</v>
      </c>
      <c r="X410" s="1">
        <v>0.39</v>
      </c>
      <c r="Y410" s="4">
        <v>44830</v>
      </c>
      <c r="Z410" s="1" t="s">
        <v>32</v>
      </c>
      <c r="AA410" s="1" t="s">
        <v>33</v>
      </c>
      <c r="AB410" s="36" t="str" cm="1">
        <f t="array" ref="AB410">_xlfn.IFS(K410&gt;650,"LOW",K410&gt;=550,"MEDIUM",K410&lt;550,"HIGH")</f>
        <v>LOW</v>
      </c>
    </row>
    <row r="411" spans="3:28" x14ac:dyDescent="0.3">
      <c r="C411" s="35" t="s">
        <v>3177</v>
      </c>
      <c r="D411" s="1" t="s">
        <v>1201</v>
      </c>
      <c r="E411" s="1">
        <v>21</v>
      </c>
      <c r="F411" s="1" t="s">
        <v>26</v>
      </c>
      <c r="G411" s="1" t="s">
        <v>56</v>
      </c>
      <c r="H411" s="1" t="s">
        <v>36</v>
      </c>
      <c r="I411" s="1" t="s">
        <v>59</v>
      </c>
      <c r="J411" s="7">
        <v>95282</v>
      </c>
      <c r="K411" s="1">
        <v>742</v>
      </c>
      <c r="L411" s="7">
        <v>31276</v>
      </c>
      <c r="M411" s="1">
        <v>24</v>
      </c>
      <c r="N411" s="6">
        <v>0.14980000000000002</v>
      </c>
      <c r="O411" s="1" t="s">
        <v>41</v>
      </c>
      <c r="P411" s="1" t="s">
        <v>50</v>
      </c>
      <c r="Q411" s="1">
        <v>18</v>
      </c>
      <c r="R411" s="1">
        <v>4</v>
      </c>
      <c r="S411" s="1" t="s">
        <v>31</v>
      </c>
      <c r="T411" s="1" t="s">
        <v>31</v>
      </c>
      <c r="U411" s="1">
        <v>3</v>
      </c>
      <c r="V411" s="1">
        <v>157247</v>
      </c>
      <c r="W411" s="7">
        <v>618.16999999999996</v>
      </c>
      <c r="X411" s="1">
        <v>0.38</v>
      </c>
      <c r="Y411" s="4">
        <v>44197</v>
      </c>
      <c r="Z411" s="1" t="s">
        <v>38</v>
      </c>
      <c r="AA411" s="1" t="s">
        <v>33</v>
      </c>
      <c r="AB411" s="36" t="str" cm="1">
        <f t="array" ref="AB411">_xlfn.IFS(K411&gt;650,"LOW",K411&gt;=550,"MEDIUM",K411&lt;550,"HIGH")</f>
        <v>LOW</v>
      </c>
    </row>
    <row r="412" spans="3:28" x14ac:dyDescent="0.3">
      <c r="C412" s="35" t="s">
        <v>3686</v>
      </c>
      <c r="D412" s="1" t="s">
        <v>1697</v>
      </c>
      <c r="E412" s="1">
        <v>44</v>
      </c>
      <c r="F412" s="1" t="s">
        <v>26</v>
      </c>
      <c r="G412" s="1" t="s">
        <v>56</v>
      </c>
      <c r="H412" s="1" t="s">
        <v>36</v>
      </c>
      <c r="I412" s="1" t="s">
        <v>29</v>
      </c>
      <c r="J412" s="7">
        <v>50348</v>
      </c>
      <c r="K412" s="1">
        <v>742</v>
      </c>
      <c r="L412" s="7">
        <v>2081</v>
      </c>
      <c r="M412" s="1">
        <v>12</v>
      </c>
      <c r="N412" s="6">
        <v>7.2599999999999998E-2</v>
      </c>
      <c r="O412" s="1" t="s">
        <v>41</v>
      </c>
      <c r="P412" s="1" t="s">
        <v>50</v>
      </c>
      <c r="Q412" s="1">
        <v>18</v>
      </c>
      <c r="R412" s="1">
        <v>4</v>
      </c>
      <c r="S412" s="1" t="s">
        <v>33</v>
      </c>
      <c r="T412" s="1" t="s">
        <v>33</v>
      </c>
      <c r="U412" s="1">
        <v>2</v>
      </c>
      <c r="V412" s="1">
        <v>127748</v>
      </c>
      <c r="W412" s="7">
        <v>334.54</v>
      </c>
      <c r="X412" s="1">
        <v>0.76</v>
      </c>
      <c r="Y412" s="4">
        <v>44168</v>
      </c>
      <c r="Z412" s="1" t="s">
        <v>38</v>
      </c>
      <c r="AA412" s="1" t="s">
        <v>33</v>
      </c>
      <c r="AB412" s="36" t="str" cm="1">
        <f t="array" ref="AB412">_xlfn.IFS(K412&gt;650,"LOW",K412&gt;=550,"MEDIUM",K412&lt;550,"HIGH")</f>
        <v>LOW</v>
      </c>
    </row>
    <row r="413" spans="3:28" x14ac:dyDescent="0.3">
      <c r="C413" s="35" t="s">
        <v>3757</v>
      </c>
      <c r="D413" s="1" t="s">
        <v>1765</v>
      </c>
      <c r="E413" s="1">
        <v>53</v>
      </c>
      <c r="F413" s="1" t="s">
        <v>26</v>
      </c>
      <c r="G413" s="1" t="s">
        <v>35</v>
      </c>
      <c r="H413" s="1" t="s">
        <v>28</v>
      </c>
      <c r="I413" s="1" t="s">
        <v>59</v>
      </c>
      <c r="J413" s="7">
        <v>98177</v>
      </c>
      <c r="K413" s="1">
        <v>742</v>
      </c>
      <c r="L413" s="7">
        <v>47365</v>
      </c>
      <c r="M413" s="1">
        <v>12</v>
      </c>
      <c r="N413" s="6">
        <v>7.2000000000000008E-2</v>
      </c>
      <c r="O413" s="1" t="s">
        <v>37</v>
      </c>
      <c r="P413" s="1" t="s">
        <v>47</v>
      </c>
      <c r="Q413" s="1">
        <v>12</v>
      </c>
      <c r="R413" s="1">
        <v>4</v>
      </c>
      <c r="S413" s="1" t="s">
        <v>31</v>
      </c>
      <c r="T413" s="1" t="s">
        <v>33</v>
      </c>
      <c r="U413" s="1">
        <v>0</v>
      </c>
      <c r="V413" s="1">
        <v>89841</v>
      </c>
      <c r="W413" s="7">
        <v>1559.49</v>
      </c>
      <c r="X413" s="1">
        <v>0.91</v>
      </c>
      <c r="Y413" s="4">
        <v>44447</v>
      </c>
      <c r="Z413" s="1" t="s">
        <v>32</v>
      </c>
      <c r="AA413" s="1" t="s">
        <v>33</v>
      </c>
      <c r="AB413" s="36" t="str" cm="1">
        <f t="array" ref="AB413">_xlfn.IFS(K413&gt;650,"LOW",K413&gt;=550,"MEDIUM",K413&lt;550,"HIGH")</f>
        <v>LOW</v>
      </c>
    </row>
    <row r="414" spans="3:28" x14ac:dyDescent="0.3">
      <c r="C414" s="35" t="s">
        <v>3795</v>
      </c>
      <c r="D414" s="1" t="s">
        <v>1801</v>
      </c>
      <c r="E414" s="1">
        <v>24</v>
      </c>
      <c r="F414" s="1" t="s">
        <v>44</v>
      </c>
      <c r="G414" s="1" t="s">
        <v>45</v>
      </c>
      <c r="H414" s="1" t="s">
        <v>61</v>
      </c>
      <c r="I414" s="1" t="s">
        <v>59</v>
      </c>
      <c r="J414" s="7">
        <v>30860</v>
      </c>
      <c r="K414" s="1">
        <v>742</v>
      </c>
      <c r="L414" s="7">
        <v>13262</v>
      </c>
      <c r="M414" s="1">
        <v>24</v>
      </c>
      <c r="N414" s="6">
        <v>0.1464</v>
      </c>
      <c r="O414" s="1" t="s">
        <v>5</v>
      </c>
      <c r="P414" s="1" t="s">
        <v>30</v>
      </c>
      <c r="Q414" s="1">
        <v>14</v>
      </c>
      <c r="R414" s="1">
        <v>4</v>
      </c>
      <c r="S414" s="1" t="s">
        <v>31</v>
      </c>
      <c r="T414" s="1" t="s">
        <v>31</v>
      </c>
      <c r="U414" s="1">
        <v>2</v>
      </c>
      <c r="V414" s="1">
        <v>19856</v>
      </c>
      <c r="W414" s="7">
        <v>1624.3</v>
      </c>
      <c r="X414" s="1">
        <v>0.35</v>
      </c>
      <c r="Y414" s="4">
        <v>45495</v>
      </c>
      <c r="Z414" s="1" t="s">
        <v>32</v>
      </c>
      <c r="AA414" s="1" t="s">
        <v>31</v>
      </c>
      <c r="AB414" s="36" t="str" cm="1">
        <f t="array" ref="AB414">_xlfn.IFS(K414&gt;650,"LOW",K414&gt;=550,"MEDIUM",K414&lt;550,"HIGH")</f>
        <v>LOW</v>
      </c>
    </row>
    <row r="415" spans="3:28" x14ac:dyDescent="0.3">
      <c r="C415" s="35" t="s">
        <v>2305</v>
      </c>
      <c r="D415" s="1" t="s">
        <v>336</v>
      </c>
      <c r="E415" s="1">
        <v>36</v>
      </c>
      <c r="F415" s="1" t="s">
        <v>44</v>
      </c>
      <c r="G415" s="1" t="s">
        <v>56</v>
      </c>
      <c r="H415" s="1" t="s">
        <v>61</v>
      </c>
      <c r="I415" s="1" t="s">
        <v>57</v>
      </c>
      <c r="J415" s="7">
        <v>108916</v>
      </c>
      <c r="K415" s="1">
        <v>741</v>
      </c>
      <c r="L415" s="7">
        <v>7158</v>
      </c>
      <c r="M415" s="1">
        <v>48</v>
      </c>
      <c r="N415" s="6">
        <v>6.1600000000000002E-2</v>
      </c>
      <c r="O415" s="1" t="s">
        <v>52</v>
      </c>
      <c r="P415" s="1" t="s">
        <v>50</v>
      </c>
      <c r="Q415" s="1">
        <v>7</v>
      </c>
      <c r="R415" s="1">
        <v>1</v>
      </c>
      <c r="S415" s="1" t="s">
        <v>31</v>
      </c>
      <c r="T415" s="1" t="s">
        <v>31</v>
      </c>
      <c r="U415" s="1">
        <v>3</v>
      </c>
      <c r="V415" s="1">
        <v>142263</v>
      </c>
      <c r="W415" s="7">
        <v>1681</v>
      </c>
      <c r="X415" s="1">
        <v>0.21</v>
      </c>
      <c r="Y415" s="4">
        <v>44942</v>
      </c>
      <c r="Z415" s="1" t="s">
        <v>32</v>
      </c>
      <c r="AA415" s="1" t="s">
        <v>31</v>
      </c>
      <c r="AB415" s="36" t="str" cm="1">
        <f t="array" ref="AB415">_xlfn.IFS(K415&gt;650,"LOW",K415&gt;=550,"MEDIUM",K415&lt;550,"HIGH")</f>
        <v>LOW</v>
      </c>
    </row>
    <row r="416" spans="3:28" x14ac:dyDescent="0.3">
      <c r="C416" s="35" t="s">
        <v>2488</v>
      </c>
      <c r="D416" s="1" t="s">
        <v>518</v>
      </c>
      <c r="E416" s="1">
        <v>40</v>
      </c>
      <c r="F416" s="1" t="s">
        <v>44</v>
      </c>
      <c r="G416" s="1" t="s">
        <v>45</v>
      </c>
      <c r="H416" s="1" t="s">
        <v>61</v>
      </c>
      <c r="I416" s="1" t="s">
        <v>59</v>
      </c>
      <c r="J416" s="7">
        <v>70508</v>
      </c>
      <c r="K416" s="1">
        <v>741</v>
      </c>
      <c r="L416" s="7">
        <v>10465</v>
      </c>
      <c r="M416" s="1">
        <v>12</v>
      </c>
      <c r="N416" s="6">
        <v>0.1298</v>
      </c>
      <c r="O416" s="1" t="s">
        <v>52</v>
      </c>
      <c r="P416" s="1" t="s">
        <v>47</v>
      </c>
      <c r="Q416" s="1">
        <v>22</v>
      </c>
      <c r="R416" s="1">
        <v>4</v>
      </c>
      <c r="S416" s="1" t="s">
        <v>31</v>
      </c>
      <c r="T416" s="1" t="s">
        <v>31</v>
      </c>
      <c r="U416" s="1">
        <v>1</v>
      </c>
      <c r="V416" s="1">
        <v>170439</v>
      </c>
      <c r="W416" s="7">
        <v>1162.31</v>
      </c>
      <c r="X416" s="1">
        <v>0.65</v>
      </c>
      <c r="Y416" s="4">
        <v>44693</v>
      </c>
      <c r="Z416" s="1" t="s">
        <v>32</v>
      </c>
      <c r="AA416" s="1" t="s">
        <v>33</v>
      </c>
      <c r="AB416" s="36" t="str" cm="1">
        <f t="array" ref="AB416">_xlfn.IFS(K416&gt;650,"LOW",K416&gt;=550,"MEDIUM",K416&lt;550,"HIGH")</f>
        <v>LOW</v>
      </c>
    </row>
    <row r="417" spans="3:28" x14ac:dyDescent="0.3">
      <c r="C417" s="35" t="s">
        <v>2701</v>
      </c>
      <c r="D417" s="1" t="s">
        <v>731</v>
      </c>
      <c r="E417" s="1">
        <v>31</v>
      </c>
      <c r="F417" s="1" t="s">
        <v>26</v>
      </c>
      <c r="G417" s="1" t="s">
        <v>35</v>
      </c>
      <c r="H417" s="1" t="s">
        <v>61</v>
      </c>
      <c r="I417" s="1" t="s">
        <v>40</v>
      </c>
      <c r="J417" s="7">
        <v>133451</v>
      </c>
      <c r="K417" s="1">
        <v>741</v>
      </c>
      <c r="L417" s="7">
        <v>22686</v>
      </c>
      <c r="M417" s="1">
        <v>36</v>
      </c>
      <c r="N417" s="6">
        <v>5.4800000000000001E-2</v>
      </c>
      <c r="O417" s="1" t="s">
        <v>5</v>
      </c>
      <c r="P417" s="1" t="s">
        <v>47</v>
      </c>
      <c r="Q417" s="1">
        <v>20</v>
      </c>
      <c r="R417" s="1">
        <v>4</v>
      </c>
      <c r="S417" s="1" t="s">
        <v>33</v>
      </c>
      <c r="T417" s="1" t="s">
        <v>31</v>
      </c>
      <c r="U417" s="1">
        <v>4</v>
      </c>
      <c r="V417" s="1">
        <v>15373</v>
      </c>
      <c r="W417" s="7">
        <v>1877.35</v>
      </c>
      <c r="X417" s="1">
        <v>0.5</v>
      </c>
      <c r="Y417" s="4">
        <v>45688</v>
      </c>
      <c r="Z417" s="1" t="s">
        <v>38</v>
      </c>
      <c r="AA417" s="1" t="s">
        <v>33</v>
      </c>
      <c r="AB417" s="36" t="str" cm="1">
        <f t="array" ref="AB417">_xlfn.IFS(K417&gt;650,"LOW",K417&gt;=550,"MEDIUM",K417&lt;550,"HIGH")</f>
        <v>LOW</v>
      </c>
    </row>
    <row r="418" spans="3:28" x14ac:dyDescent="0.3">
      <c r="C418" s="35" t="s">
        <v>2815</v>
      </c>
      <c r="D418" s="1" t="s">
        <v>843</v>
      </c>
      <c r="E418" s="1">
        <v>62</v>
      </c>
      <c r="F418" s="1" t="s">
        <v>26</v>
      </c>
      <c r="G418" s="1" t="s">
        <v>45</v>
      </c>
      <c r="H418" s="1" t="s">
        <v>54</v>
      </c>
      <c r="I418" s="1" t="s">
        <v>57</v>
      </c>
      <c r="J418" s="7">
        <v>32305</v>
      </c>
      <c r="K418" s="1">
        <v>741</v>
      </c>
      <c r="L418" s="7">
        <v>34894</v>
      </c>
      <c r="M418" s="1">
        <v>12</v>
      </c>
      <c r="N418" s="6">
        <v>0.1714</v>
      </c>
      <c r="O418" s="1" t="s">
        <v>41</v>
      </c>
      <c r="P418" s="1" t="s">
        <v>47</v>
      </c>
      <c r="Q418" s="1">
        <v>1</v>
      </c>
      <c r="R418" s="1">
        <v>0</v>
      </c>
      <c r="S418" s="1" t="s">
        <v>31</v>
      </c>
      <c r="T418" s="1" t="s">
        <v>33</v>
      </c>
      <c r="U418" s="1">
        <v>1</v>
      </c>
      <c r="V418" s="1">
        <v>137845</v>
      </c>
      <c r="W418" s="7">
        <v>951.01</v>
      </c>
      <c r="X418" s="1">
        <v>0.32</v>
      </c>
      <c r="Y418" s="4">
        <v>44044</v>
      </c>
      <c r="Z418" s="1" t="s">
        <v>38</v>
      </c>
      <c r="AA418" s="1" t="s">
        <v>33</v>
      </c>
      <c r="AB418" s="36" t="str" cm="1">
        <f t="array" ref="AB418">_xlfn.IFS(K418&gt;650,"LOW",K418&gt;=550,"MEDIUM",K418&lt;550,"HIGH")</f>
        <v>LOW</v>
      </c>
    </row>
    <row r="419" spans="3:28" x14ac:dyDescent="0.3">
      <c r="C419" s="35" t="s">
        <v>2845</v>
      </c>
      <c r="D419" s="1" t="s">
        <v>873</v>
      </c>
      <c r="E419" s="1">
        <v>34</v>
      </c>
      <c r="F419" s="1" t="s">
        <v>44</v>
      </c>
      <c r="G419" s="1" t="s">
        <v>27</v>
      </c>
      <c r="H419" s="1" t="s">
        <v>28</v>
      </c>
      <c r="I419" s="1" t="s">
        <v>40</v>
      </c>
      <c r="J419" s="7">
        <v>73693</v>
      </c>
      <c r="K419" s="1">
        <v>741</v>
      </c>
      <c r="L419" s="7">
        <v>27179</v>
      </c>
      <c r="M419" s="1">
        <v>48</v>
      </c>
      <c r="N419" s="6">
        <v>0.16639999999999999</v>
      </c>
      <c r="O419" s="1" t="s">
        <v>52</v>
      </c>
      <c r="P419" s="1" t="s">
        <v>47</v>
      </c>
      <c r="Q419" s="1">
        <v>17</v>
      </c>
      <c r="R419" s="1">
        <v>4</v>
      </c>
      <c r="S419" s="1" t="s">
        <v>33</v>
      </c>
      <c r="T419" s="1" t="s">
        <v>33</v>
      </c>
      <c r="U419" s="1">
        <v>0</v>
      </c>
      <c r="V419" s="1">
        <v>187924</v>
      </c>
      <c r="W419" s="7">
        <v>1887.15</v>
      </c>
      <c r="X419" s="1">
        <v>0.45</v>
      </c>
      <c r="Y419" s="4">
        <v>44898</v>
      </c>
      <c r="Z419" s="1" t="s">
        <v>38</v>
      </c>
      <c r="AA419" s="1" t="s">
        <v>31</v>
      </c>
      <c r="AB419" s="36" t="str" cm="1">
        <f t="array" ref="AB419">_xlfn.IFS(K419&gt;650,"LOW",K419&gt;=550,"MEDIUM",K419&lt;550,"HIGH")</f>
        <v>LOW</v>
      </c>
    </row>
    <row r="420" spans="3:28" x14ac:dyDescent="0.3">
      <c r="C420" s="35" t="s">
        <v>2039</v>
      </c>
      <c r="D420" s="1" t="s">
        <v>70</v>
      </c>
      <c r="E420" s="1">
        <v>64</v>
      </c>
      <c r="F420" s="1" t="s">
        <v>26</v>
      </c>
      <c r="G420" s="1" t="s">
        <v>56</v>
      </c>
      <c r="H420" s="1" t="s">
        <v>36</v>
      </c>
      <c r="I420" s="1" t="s">
        <v>57</v>
      </c>
      <c r="J420" s="7">
        <v>87084</v>
      </c>
      <c r="K420" s="1">
        <v>740</v>
      </c>
      <c r="L420" s="7">
        <v>15294</v>
      </c>
      <c r="M420" s="1">
        <v>36</v>
      </c>
      <c r="N420" s="6">
        <v>0.17519999999999999</v>
      </c>
      <c r="O420" s="1" t="s">
        <v>52</v>
      </c>
      <c r="P420" s="1" t="s">
        <v>47</v>
      </c>
      <c r="Q420" s="1">
        <v>5</v>
      </c>
      <c r="R420" s="1">
        <v>4</v>
      </c>
      <c r="S420" s="1" t="s">
        <v>31</v>
      </c>
      <c r="T420" s="1" t="s">
        <v>33</v>
      </c>
      <c r="U420" s="1">
        <v>3</v>
      </c>
      <c r="V420" s="1">
        <v>55674</v>
      </c>
      <c r="W420" s="7">
        <v>1606.54</v>
      </c>
      <c r="X420" s="1">
        <v>0.12</v>
      </c>
      <c r="Y420" s="4">
        <v>45665</v>
      </c>
      <c r="Z420" s="1" t="s">
        <v>38</v>
      </c>
      <c r="AA420" s="1" t="s">
        <v>31</v>
      </c>
      <c r="AB420" s="36" t="str" cm="1">
        <f t="array" ref="AB420">_xlfn.IFS(K420&gt;650,"LOW",K420&gt;=550,"MEDIUM",K420&lt;550,"HIGH")</f>
        <v>LOW</v>
      </c>
    </row>
    <row r="421" spans="3:28" x14ac:dyDescent="0.3">
      <c r="C421" s="35" t="s">
        <v>2289</v>
      </c>
      <c r="D421" s="1" t="s">
        <v>320</v>
      </c>
      <c r="E421" s="1">
        <v>44</v>
      </c>
      <c r="F421" s="1" t="s">
        <v>44</v>
      </c>
      <c r="G421" s="1" t="s">
        <v>35</v>
      </c>
      <c r="H421" s="1" t="s">
        <v>28</v>
      </c>
      <c r="I421" s="1" t="s">
        <v>29</v>
      </c>
      <c r="J421" s="7">
        <v>106373</v>
      </c>
      <c r="K421" s="1">
        <v>740</v>
      </c>
      <c r="L421" s="7">
        <v>36268</v>
      </c>
      <c r="M421" s="1">
        <v>48</v>
      </c>
      <c r="N421" s="6">
        <v>0.19269999999999998</v>
      </c>
      <c r="O421" s="1" t="s">
        <v>52</v>
      </c>
      <c r="P421" s="1" t="s">
        <v>30</v>
      </c>
      <c r="Q421" s="1">
        <v>17</v>
      </c>
      <c r="R421" s="1">
        <v>0</v>
      </c>
      <c r="S421" s="1" t="s">
        <v>33</v>
      </c>
      <c r="T421" s="1" t="s">
        <v>33</v>
      </c>
      <c r="U421" s="1">
        <v>4</v>
      </c>
      <c r="V421" s="1">
        <v>7825</v>
      </c>
      <c r="W421" s="7">
        <v>262.45</v>
      </c>
      <c r="X421" s="1">
        <v>0.36</v>
      </c>
      <c r="Y421" s="4">
        <v>44763</v>
      </c>
      <c r="Z421" s="1" t="s">
        <v>32</v>
      </c>
      <c r="AA421" s="1" t="s">
        <v>31</v>
      </c>
      <c r="AB421" s="36" t="str" cm="1">
        <f t="array" ref="AB421">_xlfn.IFS(K421&gt;650,"LOW",K421&gt;=550,"MEDIUM",K421&lt;550,"HIGH")</f>
        <v>LOW</v>
      </c>
    </row>
    <row r="422" spans="3:28" x14ac:dyDescent="0.3">
      <c r="C422" s="35" t="s">
        <v>3367</v>
      </c>
      <c r="D422" s="1" t="s">
        <v>1389</v>
      </c>
      <c r="E422" s="1">
        <v>43</v>
      </c>
      <c r="F422" s="1" t="s">
        <v>44</v>
      </c>
      <c r="G422" s="1" t="s">
        <v>45</v>
      </c>
      <c r="H422" s="1" t="s">
        <v>61</v>
      </c>
      <c r="I422" s="1" t="s">
        <v>29</v>
      </c>
      <c r="J422" s="7">
        <v>66228</v>
      </c>
      <c r="K422" s="1">
        <v>740</v>
      </c>
      <c r="L422" s="7">
        <v>9730</v>
      </c>
      <c r="M422" s="1">
        <v>36</v>
      </c>
      <c r="N422" s="6">
        <v>0.10869999999999999</v>
      </c>
      <c r="O422" s="1" t="s">
        <v>41</v>
      </c>
      <c r="P422" s="1" t="s">
        <v>30</v>
      </c>
      <c r="Q422" s="1">
        <v>17</v>
      </c>
      <c r="R422" s="1">
        <v>3</v>
      </c>
      <c r="S422" s="1" t="s">
        <v>31</v>
      </c>
      <c r="T422" s="1" t="s">
        <v>31</v>
      </c>
      <c r="U422" s="1">
        <v>3</v>
      </c>
      <c r="V422" s="1">
        <v>182833</v>
      </c>
      <c r="W422" s="7">
        <v>1235.93</v>
      </c>
      <c r="X422" s="1">
        <v>0.61</v>
      </c>
      <c r="Y422" s="4">
        <v>45234</v>
      </c>
      <c r="Z422" s="1" t="s">
        <v>32</v>
      </c>
      <c r="AA422" s="1" t="s">
        <v>33</v>
      </c>
      <c r="AB422" s="36" t="str" cm="1">
        <f t="array" ref="AB422">_xlfn.IFS(K422&gt;650,"LOW",K422&gt;=550,"MEDIUM",K422&lt;550,"HIGH")</f>
        <v>LOW</v>
      </c>
    </row>
    <row r="423" spans="3:28" x14ac:dyDescent="0.3">
      <c r="C423" s="35" t="s">
        <v>3133</v>
      </c>
      <c r="D423" s="1" t="s">
        <v>1158</v>
      </c>
      <c r="E423" s="1">
        <v>64</v>
      </c>
      <c r="F423" s="1" t="s">
        <v>26</v>
      </c>
      <c r="G423" s="1" t="s">
        <v>56</v>
      </c>
      <c r="H423" s="1" t="s">
        <v>54</v>
      </c>
      <c r="I423" s="1" t="s">
        <v>40</v>
      </c>
      <c r="J423" s="7">
        <v>40539</v>
      </c>
      <c r="K423" s="1">
        <v>739</v>
      </c>
      <c r="L423" s="7">
        <v>23320</v>
      </c>
      <c r="M423" s="1">
        <v>24</v>
      </c>
      <c r="N423" s="6">
        <v>0.14400000000000002</v>
      </c>
      <c r="O423" s="1" t="s">
        <v>41</v>
      </c>
      <c r="P423" s="1" t="s">
        <v>50</v>
      </c>
      <c r="Q423" s="1">
        <v>16</v>
      </c>
      <c r="R423" s="1">
        <v>0</v>
      </c>
      <c r="S423" s="1" t="s">
        <v>31</v>
      </c>
      <c r="T423" s="1" t="s">
        <v>31</v>
      </c>
      <c r="U423" s="1">
        <v>0</v>
      </c>
      <c r="V423" s="1">
        <v>84622</v>
      </c>
      <c r="W423" s="7">
        <v>1522.77</v>
      </c>
      <c r="X423" s="1">
        <v>0.97</v>
      </c>
      <c r="Y423" s="4">
        <v>44412</v>
      </c>
      <c r="Z423" s="1" t="s">
        <v>32</v>
      </c>
      <c r="AA423" s="1" t="s">
        <v>33</v>
      </c>
      <c r="AB423" s="36" t="str" cm="1">
        <f t="array" ref="AB423">_xlfn.IFS(K423&gt;650,"LOW",K423&gt;=550,"MEDIUM",K423&lt;550,"HIGH")</f>
        <v>LOW</v>
      </c>
    </row>
    <row r="424" spans="3:28" x14ac:dyDescent="0.3">
      <c r="C424" s="35" t="s">
        <v>3208</v>
      </c>
      <c r="D424" s="1" t="s">
        <v>1232</v>
      </c>
      <c r="E424" s="1">
        <v>34</v>
      </c>
      <c r="F424" s="1" t="s">
        <v>26</v>
      </c>
      <c r="G424" s="1" t="s">
        <v>35</v>
      </c>
      <c r="H424" s="1" t="s">
        <v>28</v>
      </c>
      <c r="I424" s="1" t="s">
        <v>59</v>
      </c>
      <c r="J424" s="7">
        <v>114731</v>
      </c>
      <c r="K424" s="1">
        <v>739</v>
      </c>
      <c r="L424" s="7">
        <v>14397</v>
      </c>
      <c r="M424" s="1">
        <v>36</v>
      </c>
      <c r="N424" s="6">
        <v>0.1242</v>
      </c>
      <c r="O424" s="1" t="s">
        <v>63</v>
      </c>
      <c r="P424" s="1" t="s">
        <v>47</v>
      </c>
      <c r="Q424" s="1">
        <v>13</v>
      </c>
      <c r="R424" s="1">
        <v>3</v>
      </c>
      <c r="S424" s="1" t="s">
        <v>31</v>
      </c>
      <c r="T424" s="1" t="s">
        <v>33</v>
      </c>
      <c r="U424" s="1">
        <v>0</v>
      </c>
      <c r="V424" s="1">
        <v>9646</v>
      </c>
      <c r="W424" s="7">
        <v>166.81</v>
      </c>
      <c r="X424" s="1">
        <v>0.41</v>
      </c>
      <c r="Y424" s="4">
        <v>45700</v>
      </c>
      <c r="Z424" s="1" t="s">
        <v>38</v>
      </c>
      <c r="AA424" s="1" t="s">
        <v>33</v>
      </c>
      <c r="AB424" s="36" t="str" cm="1">
        <f t="array" ref="AB424">_xlfn.IFS(K424&gt;650,"LOW",K424&gt;=550,"MEDIUM",K424&lt;550,"HIGH")</f>
        <v>LOW</v>
      </c>
    </row>
    <row r="425" spans="3:28" x14ac:dyDescent="0.3">
      <c r="C425" s="35" t="s">
        <v>3554</v>
      </c>
      <c r="D425" s="1" t="s">
        <v>1571</v>
      </c>
      <c r="E425" s="1">
        <v>33</v>
      </c>
      <c r="F425" s="1" t="s">
        <v>26</v>
      </c>
      <c r="G425" s="1" t="s">
        <v>45</v>
      </c>
      <c r="H425" s="1" t="s">
        <v>61</v>
      </c>
      <c r="I425" s="1" t="s">
        <v>29</v>
      </c>
      <c r="J425" s="7">
        <v>106339</v>
      </c>
      <c r="K425" s="1">
        <v>739</v>
      </c>
      <c r="L425" s="7">
        <v>24457</v>
      </c>
      <c r="M425" s="1">
        <v>12</v>
      </c>
      <c r="N425" s="6">
        <v>0.1298</v>
      </c>
      <c r="O425" s="1" t="s">
        <v>5</v>
      </c>
      <c r="P425" s="1" t="s">
        <v>50</v>
      </c>
      <c r="Q425" s="1">
        <v>23</v>
      </c>
      <c r="R425" s="1">
        <v>0</v>
      </c>
      <c r="S425" s="1" t="s">
        <v>33</v>
      </c>
      <c r="T425" s="1" t="s">
        <v>31</v>
      </c>
      <c r="U425" s="1">
        <v>0</v>
      </c>
      <c r="V425" s="1">
        <v>195219</v>
      </c>
      <c r="W425" s="7">
        <v>1303.2</v>
      </c>
      <c r="X425" s="1">
        <v>0.48</v>
      </c>
      <c r="Y425" s="4">
        <v>44412</v>
      </c>
      <c r="Z425" s="1" t="s">
        <v>32</v>
      </c>
      <c r="AA425" s="1" t="s">
        <v>33</v>
      </c>
      <c r="AB425" s="36" t="str" cm="1">
        <f t="array" ref="AB425">_xlfn.IFS(K425&gt;650,"LOW",K425&gt;=550,"MEDIUM",K425&lt;550,"HIGH")</f>
        <v>LOW</v>
      </c>
    </row>
    <row r="426" spans="3:28" x14ac:dyDescent="0.3">
      <c r="C426" s="35" t="s">
        <v>3621</v>
      </c>
      <c r="D426" s="1" t="s">
        <v>1634</v>
      </c>
      <c r="E426" s="1">
        <v>47</v>
      </c>
      <c r="F426" s="1" t="s">
        <v>44</v>
      </c>
      <c r="G426" s="1" t="s">
        <v>56</v>
      </c>
      <c r="H426" s="1" t="s">
        <v>54</v>
      </c>
      <c r="I426" s="1" t="s">
        <v>29</v>
      </c>
      <c r="J426" s="7">
        <v>52312</v>
      </c>
      <c r="K426" s="1">
        <v>739</v>
      </c>
      <c r="L426" s="7">
        <v>44023</v>
      </c>
      <c r="M426" s="1">
        <v>60</v>
      </c>
      <c r="N426" s="6">
        <v>6.1500000000000006E-2</v>
      </c>
      <c r="O426" s="1" t="s">
        <v>5</v>
      </c>
      <c r="P426" s="1" t="s">
        <v>47</v>
      </c>
      <c r="Q426" s="1">
        <v>12</v>
      </c>
      <c r="R426" s="1">
        <v>0</v>
      </c>
      <c r="S426" s="1" t="s">
        <v>33</v>
      </c>
      <c r="T426" s="1" t="s">
        <v>33</v>
      </c>
      <c r="U426" s="1">
        <v>2</v>
      </c>
      <c r="V426" s="1">
        <v>182069</v>
      </c>
      <c r="W426" s="7">
        <v>174.79</v>
      </c>
      <c r="X426" s="1">
        <v>0.87</v>
      </c>
      <c r="Y426" s="4">
        <v>44410</v>
      </c>
      <c r="Z426" s="1" t="s">
        <v>32</v>
      </c>
      <c r="AA426" s="1" t="s">
        <v>33</v>
      </c>
      <c r="AB426" s="36" t="str" cm="1">
        <f t="array" ref="AB426">_xlfn.IFS(K426&gt;650,"LOW",K426&gt;=550,"MEDIUM",K426&lt;550,"HIGH")</f>
        <v>LOW</v>
      </c>
    </row>
    <row r="427" spans="3:28" x14ac:dyDescent="0.3">
      <c r="C427" s="35" t="s">
        <v>3771</v>
      </c>
      <c r="D427" s="1" t="s">
        <v>1778</v>
      </c>
      <c r="E427" s="1">
        <v>35</v>
      </c>
      <c r="F427" s="1" t="s">
        <v>44</v>
      </c>
      <c r="G427" s="1" t="s">
        <v>35</v>
      </c>
      <c r="H427" s="1" t="s">
        <v>61</v>
      </c>
      <c r="I427" s="1" t="s">
        <v>29</v>
      </c>
      <c r="J427" s="7">
        <v>94353</v>
      </c>
      <c r="K427" s="1">
        <v>739</v>
      </c>
      <c r="L427" s="7">
        <v>9599</v>
      </c>
      <c r="M427" s="1">
        <v>48</v>
      </c>
      <c r="N427" s="6">
        <v>0.1565</v>
      </c>
      <c r="O427" s="1" t="s">
        <v>52</v>
      </c>
      <c r="P427" s="1" t="s">
        <v>47</v>
      </c>
      <c r="Q427" s="1">
        <v>29</v>
      </c>
      <c r="R427" s="1">
        <v>2</v>
      </c>
      <c r="S427" s="1" t="s">
        <v>33</v>
      </c>
      <c r="T427" s="1" t="s">
        <v>33</v>
      </c>
      <c r="U427" s="1">
        <v>1</v>
      </c>
      <c r="V427" s="1">
        <v>133488</v>
      </c>
      <c r="W427" s="7">
        <v>1992.78</v>
      </c>
      <c r="X427" s="1">
        <v>0.16</v>
      </c>
      <c r="Y427" s="4">
        <v>44024</v>
      </c>
      <c r="Z427" s="1" t="s">
        <v>38</v>
      </c>
      <c r="AA427" s="1" t="s">
        <v>33</v>
      </c>
      <c r="AB427" s="36" t="str" cm="1">
        <f t="array" ref="AB427">_xlfn.IFS(K427&gt;650,"LOW",K427&gt;=550,"MEDIUM",K427&lt;550,"HIGH")</f>
        <v>LOW</v>
      </c>
    </row>
    <row r="428" spans="3:28" x14ac:dyDescent="0.3">
      <c r="C428" s="35" t="s">
        <v>2088</v>
      </c>
      <c r="D428" s="1" t="s">
        <v>119</v>
      </c>
      <c r="E428" s="1">
        <v>30</v>
      </c>
      <c r="F428" s="1" t="s">
        <v>26</v>
      </c>
      <c r="G428" s="1" t="s">
        <v>27</v>
      </c>
      <c r="H428" s="1" t="s">
        <v>36</v>
      </c>
      <c r="I428" s="1" t="s">
        <v>59</v>
      </c>
      <c r="J428" s="7">
        <v>89526</v>
      </c>
      <c r="K428" s="1">
        <v>738</v>
      </c>
      <c r="L428" s="7">
        <v>19164</v>
      </c>
      <c r="M428" s="1">
        <v>48</v>
      </c>
      <c r="N428" s="6">
        <v>9.1600000000000001E-2</v>
      </c>
      <c r="O428" s="1" t="s">
        <v>46</v>
      </c>
      <c r="P428" s="1" t="s">
        <v>30</v>
      </c>
      <c r="Q428" s="1">
        <v>25</v>
      </c>
      <c r="R428" s="1">
        <v>2</v>
      </c>
      <c r="S428" s="1" t="s">
        <v>31</v>
      </c>
      <c r="T428" s="1" t="s">
        <v>31</v>
      </c>
      <c r="U428" s="1">
        <v>4</v>
      </c>
      <c r="V428" s="1">
        <v>177327</v>
      </c>
      <c r="W428" s="7">
        <v>1929.44</v>
      </c>
      <c r="X428" s="1">
        <v>0.23</v>
      </c>
      <c r="Y428" s="4">
        <v>44280</v>
      </c>
      <c r="Z428" s="1" t="s">
        <v>32</v>
      </c>
      <c r="AA428" s="1" t="s">
        <v>33</v>
      </c>
      <c r="AB428" s="36" t="str" cm="1">
        <f t="array" ref="AB428">_xlfn.IFS(K428&gt;650,"LOW",K428&gt;=550,"MEDIUM",K428&lt;550,"HIGH")</f>
        <v>LOW</v>
      </c>
    </row>
    <row r="429" spans="3:28" x14ac:dyDescent="0.3">
      <c r="C429" s="35" t="s">
        <v>2429</v>
      </c>
      <c r="D429" s="1" t="s">
        <v>459</v>
      </c>
      <c r="E429" s="1">
        <v>46</v>
      </c>
      <c r="F429" s="1" t="s">
        <v>44</v>
      </c>
      <c r="G429" s="1" t="s">
        <v>45</v>
      </c>
      <c r="H429" s="1" t="s">
        <v>28</v>
      </c>
      <c r="I429" s="1" t="s">
        <v>59</v>
      </c>
      <c r="J429" s="7">
        <v>40002</v>
      </c>
      <c r="K429" s="1">
        <v>738</v>
      </c>
      <c r="L429" s="7">
        <v>13342</v>
      </c>
      <c r="M429" s="1">
        <v>24</v>
      </c>
      <c r="N429" s="6">
        <v>0.15990000000000001</v>
      </c>
      <c r="O429" s="1" t="s">
        <v>37</v>
      </c>
      <c r="P429" s="1" t="s">
        <v>47</v>
      </c>
      <c r="Q429" s="1">
        <v>20</v>
      </c>
      <c r="R429" s="1">
        <v>0</v>
      </c>
      <c r="S429" s="1" t="s">
        <v>31</v>
      </c>
      <c r="T429" s="1" t="s">
        <v>33</v>
      </c>
      <c r="U429" s="1">
        <v>2</v>
      </c>
      <c r="V429" s="1">
        <v>186195</v>
      </c>
      <c r="W429" s="7">
        <v>1258.32</v>
      </c>
      <c r="X429" s="1">
        <v>0.87</v>
      </c>
      <c r="Y429" s="4">
        <v>45403</v>
      </c>
      <c r="Z429" s="1" t="s">
        <v>32</v>
      </c>
      <c r="AA429" s="1" t="s">
        <v>31</v>
      </c>
      <c r="AB429" s="36" t="str" cm="1">
        <f t="array" ref="AB429">_xlfn.IFS(K429&gt;650,"LOW",K429&gt;=550,"MEDIUM",K429&lt;550,"HIGH")</f>
        <v>LOW</v>
      </c>
    </row>
    <row r="430" spans="3:28" x14ac:dyDescent="0.3">
      <c r="C430" s="35" t="s">
        <v>3399</v>
      </c>
      <c r="D430" s="1" t="s">
        <v>1419</v>
      </c>
      <c r="E430" s="1">
        <v>50</v>
      </c>
      <c r="F430" s="1" t="s">
        <v>44</v>
      </c>
      <c r="G430" s="1" t="s">
        <v>56</v>
      </c>
      <c r="H430" s="1" t="s">
        <v>54</v>
      </c>
      <c r="I430" s="1" t="s">
        <v>59</v>
      </c>
      <c r="J430" s="7">
        <v>122795</v>
      </c>
      <c r="K430" s="1">
        <v>738</v>
      </c>
      <c r="L430" s="7">
        <v>24171</v>
      </c>
      <c r="M430" s="1">
        <v>48</v>
      </c>
      <c r="N430" s="6">
        <v>0.13140000000000002</v>
      </c>
      <c r="O430" s="1" t="s">
        <v>46</v>
      </c>
      <c r="P430" s="1" t="s">
        <v>50</v>
      </c>
      <c r="Q430" s="1">
        <v>9</v>
      </c>
      <c r="R430" s="1">
        <v>0</v>
      </c>
      <c r="S430" s="1" t="s">
        <v>31</v>
      </c>
      <c r="T430" s="1" t="s">
        <v>33</v>
      </c>
      <c r="U430" s="1">
        <v>3</v>
      </c>
      <c r="V430" s="1">
        <v>166488</v>
      </c>
      <c r="W430" s="7">
        <v>1227.3399999999999</v>
      </c>
      <c r="X430" s="1">
        <v>0.46</v>
      </c>
      <c r="Y430" s="4">
        <v>45378</v>
      </c>
      <c r="Z430" s="1" t="s">
        <v>32</v>
      </c>
      <c r="AA430" s="1" t="s">
        <v>33</v>
      </c>
      <c r="AB430" s="36" t="str" cm="1">
        <f t="array" ref="AB430">_xlfn.IFS(K430&gt;650,"LOW",K430&gt;=550,"MEDIUM",K430&lt;550,"HIGH")</f>
        <v>LOW</v>
      </c>
    </row>
    <row r="431" spans="3:28" x14ac:dyDescent="0.3">
      <c r="C431" s="35" t="s">
        <v>3540</v>
      </c>
      <c r="D431" s="1" t="s">
        <v>1557</v>
      </c>
      <c r="E431" s="1">
        <v>57</v>
      </c>
      <c r="F431" s="1" t="s">
        <v>26</v>
      </c>
      <c r="G431" s="1" t="s">
        <v>27</v>
      </c>
      <c r="H431" s="1" t="s">
        <v>36</v>
      </c>
      <c r="I431" s="1" t="s">
        <v>29</v>
      </c>
      <c r="J431" s="7">
        <v>119096</v>
      </c>
      <c r="K431" s="1">
        <v>738</v>
      </c>
      <c r="L431" s="7">
        <v>35721</v>
      </c>
      <c r="M431" s="1">
        <v>48</v>
      </c>
      <c r="N431" s="6">
        <v>0.18629999999999999</v>
      </c>
      <c r="O431" s="1" t="s">
        <v>37</v>
      </c>
      <c r="P431" s="1" t="s">
        <v>30</v>
      </c>
      <c r="Q431" s="1">
        <v>27</v>
      </c>
      <c r="R431" s="1">
        <v>3</v>
      </c>
      <c r="S431" s="1" t="s">
        <v>31</v>
      </c>
      <c r="T431" s="1" t="s">
        <v>31</v>
      </c>
      <c r="U431" s="1">
        <v>1</v>
      </c>
      <c r="V431" s="1">
        <v>151808</v>
      </c>
      <c r="W431" s="7">
        <v>254.33</v>
      </c>
      <c r="X431" s="1">
        <v>0.71</v>
      </c>
      <c r="Y431" s="4">
        <v>45534</v>
      </c>
      <c r="Z431" s="1" t="s">
        <v>32</v>
      </c>
      <c r="AA431" s="1" t="s">
        <v>33</v>
      </c>
      <c r="AB431" s="36" t="str" cm="1">
        <f t="array" ref="AB431">_xlfn.IFS(K431&gt;650,"LOW",K431&gt;=550,"MEDIUM",K431&lt;550,"HIGH")</f>
        <v>LOW</v>
      </c>
    </row>
    <row r="432" spans="3:28" x14ac:dyDescent="0.3">
      <c r="C432" s="35" t="s">
        <v>2214</v>
      </c>
      <c r="D432" s="1" t="s">
        <v>245</v>
      </c>
      <c r="E432" s="1">
        <v>37</v>
      </c>
      <c r="F432" s="1" t="s">
        <v>44</v>
      </c>
      <c r="G432" s="1" t="s">
        <v>27</v>
      </c>
      <c r="H432" s="1" t="s">
        <v>61</v>
      </c>
      <c r="I432" s="1" t="s">
        <v>57</v>
      </c>
      <c r="J432" s="7">
        <v>149638</v>
      </c>
      <c r="K432" s="1">
        <v>737</v>
      </c>
      <c r="L432" s="7">
        <v>43471</v>
      </c>
      <c r="M432" s="1">
        <v>60</v>
      </c>
      <c r="N432" s="6">
        <v>0.1358</v>
      </c>
      <c r="O432" s="1" t="s">
        <v>5</v>
      </c>
      <c r="P432" s="1" t="s">
        <v>30</v>
      </c>
      <c r="Q432" s="1">
        <v>9</v>
      </c>
      <c r="R432" s="1">
        <v>3</v>
      </c>
      <c r="S432" s="1" t="s">
        <v>31</v>
      </c>
      <c r="T432" s="1" t="s">
        <v>31</v>
      </c>
      <c r="U432" s="1">
        <v>4</v>
      </c>
      <c r="V432" s="1">
        <v>158625</v>
      </c>
      <c r="W432" s="7">
        <v>1742.39</v>
      </c>
      <c r="X432" s="1">
        <v>0.66</v>
      </c>
      <c r="Y432" s="4">
        <v>44830</v>
      </c>
      <c r="Z432" s="1" t="s">
        <v>32</v>
      </c>
      <c r="AA432" s="1" t="s">
        <v>33</v>
      </c>
      <c r="AB432" s="36" t="str" cm="1">
        <f t="array" ref="AB432">_xlfn.IFS(K432&gt;650,"LOW",K432&gt;=550,"MEDIUM",K432&lt;550,"HIGH")</f>
        <v>LOW</v>
      </c>
    </row>
    <row r="433" spans="3:28" x14ac:dyDescent="0.3">
      <c r="C433" s="35" t="s">
        <v>3179</v>
      </c>
      <c r="D433" s="1" t="s">
        <v>1203</v>
      </c>
      <c r="E433" s="1">
        <v>49</v>
      </c>
      <c r="F433" s="1" t="s">
        <v>26</v>
      </c>
      <c r="G433" s="1" t="s">
        <v>56</v>
      </c>
      <c r="H433" s="1" t="s">
        <v>61</v>
      </c>
      <c r="I433" s="1" t="s">
        <v>57</v>
      </c>
      <c r="J433" s="7">
        <v>114533</v>
      </c>
      <c r="K433" s="1">
        <v>737</v>
      </c>
      <c r="L433" s="7">
        <v>11060</v>
      </c>
      <c r="M433" s="1">
        <v>12</v>
      </c>
      <c r="N433" s="6">
        <v>0.1439</v>
      </c>
      <c r="O433" s="1" t="s">
        <v>5</v>
      </c>
      <c r="P433" s="1" t="s">
        <v>50</v>
      </c>
      <c r="Q433" s="1">
        <v>7</v>
      </c>
      <c r="R433" s="1">
        <v>2</v>
      </c>
      <c r="S433" s="1" t="s">
        <v>33</v>
      </c>
      <c r="T433" s="1" t="s">
        <v>33</v>
      </c>
      <c r="U433" s="1">
        <v>0</v>
      </c>
      <c r="V433" s="1">
        <v>127799</v>
      </c>
      <c r="W433" s="7">
        <v>268.69</v>
      </c>
      <c r="X433" s="1">
        <v>0.54</v>
      </c>
      <c r="Y433" s="4">
        <v>44442</v>
      </c>
      <c r="Z433" s="1" t="s">
        <v>38</v>
      </c>
      <c r="AA433" s="1" t="s">
        <v>33</v>
      </c>
      <c r="AB433" s="36" t="str" cm="1">
        <f t="array" ref="AB433">_xlfn.IFS(K433&gt;650,"LOW",K433&gt;=550,"MEDIUM",K433&lt;550,"HIGH")</f>
        <v>LOW</v>
      </c>
    </row>
    <row r="434" spans="3:28" x14ac:dyDescent="0.3">
      <c r="C434" s="35" t="s">
        <v>3370</v>
      </c>
      <c r="D434" s="1" t="s">
        <v>1392</v>
      </c>
      <c r="E434" s="1">
        <v>26</v>
      </c>
      <c r="F434" s="1" t="s">
        <v>44</v>
      </c>
      <c r="G434" s="1" t="s">
        <v>35</v>
      </c>
      <c r="H434" s="1" t="s">
        <v>61</v>
      </c>
      <c r="I434" s="1" t="s">
        <v>57</v>
      </c>
      <c r="J434" s="7">
        <v>140811</v>
      </c>
      <c r="K434" s="1">
        <v>737</v>
      </c>
      <c r="L434" s="7">
        <v>4925</v>
      </c>
      <c r="M434" s="1">
        <v>36</v>
      </c>
      <c r="N434" s="6">
        <v>0.1946</v>
      </c>
      <c r="O434" s="1" t="s">
        <v>52</v>
      </c>
      <c r="P434" s="1" t="s">
        <v>30</v>
      </c>
      <c r="Q434" s="1">
        <v>12</v>
      </c>
      <c r="R434" s="1">
        <v>2</v>
      </c>
      <c r="S434" s="1" t="s">
        <v>31</v>
      </c>
      <c r="T434" s="1" t="s">
        <v>33</v>
      </c>
      <c r="U434" s="1">
        <v>3</v>
      </c>
      <c r="V434" s="1">
        <v>134191</v>
      </c>
      <c r="W434" s="7">
        <v>1644.91</v>
      </c>
      <c r="X434" s="1">
        <v>0.69</v>
      </c>
      <c r="Y434" s="4">
        <v>45805</v>
      </c>
      <c r="Z434" s="1" t="s">
        <v>38</v>
      </c>
      <c r="AA434" s="1" t="s">
        <v>33</v>
      </c>
      <c r="AB434" s="36" t="str" cm="1">
        <f t="array" ref="AB434">_xlfn.IFS(K434&gt;650,"LOW",K434&gt;=550,"MEDIUM",K434&lt;550,"HIGH")</f>
        <v>LOW</v>
      </c>
    </row>
    <row r="435" spans="3:28" x14ac:dyDescent="0.3">
      <c r="C435" s="35" t="s">
        <v>3588</v>
      </c>
      <c r="D435" s="1" t="s">
        <v>1602</v>
      </c>
      <c r="E435" s="1">
        <v>49</v>
      </c>
      <c r="F435" s="1" t="s">
        <v>26</v>
      </c>
      <c r="G435" s="1" t="s">
        <v>27</v>
      </c>
      <c r="H435" s="1" t="s">
        <v>28</v>
      </c>
      <c r="I435" s="1" t="s">
        <v>29</v>
      </c>
      <c r="J435" s="7">
        <v>129934</v>
      </c>
      <c r="K435" s="1">
        <v>737</v>
      </c>
      <c r="L435" s="7">
        <v>16660</v>
      </c>
      <c r="M435" s="1">
        <v>12</v>
      </c>
      <c r="N435" s="6">
        <v>6.7799999999999999E-2</v>
      </c>
      <c r="O435" s="1" t="s">
        <v>5</v>
      </c>
      <c r="P435" s="1" t="s">
        <v>50</v>
      </c>
      <c r="Q435" s="1">
        <v>27</v>
      </c>
      <c r="R435" s="1">
        <v>4</v>
      </c>
      <c r="S435" s="1" t="s">
        <v>31</v>
      </c>
      <c r="T435" s="1" t="s">
        <v>33</v>
      </c>
      <c r="U435" s="1">
        <v>3</v>
      </c>
      <c r="V435" s="1">
        <v>5258</v>
      </c>
      <c r="W435" s="7">
        <v>764</v>
      </c>
      <c r="X435" s="1">
        <v>0.37</v>
      </c>
      <c r="Y435" s="4">
        <v>44430</v>
      </c>
      <c r="Z435" s="1" t="s">
        <v>32</v>
      </c>
      <c r="AA435" s="1" t="s">
        <v>33</v>
      </c>
      <c r="AB435" s="36" t="str" cm="1">
        <f t="array" ref="AB435">_xlfn.IFS(K435&gt;650,"LOW",K435&gt;=550,"MEDIUM",K435&lt;550,"HIGH")</f>
        <v>LOW</v>
      </c>
    </row>
    <row r="436" spans="3:28" x14ac:dyDescent="0.3">
      <c r="C436" s="35" t="s">
        <v>3602</v>
      </c>
      <c r="D436" s="1" t="s">
        <v>1616</v>
      </c>
      <c r="E436" s="1">
        <v>26</v>
      </c>
      <c r="F436" s="1" t="s">
        <v>44</v>
      </c>
      <c r="G436" s="1" t="s">
        <v>35</v>
      </c>
      <c r="H436" s="1" t="s">
        <v>28</v>
      </c>
      <c r="I436" s="1" t="s">
        <v>59</v>
      </c>
      <c r="J436" s="7">
        <v>76325</v>
      </c>
      <c r="K436" s="1">
        <v>737</v>
      </c>
      <c r="L436" s="7">
        <v>43703</v>
      </c>
      <c r="M436" s="1">
        <v>60</v>
      </c>
      <c r="N436" s="6">
        <v>0.1384</v>
      </c>
      <c r="O436" s="1" t="s">
        <v>41</v>
      </c>
      <c r="P436" s="1" t="s">
        <v>30</v>
      </c>
      <c r="Q436" s="1">
        <v>16</v>
      </c>
      <c r="R436" s="1">
        <v>0</v>
      </c>
      <c r="S436" s="1" t="s">
        <v>33</v>
      </c>
      <c r="T436" s="1" t="s">
        <v>33</v>
      </c>
      <c r="U436" s="1">
        <v>2</v>
      </c>
      <c r="V436" s="1">
        <v>175407</v>
      </c>
      <c r="W436" s="7">
        <v>701.21</v>
      </c>
      <c r="X436" s="1">
        <v>0.99</v>
      </c>
      <c r="Y436" s="4">
        <v>45135</v>
      </c>
      <c r="Z436" s="1" t="s">
        <v>32</v>
      </c>
      <c r="AA436" s="1" t="s">
        <v>33</v>
      </c>
      <c r="AB436" s="36" t="str" cm="1">
        <f t="array" ref="AB436">_xlfn.IFS(K436&gt;650,"LOW",K436&gt;=550,"MEDIUM",K436&lt;550,"HIGH")</f>
        <v>LOW</v>
      </c>
    </row>
    <row r="437" spans="3:28" x14ac:dyDescent="0.3">
      <c r="C437" s="35" t="s">
        <v>3194</v>
      </c>
      <c r="D437" s="1" t="s">
        <v>1218</v>
      </c>
      <c r="E437" s="1">
        <v>21</v>
      </c>
      <c r="F437" s="1" t="s">
        <v>44</v>
      </c>
      <c r="G437" s="1" t="s">
        <v>45</v>
      </c>
      <c r="H437" s="1" t="s">
        <v>28</v>
      </c>
      <c r="I437" s="1" t="s">
        <v>57</v>
      </c>
      <c r="J437" s="7">
        <v>43769</v>
      </c>
      <c r="K437" s="1">
        <v>736</v>
      </c>
      <c r="L437" s="7">
        <v>5781</v>
      </c>
      <c r="M437" s="1">
        <v>48</v>
      </c>
      <c r="N437" s="6">
        <v>0.1678</v>
      </c>
      <c r="O437" s="1" t="s">
        <v>5</v>
      </c>
      <c r="P437" s="1" t="s">
        <v>50</v>
      </c>
      <c r="Q437" s="1">
        <v>5</v>
      </c>
      <c r="R437" s="1">
        <v>2</v>
      </c>
      <c r="S437" s="1" t="s">
        <v>31</v>
      </c>
      <c r="T437" s="1" t="s">
        <v>31</v>
      </c>
      <c r="U437" s="1">
        <v>4</v>
      </c>
      <c r="V437" s="1">
        <v>41715</v>
      </c>
      <c r="W437" s="7">
        <v>986.55</v>
      </c>
      <c r="X437" s="1">
        <v>0.24</v>
      </c>
      <c r="Y437" s="4">
        <v>45502</v>
      </c>
      <c r="Z437" s="1" t="s">
        <v>38</v>
      </c>
      <c r="AA437" s="1" t="s">
        <v>31</v>
      </c>
      <c r="AB437" s="36" t="str" cm="1">
        <f t="array" ref="AB437">_xlfn.IFS(K437&gt;650,"LOW",K437&gt;=550,"MEDIUM",K437&lt;550,"HIGH")</f>
        <v>LOW</v>
      </c>
    </row>
    <row r="438" spans="3:28" x14ac:dyDescent="0.3">
      <c r="C438" s="35" t="s">
        <v>3947</v>
      </c>
      <c r="D438" s="1" t="s">
        <v>1949</v>
      </c>
      <c r="E438" s="1">
        <v>63</v>
      </c>
      <c r="F438" s="1" t="s">
        <v>26</v>
      </c>
      <c r="G438" s="1" t="s">
        <v>27</v>
      </c>
      <c r="H438" s="1" t="s">
        <v>54</v>
      </c>
      <c r="I438" s="1" t="s">
        <v>59</v>
      </c>
      <c r="J438" s="7">
        <v>48205</v>
      </c>
      <c r="K438" s="1">
        <v>736</v>
      </c>
      <c r="L438" s="7">
        <v>38436</v>
      </c>
      <c r="M438" s="1">
        <v>36</v>
      </c>
      <c r="N438" s="6">
        <v>0.15179999999999999</v>
      </c>
      <c r="O438" s="1" t="s">
        <v>5</v>
      </c>
      <c r="P438" s="1" t="s">
        <v>47</v>
      </c>
      <c r="Q438" s="1">
        <v>29</v>
      </c>
      <c r="R438" s="1">
        <v>0</v>
      </c>
      <c r="S438" s="1" t="s">
        <v>33</v>
      </c>
      <c r="T438" s="1" t="s">
        <v>33</v>
      </c>
      <c r="U438" s="1">
        <v>4</v>
      </c>
      <c r="V438" s="1">
        <v>26414</v>
      </c>
      <c r="W438" s="7">
        <v>1710.89</v>
      </c>
      <c r="X438" s="1">
        <v>0.24</v>
      </c>
      <c r="Y438" s="4">
        <v>44552</v>
      </c>
      <c r="Z438" s="1" t="s">
        <v>38</v>
      </c>
      <c r="AA438" s="1" t="s">
        <v>33</v>
      </c>
      <c r="AB438" s="36" t="str" cm="1">
        <f t="array" ref="AB438">_xlfn.IFS(K438&gt;650,"LOW",K438&gt;=550,"MEDIUM",K438&lt;550,"HIGH")</f>
        <v>LOW</v>
      </c>
    </row>
    <row r="439" spans="3:28" x14ac:dyDescent="0.3">
      <c r="C439" s="35" t="s">
        <v>2473</v>
      </c>
      <c r="D439" s="1" t="s">
        <v>503</v>
      </c>
      <c r="E439" s="1">
        <v>54</v>
      </c>
      <c r="F439" s="1" t="s">
        <v>26</v>
      </c>
      <c r="G439" s="1" t="s">
        <v>27</v>
      </c>
      <c r="H439" s="1" t="s">
        <v>54</v>
      </c>
      <c r="I439" s="1" t="s">
        <v>40</v>
      </c>
      <c r="J439" s="7">
        <v>107908</v>
      </c>
      <c r="K439" s="1">
        <v>735</v>
      </c>
      <c r="L439" s="7">
        <v>49127</v>
      </c>
      <c r="M439" s="1">
        <v>36</v>
      </c>
      <c r="N439" s="6">
        <v>0.14510000000000001</v>
      </c>
      <c r="O439" s="1" t="s">
        <v>5</v>
      </c>
      <c r="P439" s="1" t="s">
        <v>47</v>
      </c>
      <c r="Q439" s="1">
        <v>11</v>
      </c>
      <c r="R439" s="1">
        <v>1</v>
      </c>
      <c r="S439" s="1" t="s">
        <v>33</v>
      </c>
      <c r="T439" s="1" t="s">
        <v>31</v>
      </c>
      <c r="U439" s="1">
        <v>2</v>
      </c>
      <c r="V439" s="1">
        <v>57454</v>
      </c>
      <c r="W439" s="7">
        <v>1792.96</v>
      </c>
      <c r="X439" s="1">
        <v>0.6</v>
      </c>
      <c r="Y439" s="4">
        <v>45524</v>
      </c>
      <c r="Z439" s="1" t="s">
        <v>32</v>
      </c>
      <c r="AA439" s="1" t="s">
        <v>33</v>
      </c>
      <c r="AB439" s="36" t="str" cm="1">
        <f t="array" ref="AB439">_xlfn.IFS(K439&gt;650,"LOW",K439&gt;=550,"MEDIUM",K439&lt;550,"HIGH")</f>
        <v>LOW</v>
      </c>
    </row>
    <row r="440" spans="3:28" x14ac:dyDescent="0.3">
      <c r="C440" s="35" t="s">
        <v>2724</v>
      </c>
      <c r="D440" s="1" t="s">
        <v>754</v>
      </c>
      <c r="E440" s="1">
        <v>57</v>
      </c>
      <c r="F440" s="1" t="s">
        <v>44</v>
      </c>
      <c r="G440" s="1" t="s">
        <v>27</v>
      </c>
      <c r="H440" s="1" t="s">
        <v>36</v>
      </c>
      <c r="I440" s="1" t="s">
        <v>57</v>
      </c>
      <c r="J440" s="7">
        <v>74469</v>
      </c>
      <c r="K440" s="1">
        <v>735</v>
      </c>
      <c r="L440" s="7">
        <v>25578</v>
      </c>
      <c r="M440" s="1">
        <v>12</v>
      </c>
      <c r="N440" s="6">
        <v>0.11609999999999999</v>
      </c>
      <c r="O440" s="1" t="s">
        <v>52</v>
      </c>
      <c r="P440" s="1" t="s">
        <v>47</v>
      </c>
      <c r="Q440" s="1">
        <v>14</v>
      </c>
      <c r="R440" s="1">
        <v>0</v>
      </c>
      <c r="S440" s="1" t="s">
        <v>31</v>
      </c>
      <c r="T440" s="1" t="s">
        <v>31</v>
      </c>
      <c r="U440" s="1">
        <v>1</v>
      </c>
      <c r="V440" s="1">
        <v>55119</v>
      </c>
      <c r="W440" s="7">
        <v>306.47000000000003</v>
      </c>
      <c r="X440" s="1">
        <v>0.82</v>
      </c>
      <c r="Y440" s="4">
        <v>44594</v>
      </c>
      <c r="Z440" s="1" t="s">
        <v>32</v>
      </c>
      <c r="AA440" s="1" t="s">
        <v>33</v>
      </c>
      <c r="AB440" s="36" t="str" cm="1">
        <f t="array" ref="AB440">_xlfn.IFS(K440&gt;650,"LOW",K440&gt;=550,"MEDIUM",K440&lt;550,"HIGH")</f>
        <v>LOW</v>
      </c>
    </row>
    <row r="441" spans="3:28" x14ac:dyDescent="0.3">
      <c r="C441" s="35" t="s">
        <v>3161</v>
      </c>
      <c r="D441" s="1" t="s">
        <v>1185</v>
      </c>
      <c r="E441" s="1">
        <v>52</v>
      </c>
      <c r="F441" s="1" t="s">
        <v>44</v>
      </c>
      <c r="G441" s="1" t="s">
        <v>56</v>
      </c>
      <c r="H441" s="1" t="s">
        <v>61</v>
      </c>
      <c r="I441" s="1" t="s">
        <v>57</v>
      </c>
      <c r="J441" s="7">
        <v>123863</v>
      </c>
      <c r="K441" s="1">
        <v>735</v>
      </c>
      <c r="L441" s="7">
        <v>39796</v>
      </c>
      <c r="M441" s="1">
        <v>24</v>
      </c>
      <c r="N441" s="6">
        <v>0.18729999999999999</v>
      </c>
      <c r="O441" s="1" t="s">
        <v>41</v>
      </c>
      <c r="P441" s="1" t="s">
        <v>50</v>
      </c>
      <c r="Q441" s="1">
        <v>22</v>
      </c>
      <c r="R441" s="1">
        <v>2</v>
      </c>
      <c r="S441" s="1" t="s">
        <v>31</v>
      </c>
      <c r="T441" s="1" t="s">
        <v>31</v>
      </c>
      <c r="U441" s="1">
        <v>2</v>
      </c>
      <c r="V441" s="1">
        <v>32116</v>
      </c>
      <c r="W441" s="7">
        <v>432.83</v>
      </c>
      <c r="X441" s="1">
        <v>0.26</v>
      </c>
      <c r="Y441" s="4">
        <v>45761</v>
      </c>
      <c r="Z441" s="1" t="s">
        <v>38</v>
      </c>
      <c r="AA441" s="1" t="s">
        <v>33</v>
      </c>
      <c r="AB441" s="36" t="str" cm="1">
        <f t="array" ref="AB441">_xlfn.IFS(K441&gt;650,"LOW",K441&gt;=550,"MEDIUM",K441&lt;550,"HIGH")</f>
        <v>LOW</v>
      </c>
    </row>
    <row r="442" spans="3:28" x14ac:dyDescent="0.3">
      <c r="C442" s="35" t="s">
        <v>3478</v>
      </c>
      <c r="D442" s="1" t="s">
        <v>1496</v>
      </c>
      <c r="E442" s="1">
        <v>54</v>
      </c>
      <c r="F442" s="1" t="s">
        <v>26</v>
      </c>
      <c r="G442" s="1" t="s">
        <v>27</v>
      </c>
      <c r="H442" s="1" t="s">
        <v>54</v>
      </c>
      <c r="I442" s="1" t="s">
        <v>40</v>
      </c>
      <c r="J442" s="7">
        <v>116583</v>
      </c>
      <c r="K442" s="1">
        <v>735</v>
      </c>
      <c r="L442" s="7">
        <v>19161</v>
      </c>
      <c r="M442" s="1">
        <v>24</v>
      </c>
      <c r="N442" s="6">
        <v>0.18379999999999999</v>
      </c>
      <c r="O442" s="1" t="s">
        <v>37</v>
      </c>
      <c r="P442" s="1" t="s">
        <v>47</v>
      </c>
      <c r="Q442" s="1">
        <v>1</v>
      </c>
      <c r="R442" s="1">
        <v>0</v>
      </c>
      <c r="S442" s="1" t="s">
        <v>31</v>
      </c>
      <c r="T442" s="1" t="s">
        <v>33</v>
      </c>
      <c r="U442" s="1">
        <v>2</v>
      </c>
      <c r="V442" s="1">
        <v>48067</v>
      </c>
      <c r="W442" s="7">
        <v>1044</v>
      </c>
      <c r="X442" s="1">
        <v>0.65</v>
      </c>
      <c r="Y442" s="4">
        <v>44185</v>
      </c>
      <c r="Z442" s="1" t="s">
        <v>38</v>
      </c>
      <c r="AA442" s="1" t="s">
        <v>33</v>
      </c>
      <c r="AB442" s="36" t="str" cm="1">
        <f t="array" ref="AB442">_xlfn.IFS(K442&gt;650,"LOW",K442&gt;=550,"MEDIUM",K442&lt;550,"HIGH")</f>
        <v>LOW</v>
      </c>
    </row>
    <row r="443" spans="3:28" x14ac:dyDescent="0.3">
      <c r="C443" s="35" t="s">
        <v>2700</v>
      </c>
      <c r="D443" s="1" t="s">
        <v>730</v>
      </c>
      <c r="E443" s="1">
        <v>52</v>
      </c>
      <c r="F443" s="1" t="s">
        <v>44</v>
      </c>
      <c r="G443" s="1" t="s">
        <v>27</v>
      </c>
      <c r="H443" s="1" t="s">
        <v>28</v>
      </c>
      <c r="I443" s="1" t="s">
        <v>57</v>
      </c>
      <c r="J443" s="7">
        <v>70281</v>
      </c>
      <c r="K443" s="1">
        <v>734</v>
      </c>
      <c r="L443" s="7">
        <v>10228</v>
      </c>
      <c r="M443" s="1">
        <v>48</v>
      </c>
      <c r="N443" s="6">
        <v>7.8399999999999997E-2</v>
      </c>
      <c r="O443" s="1" t="s">
        <v>41</v>
      </c>
      <c r="P443" s="1" t="s">
        <v>47</v>
      </c>
      <c r="Q443" s="1">
        <v>2</v>
      </c>
      <c r="R443" s="1">
        <v>4</v>
      </c>
      <c r="S443" s="1" t="s">
        <v>31</v>
      </c>
      <c r="T443" s="1" t="s">
        <v>31</v>
      </c>
      <c r="U443" s="1">
        <v>3</v>
      </c>
      <c r="V443" s="1">
        <v>60631</v>
      </c>
      <c r="W443" s="7">
        <v>1980.67</v>
      </c>
      <c r="X443" s="1">
        <v>0.77</v>
      </c>
      <c r="Y443" s="4">
        <v>44931</v>
      </c>
      <c r="Z443" s="1" t="s">
        <v>38</v>
      </c>
      <c r="AA443" s="1" t="s">
        <v>33</v>
      </c>
      <c r="AB443" s="36" t="str" cm="1">
        <f t="array" ref="AB443">_xlfn.IFS(K443&gt;650,"LOW",K443&gt;=550,"MEDIUM",K443&lt;550,"HIGH")</f>
        <v>LOW</v>
      </c>
    </row>
    <row r="444" spans="3:28" x14ac:dyDescent="0.3">
      <c r="C444" s="35" t="s">
        <v>3324</v>
      </c>
      <c r="D444" s="1" t="s">
        <v>1347</v>
      </c>
      <c r="E444" s="1">
        <v>40</v>
      </c>
      <c r="F444" s="1" t="s">
        <v>26</v>
      </c>
      <c r="G444" s="1" t="s">
        <v>56</v>
      </c>
      <c r="H444" s="1" t="s">
        <v>61</v>
      </c>
      <c r="I444" s="1" t="s">
        <v>59</v>
      </c>
      <c r="J444" s="7">
        <v>72389</v>
      </c>
      <c r="K444" s="1">
        <v>734</v>
      </c>
      <c r="L444" s="7">
        <v>10470</v>
      </c>
      <c r="M444" s="1">
        <v>60</v>
      </c>
      <c r="N444" s="6">
        <v>0.16269999999999998</v>
      </c>
      <c r="O444" s="1" t="s">
        <v>52</v>
      </c>
      <c r="P444" s="1" t="s">
        <v>47</v>
      </c>
      <c r="Q444" s="1">
        <v>10</v>
      </c>
      <c r="R444" s="1">
        <v>2</v>
      </c>
      <c r="S444" s="1" t="s">
        <v>33</v>
      </c>
      <c r="T444" s="1" t="s">
        <v>33</v>
      </c>
      <c r="U444" s="1">
        <v>3</v>
      </c>
      <c r="V444" s="1">
        <v>148315</v>
      </c>
      <c r="W444" s="7">
        <v>1616.23</v>
      </c>
      <c r="X444" s="1">
        <v>0.71</v>
      </c>
      <c r="Y444" s="4">
        <v>45303</v>
      </c>
      <c r="Z444" s="1" t="s">
        <v>38</v>
      </c>
      <c r="AA444" s="1" t="s">
        <v>33</v>
      </c>
      <c r="AB444" s="36" t="str" cm="1">
        <f t="array" ref="AB444">_xlfn.IFS(K444&gt;650,"LOW",K444&gt;=550,"MEDIUM",K444&lt;550,"HIGH")</f>
        <v>LOW</v>
      </c>
    </row>
    <row r="445" spans="3:28" x14ac:dyDescent="0.3">
      <c r="C445" s="35" t="s">
        <v>3610</v>
      </c>
      <c r="D445" s="1" t="s">
        <v>734</v>
      </c>
      <c r="E445" s="1">
        <v>48</v>
      </c>
      <c r="F445" s="1" t="s">
        <v>44</v>
      </c>
      <c r="G445" s="1" t="s">
        <v>27</v>
      </c>
      <c r="H445" s="1" t="s">
        <v>61</v>
      </c>
      <c r="I445" s="1" t="s">
        <v>40</v>
      </c>
      <c r="J445" s="7">
        <v>42784</v>
      </c>
      <c r="K445" s="1">
        <v>734</v>
      </c>
      <c r="L445" s="7">
        <v>24490</v>
      </c>
      <c r="M445" s="1">
        <v>48</v>
      </c>
      <c r="N445" s="6">
        <v>0.1449</v>
      </c>
      <c r="O445" s="1" t="s">
        <v>41</v>
      </c>
      <c r="P445" s="1" t="s">
        <v>47</v>
      </c>
      <c r="Q445" s="1">
        <v>26</v>
      </c>
      <c r="R445" s="1">
        <v>4</v>
      </c>
      <c r="S445" s="1" t="s">
        <v>31</v>
      </c>
      <c r="T445" s="1" t="s">
        <v>33</v>
      </c>
      <c r="U445" s="1">
        <v>2</v>
      </c>
      <c r="V445" s="1">
        <v>64618</v>
      </c>
      <c r="W445" s="7">
        <v>1412.98</v>
      </c>
      <c r="X445" s="1">
        <v>0.87</v>
      </c>
      <c r="Y445" s="4">
        <v>44382</v>
      </c>
      <c r="Z445" s="1" t="s">
        <v>38</v>
      </c>
      <c r="AA445" s="1" t="s">
        <v>33</v>
      </c>
      <c r="AB445" s="36" t="str" cm="1">
        <f t="array" ref="AB445">_xlfn.IFS(K445&gt;650,"LOW",K445&gt;=550,"MEDIUM",K445&lt;550,"HIGH")</f>
        <v>LOW</v>
      </c>
    </row>
    <row r="446" spans="3:28" x14ac:dyDescent="0.3">
      <c r="C446" s="35" t="s">
        <v>3674</v>
      </c>
      <c r="D446" s="1" t="s">
        <v>1686</v>
      </c>
      <c r="E446" s="1">
        <v>57</v>
      </c>
      <c r="F446" s="1" t="s">
        <v>26</v>
      </c>
      <c r="G446" s="1" t="s">
        <v>35</v>
      </c>
      <c r="H446" s="1" t="s">
        <v>61</v>
      </c>
      <c r="I446" s="1" t="s">
        <v>59</v>
      </c>
      <c r="J446" s="7">
        <v>30683</v>
      </c>
      <c r="K446" s="1">
        <v>734</v>
      </c>
      <c r="L446" s="7">
        <v>31810</v>
      </c>
      <c r="M446" s="1">
        <v>12</v>
      </c>
      <c r="N446" s="6">
        <v>0.159</v>
      </c>
      <c r="O446" s="1" t="s">
        <v>37</v>
      </c>
      <c r="P446" s="1" t="s">
        <v>50</v>
      </c>
      <c r="Q446" s="1">
        <v>26</v>
      </c>
      <c r="R446" s="1">
        <v>2</v>
      </c>
      <c r="S446" s="1" t="s">
        <v>31</v>
      </c>
      <c r="T446" s="1" t="s">
        <v>33</v>
      </c>
      <c r="U446" s="1">
        <v>4</v>
      </c>
      <c r="V446" s="1">
        <v>2221</v>
      </c>
      <c r="W446" s="7">
        <v>1959</v>
      </c>
      <c r="X446" s="1">
        <v>0.38</v>
      </c>
      <c r="Y446" s="4">
        <v>44451</v>
      </c>
      <c r="Z446" s="1" t="s">
        <v>38</v>
      </c>
      <c r="AA446" s="1" t="s">
        <v>33</v>
      </c>
      <c r="AB446" s="36" t="str" cm="1">
        <f t="array" ref="AB446">_xlfn.IFS(K446&gt;650,"LOW",K446&gt;=550,"MEDIUM",K446&lt;550,"HIGH")</f>
        <v>LOW</v>
      </c>
    </row>
    <row r="447" spans="3:28" x14ac:dyDescent="0.3">
      <c r="C447" s="35" t="s">
        <v>3991</v>
      </c>
      <c r="D447" s="1" t="s">
        <v>1991</v>
      </c>
      <c r="E447" s="1">
        <v>34</v>
      </c>
      <c r="F447" s="1" t="s">
        <v>26</v>
      </c>
      <c r="G447" s="1" t="s">
        <v>35</v>
      </c>
      <c r="H447" s="1" t="s">
        <v>61</v>
      </c>
      <c r="I447" s="1" t="s">
        <v>57</v>
      </c>
      <c r="J447" s="7">
        <v>69508</v>
      </c>
      <c r="K447" s="1">
        <v>734</v>
      </c>
      <c r="L447" s="7">
        <v>44262</v>
      </c>
      <c r="M447" s="1">
        <v>36</v>
      </c>
      <c r="N447" s="6">
        <v>6.9699999999999998E-2</v>
      </c>
      <c r="O447" s="1" t="s">
        <v>46</v>
      </c>
      <c r="P447" s="1" t="s">
        <v>30</v>
      </c>
      <c r="Q447" s="1">
        <v>19</v>
      </c>
      <c r="R447" s="1">
        <v>4</v>
      </c>
      <c r="S447" s="1" t="s">
        <v>31</v>
      </c>
      <c r="T447" s="1" t="s">
        <v>31</v>
      </c>
      <c r="U447" s="1">
        <v>2</v>
      </c>
      <c r="V447" s="1">
        <v>124322</v>
      </c>
      <c r="W447" s="7">
        <v>263.41000000000003</v>
      </c>
      <c r="X447" s="1">
        <v>0.88</v>
      </c>
      <c r="Y447" s="4">
        <v>45607</v>
      </c>
      <c r="Z447" s="1" t="s">
        <v>32</v>
      </c>
      <c r="AA447" s="1" t="s">
        <v>33</v>
      </c>
      <c r="AB447" s="36" t="str" cm="1">
        <f t="array" ref="AB447">_xlfn.IFS(K447&gt;650,"LOW",K447&gt;=550,"MEDIUM",K447&lt;550,"HIGH")</f>
        <v>LOW</v>
      </c>
    </row>
    <row r="448" spans="3:28" x14ac:dyDescent="0.3">
      <c r="C448" s="35" t="s">
        <v>2149</v>
      </c>
      <c r="D448" s="1" t="s">
        <v>180</v>
      </c>
      <c r="E448" s="1">
        <v>34</v>
      </c>
      <c r="F448" s="1" t="s">
        <v>44</v>
      </c>
      <c r="G448" s="1" t="s">
        <v>56</v>
      </c>
      <c r="H448" s="1" t="s">
        <v>28</v>
      </c>
      <c r="I448" s="1" t="s">
        <v>57</v>
      </c>
      <c r="J448" s="7">
        <v>51932</v>
      </c>
      <c r="K448" s="1">
        <v>733</v>
      </c>
      <c r="L448" s="7">
        <v>33844</v>
      </c>
      <c r="M448" s="1">
        <v>36</v>
      </c>
      <c r="N448" s="6">
        <v>0.1042</v>
      </c>
      <c r="O448" s="1" t="s">
        <v>41</v>
      </c>
      <c r="P448" s="1" t="s">
        <v>47</v>
      </c>
      <c r="Q448" s="1">
        <v>18</v>
      </c>
      <c r="R448" s="1">
        <v>1</v>
      </c>
      <c r="S448" s="1" t="s">
        <v>33</v>
      </c>
      <c r="T448" s="1" t="s">
        <v>31</v>
      </c>
      <c r="U448" s="1">
        <v>3</v>
      </c>
      <c r="V448" s="1">
        <v>113120</v>
      </c>
      <c r="W448" s="7">
        <v>681.95</v>
      </c>
      <c r="X448" s="1">
        <v>0.47</v>
      </c>
      <c r="Y448" s="4">
        <v>45447</v>
      </c>
      <c r="Z448" s="1" t="s">
        <v>38</v>
      </c>
      <c r="AA448" s="1" t="s">
        <v>33</v>
      </c>
      <c r="AB448" s="36" t="str" cm="1">
        <f t="array" ref="AB448">_xlfn.IFS(K448&gt;650,"LOW",K448&gt;=550,"MEDIUM",K448&lt;550,"HIGH")</f>
        <v>LOW</v>
      </c>
    </row>
    <row r="449" spans="3:28" x14ac:dyDescent="0.3">
      <c r="C449" s="35" t="s">
        <v>2616</v>
      </c>
      <c r="D449" s="1" t="s">
        <v>646</v>
      </c>
      <c r="E449" s="1">
        <v>64</v>
      </c>
      <c r="F449" s="1" t="s">
        <v>44</v>
      </c>
      <c r="G449" s="1" t="s">
        <v>45</v>
      </c>
      <c r="H449" s="1" t="s">
        <v>28</v>
      </c>
      <c r="I449" s="1" t="s">
        <v>40</v>
      </c>
      <c r="J449" s="7">
        <v>20074</v>
      </c>
      <c r="K449" s="1">
        <v>733</v>
      </c>
      <c r="L449" s="7">
        <v>45654</v>
      </c>
      <c r="M449" s="1">
        <v>12</v>
      </c>
      <c r="N449" s="6">
        <v>0.14949999999999999</v>
      </c>
      <c r="O449" s="1" t="s">
        <v>63</v>
      </c>
      <c r="P449" s="1" t="s">
        <v>50</v>
      </c>
      <c r="Q449" s="1">
        <v>6</v>
      </c>
      <c r="R449" s="1">
        <v>3</v>
      </c>
      <c r="S449" s="1" t="s">
        <v>31</v>
      </c>
      <c r="T449" s="1" t="s">
        <v>31</v>
      </c>
      <c r="U449" s="1">
        <v>1</v>
      </c>
      <c r="V449" s="1">
        <v>68752</v>
      </c>
      <c r="W449" s="7">
        <v>1651.69</v>
      </c>
      <c r="X449" s="1">
        <v>0.89</v>
      </c>
      <c r="Y449" s="4">
        <v>45532</v>
      </c>
      <c r="Z449" s="1" t="s">
        <v>32</v>
      </c>
      <c r="AA449" s="1" t="s">
        <v>33</v>
      </c>
      <c r="AB449" s="36" t="str" cm="1">
        <f t="array" ref="AB449">_xlfn.IFS(K449&gt;650,"LOW",K449&gt;=550,"MEDIUM",K449&lt;550,"HIGH")</f>
        <v>LOW</v>
      </c>
    </row>
    <row r="450" spans="3:28" x14ac:dyDescent="0.3">
      <c r="C450" s="35" t="s">
        <v>2876</v>
      </c>
      <c r="D450" s="1" t="s">
        <v>904</v>
      </c>
      <c r="E450" s="1">
        <v>61</v>
      </c>
      <c r="F450" s="1" t="s">
        <v>26</v>
      </c>
      <c r="G450" s="1" t="s">
        <v>56</v>
      </c>
      <c r="H450" s="1" t="s">
        <v>36</v>
      </c>
      <c r="I450" s="1" t="s">
        <v>57</v>
      </c>
      <c r="J450" s="7">
        <v>111009</v>
      </c>
      <c r="K450" s="1">
        <v>733</v>
      </c>
      <c r="L450" s="7">
        <v>12552</v>
      </c>
      <c r="M450" s="1">
        <v>12</v>
      </c>
      <c r="N450" s="6">
        <v>5.5899999999999998E-2</v>
      </c>
      <c r="O450" s="1" t="s">
        <v>41</v>
      </c>
      <c r="P450" s="1" t="s">
        <v>50</v>
      </c>
      <c r="Q450" s="1">
        <v>25</v>
      </c>
      <c r="R450" s="1">
        <v>4</v>
      </c>
      <c r="S450" s="1" t="s">
        <v>33</v>
      </c>
      <c r="T450" s="1" t="s">
        <v>31</v>
      </c>
      <c r="U450" s="1">
        <v>3</v>
      </c>
      <c r="V450" s="1">
        <v>187553</v>
      </c>
      <c r="W450" s="7">
        <v>1315.53</v>
      </c>
      <c r="X450" s="1">
        <v>0.91</v>
      </c>
      <c r="Y450" s="4">
        <v>44387</v>
      </c>
      <c r="Z450" s="1" t="s">
        <v>38</v>
      </c>
      <c r="AA450" s="1" t="s">
        <v>33</v>
      </c>
      <c r="AB450" s="36" t="str" cm="1">
        <f t="array" ref="AB450">_xlfn.IFS(K450&gt;650,"LOW",K450&gt;=550,"MEDIUM",K450&lt;550,"HIGH")</f>
        <v>LOW</v>
      </c>
    </row>
    <row r="451" spans="3:28" x14ac:dyDescent="0.3">
      <c r="C451" s="35" t="s">
        <v>2882</v>
      </c>
      <c r="D451" s="1" t="s">
        <v>910</v>
      </c>
      <c r="E451" s="1">
        <v>60</v>
      </c>
      <c r="F451" s="1" t="s">
        <v>26</v>
      </c>
      <c r="G451" s="1" t="s">
        <v>56</v>
      </c>
      <c r="H451" s="1" t="s">
        <v>61</v>
      </c>
      <c r="I451" s="1" t="s">
        <v>29</v>
      </c>
      <c r="J451" s="7">
        <v>57921</v>
      </c>
      <c r="K451" s="1">
        <v>733</v>
      </c>
      <c r="L451" s="7">
        <v>39299</v>
      </c>
      <c r="M451" s="1">
        <v>24</v>
      </c>
      <c r="N451" s="6">
        <v>0.12659999999999999</v>
      </c>
      <c r="O451" s="1" t="s">
        <v>52</v>
      </c>
      <c r="P451" s="1" t="s">
        <v>50</v>
      </c>
      <c r="Q451" s="1">
        <v>19</v>
      </c>
      <c r="R451" s="1">
        <v>0</v>
      </c>
      <c r="S451" s="1" t="s">
        <v>33</v>
      </c>
      <c r="T451" s="1" t="s">
        <v>31</v>
      </c>
      <c r="U451" s="1">
        <v>4</v>
      </c>
      <c r="V451" s="1">
        <v>69885</v>
      </c>
      <c r="W451" s="7">
        <v>1415.23</v>
      </c>
      <c r="X451" s="1">
        <v>0.56999999999999995</v>
      </c>
      <c r="Y451" s="4">
        <v>45143</v>
      </c>
      <c r="Z451" s="1" t="s">
        <v>38</v>
      </c>
      <c r="AA451" s="1" t="s">
        <v>33</v>
      </c>
      <c r="AB451" s="36" t="str" cm="1">
        <f t="array" ref="AB451">_xlfn.IFS(K451&gt;650,"LOW",K451&gt;=550,"MEDIUM",K451&lt;550,"HIGH")</f>
        <v>LOW</v>
      </c>
    </row>
    <row r="452" spans="3:28" x14ac:dyDescent="0.3">
      <c r="C452" s="35" t="s">
        <v>3340</v>
      </c>
      <c r="D452" s="1" t="s">
        <v>1362</v>
      </c>
      <c r="E452" s="1">
        <v>63</v>
      </c>
      <c r="F452" s="1" t="s">
        <v>26</v>
      </c>
      <c r="G452" s="1" t="s">
        <v>56</v>
      </c>
      <c r="H452" s="1" t="s">
        <v>28</v>
      </c>
      <c r="I452" s="1" t="s">
        <v>59</v>
      </c>
      <c r="J452" s="7">
        <v>35357</v>
      </c>
      <c r="K452" s="1">
        <v>733</v>
      </c>
      <c r="L452" s="7">
        <v>48805</v>
      </c>
      <c r="M452" s="1">
        <v>36</v>
      </c>
      <c r="N452" s="6">
        <v>8.0299999999999996E-2</v>
      </c>
      <c r="O452" s="1" t="s">
        <v>41</v>
      </c>
      <c r="P452" s="1" t="s">
        <v>47</v>
      </c>
      <c r="Q452" s="1">
        <v>4</v>
      </c>
      <c r="R452" s="1">
        <v>4</v>
      </c>
      <c r="S452" s="1" t="s">
        <v>33</v>
      </c>
      <c r="T452" s="1" t="s">
        <v>31</v>
      </c>
      <c r="U452" s="1">
        <v>0</v>
      </c>
      <c r="V452" s="1">
        <v>36497</v>
      </c>
      <c r="W452" s="7">
        <v>1538.41</v>
      </c>
      <c r="X452" s="1">
        <v>0.13</v>
      </c>
      <c r="Y452" s="4">
        <v>44558</v>
      </c>
      <c r="Z452" s="1" t="s">
        <v>38</v>
      </c>
      <c r="AA452" s="1" t="s">
        <v>33</v>
      </c>
      <c r="AB452" s="36" t="str" cm="1">
        <f t="array" ref="AB452">_xlfn.IFS(K452&gt;650,"LOW",K452&gt;=550,"MEDIUM",K452&lt;550,"HIGH")</f>
        <v>LOW</v>
      </c>
    </row>
    <row r="453" spans="3:28" x14ac:dyDescent="0.3">
      <c r="C453" s="35" t="s">
        <v>3364</v>
      </c>
      <c r="D453" s="1" t="s">
        <v>1386</v>
      </c>
      <c r="E453" s="1">
        <v>51</v>
      </c>
      <c r="F453" s="1" t="s">
        <v>44</v>
      </c>
      <c r="G453" s="1" t="s">
        <v>56</v>
      </c>
      <c r="H453" s="1" t="s">
        <v>36</v>
      </c>
      <c r="I453" s="1" t="s">
        <v>59</v>
      </c>
      <c r="J453" s="7">
        <v>58098</v>
      </c>
      <c r="K453" s="1">
        <v>733</v>
      </c>
      <c r="L453" s="7">
        <v>38895</v>
      </c>
      <c r="M453" s="1">
        <v>60</v>
      </c>
      <c r="N453" s="6">
        <v>8.3199999999999996E-2</v>
      </c>
      <c r="O453" s="1" t="s">
        <v>37</v>
      </c>
      <c r="P453" s="1" t="s">
        <v>30</v>
      </c>
      <c r="Q453" s="1">
        <v>9</v>
      </c>
      <c r="R453" s="1">
        <v>2</v>
      </c>
      <c r="S453" s="1" t="s">
        <v>33</v>
      </c>
      <c r="T453" s="1" t="s">
        <v>31</v>
      </c>
      <c r="U453" s="1">
        <v>3</v>
      </c>
      <c r="V453" s="1">
        <v>143036</v>
      </c>
      <c r="W453" s="7">
        <v>1013.34</v>
      </c>
      <c r="X453" s="1">
        <v>0.95</v>
      </c>
      <c r="Y453" s="4">
        <v>45399</v>
      </c>
      <c r="Z453" s="1" t="s">
        <v>38</v>
      </c>
      <c r="AA453" s="1" t="s">
        <v>33</v>
      </c>
      <c r="AB453" s="36" t="str" cm="1">
        <f t="array" ref="AB453">_xlfn.IFS(K453&gt;650,"LOW",K453&gt;=550,"MEDIUM",K453&lt;550,"HIGH")</f>
        <v>LOW</v>
      </c>
    </row>
    <row r="454" spans="3:28" x14ac:dyDescent="0.3">
      <c r="C454" s="35" t="s">
        <v>2766</v>
      </c>
      <c r="D454" s="1" t="s">
        <v>790</v>
      </c>
      <c r="E454" s="1">
        <v>50</v>
      </c>
      <c r="F454" s="1" t="s">
        <v>26</v>
      </c>
      <c r="G454" s="1" t="s">
        <v>45</v>
      </c>
      <c r="H454" s="1" t="s">
        <v>61</v>
      </c>
      <c r="I454" s="1" t="s">
        <v>59</v>
      </c>
      <c r="J454" s="7">
        <v>26862</v>
      </c>
      <c r="K454" s="1">
        <v>732</v>
      </c>
      <c r="L454" s="7">
        <v>12085</v>
      </c>
      <c r="M454" s="1">
        <v>24</v>
      </c>
      <c r="N454" s="6">
        <v>0.16930000000000001</v>
      </c>
      <c r="O454" s="1" t="s">
        <v>37</v>
      </c>
      <c r="P454" s="1" t="s">
        <v>30</v>
      </c>
      <c r="Q454" s="1">
        <v>7</v>
      </c>
      <c r="R454" s="1">
        <v>2</v>
      </c>
      <c r="S454" s="1" t="s">
        <v>33</v>
      </c>
      <c r="T454" s="1" t="s">
        <v>31</v>
      </c>
      <c r="U454" s="1">
        <v>0</v>
      </c>
      <c r="V454" s="1">
        <v>84727</v>
      </c>
      <c r="W454" s="7">
        <v>597.78</v>
      </c>
      <c r="X454" s="1">
        <v>0.8</v>
      </c>
      <c r="Y454" s="4">
        <v>45387</v>
      </c>
      <c r="Z454" s="1" t="s">
        <v>32</v>
      </c>
      <c r="AA454" s="1" t="s">
        <v>33</v>
      </c>
      <c r="AB454" s="36" t="str" cm="1">
        <f t="array" ref="AB454">_xlfn.IFS(K454&gt;650,"LOW",K454&gt;=550,"MEDIUM",K454&lt;550,"HIGH")</f>
        <v>LOW</v>
      </c>
    </row>
    <row r="455" spans="3:28" x14ac:dyDescent="0.3">
      <c r="C455" s="35" t="s">
        <v>2862</v>
      </c>
      <c r="D455" s="1" t="s">
        <v>890</v>
      </c>
      <c r="E455" s="1">
        <v>59</v>
      </c>
      <c r="F455" s="1" t="s">
        <v>44</v>
      </c>
      <c r="G455" s="1" t="s">
        <v>45</v>
      </c>
      <c r="H455" s="1" t="s">
        <v>28</v>
      </c>
      <c r="I455" s="1" t="s">
        <v>59</v>
      </c>
      <c r="J455" s="7">
        <v>139238</v>
      </c>
      <c r="K455" s="1">
        <v>732</v>
      </c>
      <c r="L455" s="7">
        <v>44132</v>
      </c>
      <c r="M455" s="1">
        <v>60</v>
      </c>
      <c r="N455" s="6">
        <v>0.1198</v>
      </c>
      <c r="O455" s="1" t="s">
        <v>5</v>
      </c>
      <c r="P455" s="1" t="s">
        <v>30</v>
      </c>
      <c r="Q455" s="1">
        <v>22</v>
      </c>
      <c r="R455" s="1">
        <v>0</v>
      </c>
      <c r="S455" s="1" t="s">
        <v>33</v>
      </c>
      <c r="T455" s="1" t="s">
        <v>31</v>
      </c>
      <c r="U455" s="1">
        <v>4</v>
      </c>
      <c r="V455" s="1">
        <v>183746</v>
      </c>
      <c r="W455" s="7">
        <v>1131.21</v>
      </c>
      <c r="X455" s="1">
        <v>0.95</v>
      </c>
      <c r="Y455" s="4">
        <v>44574</v>
      </c>
      <c r="Z455" s="1" t="s">
        <v>38</v>
      </c>
      <c r="AA455" s="1" t="s">
        <v>31</v>
      </c>
      <c r="AB455" s="36" t="str" cm="1">
        <f t="array" ref="AB455">_xlfn.IFS(K455&gt;650,"LOW",K455&gt;=550,"MEDIUM",K455&lt;550,"HIGH")</f>
        <v>LOW</v>
      </c>
    </row>
    <row r="456" spans="3:28" x14ac:dyDescent="0.3">
      <c r="C456" s="35" t="s">
        <v>2865</v>
      </c>
      <c r="D456" s="1" t="s">
        <v>893</v>
      </c>
      <c r="E456" s="1">
        <v>42</v>
      </c>
      <c r="F456" s="1" t="s">
        <v>44</v>
      </c>
      <c r="G456" s="1" t="s">
        <v>27</v>
      </c>
      <c r="H456" s="1" t="s">
        <v>36</v>
      </c>
      <c r="I456" s="1" t="s">
        <v>57</v>
      </c>
      <c r="J456" s="7">
        <v>36984</v>
      </c>
      <c r="K456" s="1">
        <v>732</v>
      </c>
      <c r="L456" s="7">
        <v>21133</v>
      </c>
      <c r="M456" s="1">
        <v>24</v>
      </c>
      <c r="N456" s="6">
        <v>0.17749999999999999</v>
      </c>
      <c r="O456" s="1" t="s">
        <v>37</v>
      </c>
      <c r="P456" s="1" t="s">
        <v>47</v>
      </c>
      <c r="Q456" s="1">
        <v>29</v>
      </c>
      <c r="R456" s="1">
        <v>1</v>
      </c>
      <c r="S456" s="1" t="s">
        <v>31</v>
      </c>
      <c r="T456" s="1" t="s">
        <v>33</v>
      </c>
      <c r="U456" s="1">
        <v>4</v>
      </c>
      <c r="V456" s="1">
        <v>36880</v>
      </c>
      <c r="W456" s="7">
        <v>1991.35</v>
      </c>
      <c r="X456" s="1">
        <v>0.28000000000000003</v>
      </c>
      <c r="Y456" s="4">
        <v>45085</v>
      </c>
      <c r="Z456" s="1" t="s">
        <v>32</v>
      </c>
      <c r="AA456" s="1" t="s">
        <v>33</v>
      </c>
      <c r="AB456" s="36" t="str" cm="1">
        <f t="array" ref="AB456">_xlfn.IFS(K456&gt;650,"LOW",K456&gt;=550,"MEDIUM",K456&lt;550,"HIGH")</f>
        <v>LOW</v>
      </c>
    </row>
    <row r="457" spans="3:28" x14ac:dyDescent="0.3">
      <c r="C457" s="35" t="s">
        <v>3058</v>
      </c>
      <c r="D457" s="1" t="s">
        <v>1084</v>
      </c>
      <c r="E457" s="1">
        <v>32</v>
      </c>
      <c r="F457" s="1" t="s">
        <v>44</v>
      </c>
      <c r="G457" s="1" t="s">
        <v>56</v>
      </c>
      <c r="H457" s="1" t="s">
        <v>28</v>
      </c>
      <c r="I457" s="1" t="s">
        <v>29</v>
      </c>
      <c r="J457" s="7">
        <v>97707</v>
      </c>
      <c r="K457" s="1">
        <v>732</v>
      </c>
      <c r="L457" s="7">
        <v>2999</v>
      </c>
      <c r="M457" s="1">
        <v>60</v>
      </c>
      <c r="N457" s="6">
        <v>0.19039999999999999</v>
      </c>
      <c r="O457" s="1" t="s">
        <v>52</v>
      </c>
      <c r="P457" s="1" t="s">
        <v>30</v>
      </c>
      <c r="Q457" s="1">
        <v>16</v>
      </c>
      <c r="R457" s="1">
        <v>4</v>
      </c>
      <c r="S457" s="1" t="s">
        <v>31</v>
      </c>
      <c r="T457" s="1" t="s">
        <v>31</v>
      </c>
      <c r="U457" s="1">
        <v>0</v>
      </c>
      <c r="V457" s="1">
        <v>122207</v>
      </c>
      <c r="W457" s="7">
        <v>995.33</v>
      </c>
      <c r="X457" s="1">
        <v>0.9</v>
      </c>
      <c r="Y457" s="4">
        <v>45047</v>
      </c>
      <c r="Z457" s="1" t="s">
        <v>32</v>
      </c>
      <c r="AA457" s="1" t="s">
        <v>33</v>
      </c>
      <c r="AB457" s="36" t="str" cm="1">
        <f t="array" ref="AB457">_xlfn.IFS(K457&gt;650,"LOW",K457&gt;=550,"MEDIUM",K457&lt;550,"HIGH")</f>
        <v>LOW</v>
      </c>
    </row>
    <row r="458" spans="3:28" x14ac:dyDescent="0.3">
      <c r="C458" s="35" t="s">
        <v>3552</v>
      </c>
      <c r="D458" s="1" t="s">
        <v>1569</v>
      </c>
      <c r="E458" s="1">
        <v>60</v>
      </c>
      <c r="F458" s="1" t="s">
        <v>26</v>
      </c>
      <c r="G458" s="1" t="s">
        <v>27</v>
      </c>
      <c r="H458" s="1" t="s">
        <v>28</v>
      </c>
      <c r="I458" s="1" t="s">
        <v>57</v>
      </c>
      <c r="J458" s="7">
        <v>41577</v>
      </c>
      <c r="K458" s="1">
        <v>732</v>
      </c>
      <c r="L458" s="7">
        <v>40023</v>
      </c>
      <c r="M458" s="1">
        <v>12</v>
      </c>
      <c r="N458" s="6">
        <v>0.17579999999999998</v>
      </c>
      <c r="O458" s="1" t="s">
        <v>46</v>
      </c>
      <c r="P458" s="1" t="s">
        <v>50</v>
      </c>
      <c r="Q458" s="1">
        <v>11</v>
      </c>
      <c r="R458" s="1">
        <v>2</v>
      </c>
      <c r="S458" s="1" t="s">
        <v>31</v>
      </c>
      <c r="T458" s="1" t="s">
        <v>31</v>
      </c>
      <c r="U458" s="1">
        <v>3</v>
      </c>
      <c r="V458" s="1">
        <v>86379</v>
      </c>
      <c r="W458" s="7">
        <v>1794.46</v>
      </c>
      <c r="X458" s="1">
        <v>0.97</v>
      </c>
      <c r="Y458" s="4">
        <v>45273</v>
      </c>
      <c r="Z458" s="1" t="s">
        <v>32</v>
      </c>
      <c r="AA458" s="1" t="s">
        <v>33</v>
      </c>
      <c r="AB458" s="36" t="str" cm="1">
        <f t="array" ref="AB458">_xlfn.IFS(K458&gt;650,"LOW",K458&gt;=550,"MEDIUM",K458&lt;550,"HIGH")</f>
        <v>LOW</v>
      </c>
    </row>
    <row r="459" spans="3:28" x14ac:dyDescent="0.3">
      <c r="C459" s="35" t="s">
        <v>2372</v>
      </c>
      <c r="D459" s="1" t="s">
        <v>402</v>
      </c>
      <c r="E459" s="1">
        <v>37</v>
      </c>
      <c r="F459" s="1" t="s">
        <v>26</v>
      </c>
      <c r="G459" s="1" t="s">
        <v>45</v>
      </c>
      <c r="H459" s="1" t="s">
        <v>36</v>
      </c>
      <c r="I459" s="1" t="s">
        <v>40</v>
      </c>
      <c r="J459" s="7">
        <v>117352</v>
      </c>
      <c r="K459" s="1">
        <v>731</v>
      </c>
      <c r="L459" s="7">
        <v>16186</v>
      </c>
      <c r="M459" s="1">
        <v>60</v>
      </c>
      <c r="N459" s="6">
        <v>9.1199999999999989E-2</v>
      </c>
      <c r="O459" s="1" t="s">
        <v>46</v>
      </c>
      <c r="P459" s="1" t="s">
        <v>50</v>
      </c>
      <c r="Q459" s="1">
        <v>2</v>
      </c>
      <c r="R459" s="1">
        <v>1</v>
      </c>
      <c r="S459" s="1" t="s">
        <v>31</v>
      </c>
      <c r="T459" s="1" t="s">
        <v>33</v>
      </c>
      <c r="U459" s="1">
        <v>2</v>
      </c>
      <c r="V459" s="1">
        <v>136065</v>
      </c>
      <c r="W459" s="7">
        <v>461.09</v>
      </c>
      <c r="X459" s="1">
        <v>0.51</v>
      </c>
      <c r="Y459" s="4">
        <v>45432</v>
      </c>
      <c r="Z459" s="1" t="s">
        <v>38</v>
      </c>
      <c r="AA459" s="1" t="s">
        <v>33</v>
      </c>
      <c r="AB459" s="36" t="str" cm="1">
        <f t="array" ref="AB459">_xlfn.IFS(K459&gt;650,"LOW",K459&gt;=550,"MEDIUM",K459&lt;550,"HIGH")</f>
        <v>LOW</v>
      </c>
    </row>
    <row r="460" spans="3:28" x14ac:dyDescent="0.3">
      <c r="C460" s="35" t="s">
        <v>3430</v>
      </c>
      <c r="D460" s="1" t="s">
        <v>1450</v>
      </c>
      <c r="E460" s="1">
        <v>64</v>
      </c>
      <c r="F460" s="1" t="s">
        <v>44</v>
      </c>
      <c r="G460" s="1" t="s">
        <v>35</v>
      </c>
      <c r="H460" s="1" t="s">
        <v>61</v>
      </c>
      <c r="I460" s="1" t="s">
        <v>40</v>
      </c>
      <c r="J460" s="7">
        <v>21313</v>
      </c>
      <c r="K460" s="1">
        <v>731</v>
      </c>
      <c r="L460" s="7">
        <v>32481</v>
      </c>
      <c r="M460" s="1">
        <v>36</v>
      </c>
      <c r="N460" s="6">
        <v>0.12369999999999999</v>
      </c>
      <c r="O460" s="1" t="s">
        <v>41</v>
      </c>
      <c r="P460" s="1" t="s">
        <v>50</v>
      </c>
      <c r="Q460" s="1">
        <v>24</v>
      </c>
      <c r="R460" s="1">
        <v>1</v>
      </c>
      <c r="S460" s="1" t="s">
        <v>31</v>
      </c>
      <c r="T460" s="1" t="s">
        <v>31</v>
      </c>
      <c r="U460" s="1">
        <v>0</v>
      </c>
      <c r="V460" s="1">
        <v>170167</v>
      </c>
      <c r="W460" s="7">
        <v>387.13</v>
      </c>
      <c r="X460" s="1">
        <v>0.38</v>
      </c>
      <c r="Y460" s="4">
        <v>44050</v>
      </c>
      <c r="Z460" s="1" t="s">
        <v>38</v>
      </c>
      <c r="AA460" s="1" t="s">
        <v>33</v>
      </c>
      <c r="AB460" s="36" t="str" cm="1">
        <f t="array" ref="AB460">_xlfn.IFS(K460&gt;650,"LOW",K460&gt;=550,"MEDIUM",K460&lt;550,"HIGH")</f>
        <v>LOW</v>
      </c>
    </row>
    <row r="461" spans="3:28" x14ac:dyDescent="0.3">
      <c r="C461" s="35" t="s">
        <v>2229</v>
      </c>
      <c r="D461" s="1" t="s">
        <v>260</v>
      </c>
      <c r="E461" s="1">
        <v>52</v>
      </c>
      <c r="F461" s="1" t="s">
        <v>26</v>
      </c>
      <c r="G461" s="1" t="s">
        <v>45</v>
      </c>
      <c r="H461" s="1" t="s">
        <v>54</v>
      </c>
      <c r="I461" s="1" t="s">
        <v>29</v>
      </c>
      <c r="J461" s="7">
        <v>119273</v>
      </c>
      <c r="K461" s="1">
        <v>730</v>
      </c>
      <c r="L461" s="7">
        <v>48968</v>
      </c>
      <c r="M461" s="1">
        <v>48</v>
      </c>
      <c r="N461" s="6">
        <v>0.12189999999999999</v>
      </c>
      <c r="O461" s="1" t="s">
        <v>63</v>
      </c>
      <c r="P461" s="1" t="s">
        <v>47</v>
      </c>
      <c r="Q461" s="1">
        <v>5</v>
      </c>
      <c r="R461" s="1">
        <v>4</v>
      </c>
      <c r="S461" s="1" t="s">
        <v>33</v>
      </c>
      <c r="T461" s="1" t="s">
        <v>33</v>
      </c>
      <c r="U461" s="1">
        <v>4</v>
      </c>
      <c r="V461" s="1">
        <v>140406</v>
      </c>
      <c r="W461" s="7">
        <v>469.79</v>
      </c>
      <c r="X461" s="1">
        <v>0.89</v>
      </c>
      <c r="Y461" s="4">
        <v>45148</v>
      </c>
      <c r="Z461" s="1" t="s">
        <v>38</v>
      </c>
      <c r="AA461" s="1" t="s">
        <v>33</v>
      </c>
      <c r="AB461" s="36" t="str" cm="1">
        <f t="array" ref="AB461">_xlfn.IFS(K461&gt;650,"LOW",K461&gt;=550,"MEDIUM",K461&lt;550,"HIGH")</f>
        <v>LOW</v>
      </c>
    </row>
    <row r="462" spans="3:28" x14ac:dyDescent="0.3">
      <c r="C462" s="35" t="s">
        <v>2667</v>
      </c>
      <c r="D462" s="1" t="s">
        <v>697</v>
      </c>
      <c r="E462" s="1">
        <v>44</v>
      </c>
      <c r="F462" s="1" t="s">
        <v>26</v>
      </c>
      <c r="G462" s="1" t="s">
        <v>27</v>
      </c>
      <c r="H462" s="1" t="s">
        <v>54</v>
      </c>
      <c r="I462" s="1" t="s">
        <v>59</v>
      </c>
      <c r="J462" s="7">
        <v>97597</v>
      </c>
      <c r="K462" s="1">
        <v>730</v>
      </c>
      <c r="L462" s="7">
        <v>45197</v>
      </c>
      <c r="M462" s="1">
        <v>60</v>
      </c>
      <c r="N462" s="6">
        <v>0.19370000000000001</v>
      </c>
      <c r="O462" s="1" t="s">
        <v>37</v>
      </c>
      <c r="P462" s="1" t="s">
        <v>50</v>
      </c>
      <c r="Q462" s="1">
        <v>28</v>
      </c>
      <c r="R462" s="1">
        <v>1</v>
      </c>
      <c r="S462" s="1" t="s">
        <v>31</v>
      </c>
      <c r="T462" s="1" t="s">
        <v>31</v>
      </c>
      <c r="U462" s="1">
        <v>1</v>
      </c>
      <c r="V462" s="1">
        <v>59484</v>
      </c>
      <c r="W462" s="7">
        <v>1005.68</v>
      </c>
      <c r="X462" s="1">
        <v>0.16</v>
      </c>
      <c r="Y462" s="4">
        <v>44447</v>
      </c>
      <c r="Z462" s="1" t="s">
        <v>38</v>
      </c>
      <c r="AA462" s="1" t="s">
        <v>33</v>
      </c>
      <c r="AB462" s="36" t="str" cm="1">
        <f t="array" ref="AB462">_xlfn.IFS(K462&gt;650,"LOW",K462&gt;=550,"MEDIUM",K462&lt;550,"HIGH")</f>
        <v>LOW</v>
      </c>
    </row>
    <row r="463" spans="3:28" x14ac:dyDescent="0.3">
      <c r="C463" s="35" t="s">
        <v>2843</v>
      </c>
      <c r="D463" s="1" t="s">
        <v>871</v>
      </c>
      <c r="E463" s="1">
        <v>48</v>
      </c>
      <c r="F463" s="1" t="s">
        <v>26</v>
      </c>
      <c r="G463" s="1" t="s">
        <v>35</v>
      </c>
      <c r="H463" s="1" t="s">
        <v>28</v>
      </c>
      <c r="I463" s="1" t="s">
        <v>29</v>
      </c>
      <c r="J463" s="7">
        <v>83248</v>
      </c>
      <c r="K463" s="1">
        <v>730</v>
      </c>
      <c r="L463" s="7">
        <v>26765</v>
      </c>
      <c r="M463" s="1">
        <v>36</v>
      </c>
      <c r="N463" s="6">
        <v>0.19010000000000002</v>
      </c>
      <c r="O463" s="1" t="s">
        <v>37</v>
      </c>
      <c r="P463" s="1" t="s">
        <v>30</v>
      </c>
      <c r="Q463" s="1">
        <v>22</v>
      </c>
      <c r="R463" s="1">
        <v>3</v>
      </c>
      <c r="S463" s="1" t="s">
        <v>31</v>
      </c>
      <c r="T463" s="1" t="s">
        <v>33</v>
      </c>
      <c r="U463" s="1">
        <v>2</v>
      </c>
      <c r="V463" s="1">
        <v>11106</v>
      </c>
      <c r="W463" s="7">
        <v>1810.97</v>
      </c>
      <c r="X463" s="1">
        <v>0.2</v>
      </c>
      <c r="Y463" s="4">
        <v>45058</v>
      </c>
      <c r="Z463" s="1" t="s">
        <v>38</v>
      </c>
      <c r="AA463" s="1" t="s">
        <v>33</v>
      </c>
      <c r="AB463" s="36" t="str" cm="1">
        <f t="array" ref="AB463">_xlfn.IFS(K463&gt;650,"LOW",K463&gt;=550,"MEDIUM",K463&lt;550,"HIGH")</f>
        <v>LOW</v>
      </c>
    </row>
    <row r="464" spans="3:28" x14ac:dyDescent="0.3">
      <c r="C464" s="35" t="s">
        <v>2866</v>
      </c>
      <c r="D464" s="1" t="s">
        <v>894</v>
      </c>
      <c r="E464" s="1">
        <v>46</v>
      </c>
      <c r="F464" s="1" t="s">
        <v>44</v>
      </c>
      <c r="G464" s="1" t="s">
        <v>27</v>
      </c>
      <c r="H464" s="1" t="s">
        <v>61</v>
      </c>
      <c r="I464" s="1" t="s">
        <v>59</v>
      </c>
      <c r="J464" s="7">
        <v>145580</v>
      </c>
      <c r="K464" s="1">
        <v>730</v>
      </c>
      <c r="L464" s="7">
        <v>48253</v>
      </c>
      <c r="M464" s="1">
        <v>36</v>
      </c>
      <c r="N464" s="6">
        <v>0.1033</v>
      </c>
      <c r="O464" s="1" t="s">
        <v>41</v>
      </c>
      <c r="P464" s="1" t="s">
        <v>47</v>
      </c>
      <c r="Q464" s="1">
        <v>10</v>
      </c>
      <c r="R464" s="1">
        <v>2</v>
      </c>
      <c r="S464" s="1" t="s">
        <v>33</v>
      </c>
      <c r="T464" s="1" t="s">
        <v>33</v>
      </c>
      <c r="U464" s="1">
        <v>0</v>
      </c>
      <c r="V464" s="1">
        <v>60109</v>
      </c>
      <c r="W464" s="7">
        <v>1896.51</v>
      </c>
      <c r="X464" s="1">
        <v>0.36</v>
      </c>
      <c r="Y464" s="4">
        <v>44875</v>
      </c>
      <c r="Z464" s="1" t="s">
        <v>38</v>
      </c>
      <c r="AA464" s="1" t="s">
        <v>31</v>
      </c>
      <c r="AB464" s="36" t="str" cm="1">
        <f t="array" ref="AB464">_xlfn.IFS(K464&gt;650,"LOW",K464&gt;=550,"MEDIUM",K464&lt;550,"HIGH")</f>
        <v>LOW</v>
      </c>
    </row>
    <row r="465" spans="3:28" x14ac:dyDescent="0.3">
      <c r="C465" s="35" t="s">
        <v>3381</v>
      </c>
      <c r="D465" s="1" t="s">
        <v>1402</v>
      </c>
      <c r="E465" s="1">
        <v>30</v>
      </c>
      <c r="F465" s="1" t="s">
        <v>26</v>
      </c>
      <c r="G465" s="1" t="s">
        <v>35</v>
      </c>
      <c r="H465" s="1" t="s">
        <v>36</v>
      </c>
      <c r="I465" s="1" t="s">
        <v>57</v>
      </c>
      <c r="J465" s="7">
        <v>52376</v>
      </c>
      <c r="K465" s="1">
        <v>730</v>
      </c>
      <c r="L465" s="7">
        <v>14733</v>
      </c>
      <c r="M465" s="1">
        <v>48</v>
      </c>
      <c r="N465" s="6">
        <v>0.1318</v>
      </c>
      <c r="O465" s="1" t="s">
        <v>41</v>
      </c>
      <c r="P465" s="1" t="s">
        <v>50</v>
      </c>
      <c r="Q465" s="1">
        <v>8</v>
      </c>
      <c r="R465" s="1">
        <v>4</v>
      </c>
      <c r="S465" s="1" t="s">
        <v>31</v>
      </c>
      <c r="T465" s="1" t="s">
        <v>31</v>
      </c>
      <c r="U465" s="1">
        <v>3</v>
      </c>
      <c r="V465" s="1">
        <v>107396</v>
      </c>
      <c r="W465" s="7">
        <v>1244.6400000000001</v>
      </c>
      <c r="X465" s="1">
        <v>0.57999999999999996</v>
      </c>
      <c r="Y465" s="4">
        <v>45065</v>
      </c>
      <c r="Z465" s="1" t="s">
        <v>32</v>
      </c>
      <c r="AA465" s="1" t="s">
        <v>33</v>
      </c>
      <c r="AB465" s="36" t="str" cm="1">
        <f t="array" ref="AB465">_xlfn.IFS(K465&gt;650,"LOW",K465&gt;=550,"MEDIUM",K465&lt;550,"HIGH")</f>
        <v>LOW</v>
      </c>
    </row>
    <row r="466" spans="3:28" x14ac:dyDescent="0.3">
      <c r="C466" s="35" t="s">
        <v>3524</v>
      </c>
      <c r="D466" s="1" t="s">
        <v>1541</v>
      </c>
      <c r="E466" s="1">
        <v>62</v>
      </c>
      <c r="F466" s="1" t="s">
        <v>44</v>
      </c>
      <c r="G466" s="1" t="s">
        <v>35</v>
      </c>
      <c r="H466" s="1" t="s">
        <v>28</v>
      </c>
      <c r="I466" s="1" t="s">
        <v>59</v>
      </c>
      <c r="J466" s="7">
        <v>143798</v>
      </c>
      <c r="K466" s="1">
        <v>728</v>
      </c>
      <c r="L466" s="7">
        <v>32876</v>
      </c>
      <c r="M466" s="1">
        <v>24</v>
      </c>
      <c r="N466" s="6">
        <v>0.16269999999999998</v>
      </c>
      <c r="O466" s="1" t="s">
        <v>37</v>
      </c>
      <c r="P466" s="1" t="s">
        <v>30</v>
      </c>
      <c r="Q466" s="1">
        <v>18</v>
      </c>
      <c r="R466" s="1">
        <v>1</v>
      </c>
      <c r="S466" s="1" t="s">
        <v>33</v>
      </c>
      <c r="T466" s="1" t="s">
        <v>31</v>
      </c>
      <c r="U466" s="1">
        <v>4</v>
      </c>
      <c r="V466" s="1">
        <v>82475</v>
      </c>
      <c r="W466" s="7">
        <v>1337.94</v>
      </c>
      <c r="X466" s="1">
        <v>0.54</v>
      </c>
      <c r="Y466" s="4">
        <v>45289</v>
      </c>
      <c r="Z466" s="1" t="s">
        <v>38</v>
      </c>
      <c r="AA466" s="1" t="s">
        <v>33</v>
      </c>
      <c r="AB466" s="36" t="str" cm="1">
        <f t="array" ref="AB466">_xlfn.IFS(K466&gt;650,"LOW",K466&gt;=550,"MEDIUM",K466&lt;550,"HIGH")</f>
        <v>LOW</v>
      </c>
    </row>
    <row r="467" spans="3:28" x14ac:dyDescent="0.3">
      <c r="C467" s="35" t="s">
        <v>3744</v>
      </c>
      <c r="D467" s="1" t="s">
        <v>1752</v>
      </c>
      <c r="E467" s="1">
        <v>32</v>
      </c>
      <c r="F467" s="1" t="s">
        <v>26</v>
      </c>
      <c r="G467" s="1" t="s">
        <v>27</v>
      </c>
      <c r="H467" s="1" t="s">
        <v>61</v>
      </c>
      <c r="I467" s="1" t="s">
        <v>29</v>
      </c>
      <c r="J467" s="7">
        <v>94123</v>
      </c>
      <c r="K467" s="1">
        <v>728</v>
      </c>
      <c r="L467" s="7">
        <v>48217</v>
      </c>
      <c r="M467" s="1">
        <v>12</v>
      </c>
      <c r="N467" s="6">
        <v>0.17030000000000001</v>
      </c>
      <c r="O467" s="1" t="s">
        <v>52</v>
      </c>
      <c r="P467" s="1" t="s">
        <v>30</v>
      </c>
      <c r="Q467" s="1">
        <v>1</v>
      </c>
      <c r="R467" s="1">
        <v>4</v>
      </c>
      <c r="S467" s="1" t="s">
        <v>33</v>
      </c>
      <c r="T467" s="1" t="s">
        <v>33</v>
      </c>
      <c r="U467" s="1">
        <v>1</v>
      </c>
      <c r="V467" s="1">
        <v>52692</v>
      </c>
      <c r="W467" s="7">
        <v>638.79999999999995</v>
      </c>
      <c r="X467" s="1">
        <v>0.89</v>
      </c>
      <c r="Y467" s="4">
        <v>44646</v>
      </c>
      <c r="Z467" s="1" t="s">
        <v>32</v>
      </c>
      <c r="AA467" s="1" t="s">
        <v>31</v>
      </c>
      <c r="AB467" s="36" t="str" cm="1">
        <f t="array" ref="AB467">_xlfn.IFS(K467&gt;650,"LOW",K467&gt;=550,"MEDIUM",K467&lt;550,"HIGH")</f>
        <v>LOW</v>
      </c>
    </row>
    <row r="468" spans="3:28" x14ac:dyDescent="0.3">
      <c r="C468" s="35" t="s">
        <v>2664</v>
      </c>
      <c r="D468" s="1" t="s">
        <v>694</v>
      </c>
      <c r="E468" s="1">
        <v>28</v>
      </c>
      <c r="F468" s="1" t="s">
        <v>26</v>
      </c>
      <c r="G468" s="1" t="s">
        <v>56</v>
      </c>
      <c r="H468" s="1" t="s">
        <v>36</v>
      </c>
      <c r="I468" s="1" t="s">
        <v>57</v>
      </c>
      <c r="J468" s="7">
        <v>106489</v>
      </c>
      <c r="K468" s="1">
        <v>727</v>
      </c>
      <c r="L468" s="7">
        <v>44339</v>
      </c>
      <c r="M468" s="1">
        <v>36</v>
      </c>
      <c r="N468" s="6">
        <v>0.1065</v>
      </c>
      <c r="O468" s="1" t="s">
        <v>41</v>
      </c>
      <c r="P468" s="1" t="s">
        <v>47</v>
      </c>
      <c r="Q468" s="1">
        <v>10</v>
      </c>
      <c r="R468" s="1">
        <v>1</v>
      </c>
      <c r="S468" s="1" t="s">
        <v>31</v>
      </c>
      <c r="T468" s="1" t="s">
        <v>33</v>
      </c>
      <c r="U468" s="1">
        <v>3</v>
      </c>
      <c r="V468" s="1">
        <v>132424</v>
      </c>
      <c r="W468" s="7">
        <v>1809.43</v>
      </c>
      <c r="X468" s="1">
        <v>0.45</v>
      </c>
      <c r="Y468" s="4">
        <v>45229</v>
      </c>
      <c r="Z468" s="1" t="s">
        <v>38</v>
      </c>
      <c r="AA468" s="1" t="s">
        <v>31</v>
      </c>
      <c r="AB468" s="36" t="str" cm="1">
        <f t="array" ref="AB468">_xlfn.IFS(K468&gt;650,"LOW",K468&gt;=550,"MEDIUM",K468&lt;550,"HIGH")</f>
        <v>LOW</v>
      </c>
    </row>
    <row r="469" spans="3:28" x14ac:dyDescent="0.3">
      <c r="C469" s="35" t="s">
        <v>2939</v>
      </c>
      <c r="D469" s="1" t="s">
        <v>967</v>
      </c>
      <c r="E469" s="1">
        <v>34</v>
      </c>
      <c r="F469" s="1" t="s">
        <v>26</v>
      </c>
      <c r="G469" s="1" t="s">
        <v>35</v>
      </c>
      <c r="H469" s="1" t="s">
        <v>54</v>
      </c>
      <c r="I469" s="1" t="s">
        <v>57</v>
      </c>
      <c r="J469" s="7">
        <v>143178</v>
      </c>
      <c r="K469" s="1">
        <v>727</v>
      </c>
      <c r="L469" s="7">
        <v>34746</v>
      </c>
      <c r="M469" s="1">
        <v>36</v>
      </c>
      <c r="N469" s="6">
        <v>9.3399999999999997E-2</v>
      </c>
      <c r="O469" s="1" t="s">
        <v>5</v>
      </c>
      <c r="P469" s="1" t="s">
        <v>47</v>
      </c>
      <c r="Q469" s="1">
        <v>14</v>
      </c>
      <c r="R469" s="1">
        <v>3</v>
      </c>
      <c r="S469" s="1" t="s">
        <v>33</v>
      </c>
      <c r="T469" s="1" t="s">
        <v>33</v>
      </c>
      <c r="U469" s="1">
        <v>4</v>
      </c>
      <c r="V469" s="1">
        <v>92811</v>
      </c>
      <c r="W469" s="7">
        <v>1838.82</v>
      </c>
      <c r="X469" s="1">
        <v>0.89</v>
      </c>
      <c r="Y469" s="4">
        <v>44620</v>
      </c>
      <c r="Z469" s="1" t="s">
        <v>38</v>
      </c>
      <c r="AA469" s="1" t="s">
        <v>31</v>
      </c>
      <c r="AB469" s="36" t="str" cm="1">
        <f t="array" ref="AB469">_xlfn.IFS(K469&gt;650,"LOW",K469&gt;=550,"MEDIUM",K469&lt;550,"HIGH")</f>
        <v>LOW</v>
      </c>
    </row>
    <row r="470" spans="3:28" x14ac:dyDescent="0.3">
      <c r="C470" s="35" t="s">
        <v>3462</v>
      </c>
      <c r="D470" s="1" t="s">
        <v>1480</v>
      </c>
      <c r="E470" s="1">
        <v>45</v>
      </c>
      <c r="F470" s="1" t="s">
        <v>44</v>
      </c>
      <c r="G470" s="1" t="s">
        <v>56</v>
      </c>
      <c r="H470" s="1" t="s">
        <v>28</v>
      </c>
      <c r="I470" s="1" t="s">
        <v>57</v>
      </c>
      <c r="J470" s="7">
        <v>55281</v>
      </c>
      <c r="K470" s="1">
        <v>727</v>
      </c>
      <c r="L470" s="7">
        <v>38997</v>
      </c>
      <c r="M470" s="1">
        <v>12</v>
      </c>
      <c r="N470" s="6">
        <v>9.7699999999999995E-2</v>
      </c>
      <c r="O470" s="1" t="s">
        <v>63</v>
      </c>
      <c r="P470" s="1" t="s">
        <v>50</v>
      </c>
      <c r="Q470" s="1">
        <v>23</v>
      </c>
      <c r="R470" s="1">
        <v>3</v>
      </c>
      <c r="S470" s="1" t="s">
        <v>31</v>
      </c>
      <c r="T470" s="1" t="s">
        <v>33</v>
      </c>
      <c r="U470" s="1">
        <v>4</v>
      </c>
      <c r="V470" s="1">
        <v>131531</v>
      </c>
      <c r="W470" s="7">
        <v>1906.12</v>
      </c>
      <c r="X470" s="1">
        <v>0.88</v>
      </c>
      <c r="Y470" s="4">
        <v>44380</v>
      </c>
      <c r="Z470" s="1" t="s">
        <v>32</v>
      </c>
      <c r="AA470" s="1" t="s">
        <v>33</v>
      </c>
      <c r="AB470" s="36" t="str" cm="1">
        <f t="array" ref="AB470">_xlfn.IFS(K470&gt;650,"LOW",K470&gt;=550,"MEDIUM",K470&lt;550,"HIGH")</f>
        <v>LOW</v>
      </c>
    </row>
    <row r="471" spans="3:28" x14ac:dyDescent="0.3">
      <c r="C471" s="35" t="s">
        <v>2940</v>
      </c>
      <c r="D471" s="1" t="s">
        <v>968</v>
      </c>
      <c r="E471" s="1">
        <v>58</v>
      </c>
      <c r="F471" s="1" t="s">
        <v>44</v>
      </c>
      <c r="G471" s="1" t="s">
        <v>45</v>
      </c>
      <c r="H471" s="1" t="s">
        <v>54</v>
      </c>
      <c r="I471" s="1" t="s">
        <v>40</v>
      </c>
      <c r="J471" s="7">
        <v>124143</v>
      </c>
      <c r="K471" s="1">
        <v>726</v>
      </c>
      <c r="L471" s="7">
        <v>1730</v>
      </c>
      <c r="M471" s="1">
        <v>12</v>
      </c>
      <c r="N471" s="6">
        <v>0.12029999999999999</v>
      </c>
      <c r="O471" s="1" t="s">
        <v>52</v>
      </c>
      <c r="P471" s="1" t="s">
        <v>30</v>
      </c>
      <c r="Q471" s="1">
        <v>4</v>
      </c>
      <c r="R471" s="1">
        <v>2</v>
      </c>
      <c r="S471" s="1" t="s">
        <v>33</v>
      </c>
      <c r="T471" s="1" t="s">
        <v>33</v>
      </c>
      <c r="U471" s="1">
        <v>3</v>
      </c>
      <c r="V471" s="1">
        <v>132089</v>
      </c>
      <c r="W471" s="7">
        <v>1873.22</v>
      </c>
      <c r="X471" s="1">
        <v>0.78</v>
      </c>
      <c r="Y471" s="4">
        <v>45071</v>
      </c>
      <c r="Z471" s="1" t="s">
        <v>38</v>
      </c>
      <c r="AA471" s="1" t="s">
        <v>33</v>
      </c>
      <c r="AB471" s="36" t="str" cm="1">
        <f t="array" ref="AB471">_xlfn.IFS(K471&gt;650,"LOW",K471&gt;=550,"MEDIUM",K471&lt;550,"HIGH")</f>
        <v>LOW</v>
      </c>
    </row>
    <row r="472" spans="3:28" x14ac:dyDescent="0.3">
      <c r="C472" s="35" t="s">
        <v>2952</v>
      </c>
      <c r="D472" s="1" t="s">
        <v>980</v>
      </c>
      <c r="E472" s="1">
        <v>30</v>
      </c>
      <c r="F472" s="1" t="s">
        <v>44</v>
      </c>
      <c r="G472" s="1" t="s">
        <v>45</v>
      </c>
      <c r="H472" s="1" t="s">
        <v>36</v>
      </c>
      <c r="I472" s="1" t="s">
        <v>40</v>
      </c>
      <c r="J472" s="7">
        <v>85054</v>
      </c>
      <c r="K472" s="1">
        <v>726</v>
      </c>
      <c r="L472" s="7">
        <v>34525</v>
      </c>
      <c r="M472" s="1">
        <v>12</v>
      </c>
      <c r="N472" s="6">
        <v>5.1900000000000002E-2</v>
      </c>
      <c r="O472" s="1" t="s">
        <v>52</v>
      </c>
      <c r="P472" s="1" t="s">
        <v>50</v>
      </c>
      <c r="Q472" s="1">
        <v>27</v>
      </c>
      <c r="R472" s="1">
        <v>1</v>
      </c>
      <c r="S472" s="1" t="s">
        <v>33</v>
      </c>
      <c r="T472" s="1" t="s">
        <v>33</v>
      </c>
      <c r="U472" s="1">
        <v>3</v>
      </c>
      <c r="V472" s="1">
        <v>105695</v>
      </c>
      <c r="W472" s="7">
        <v>224.74</v>
      </c>
      <c r="X472" s="1">
        <v>0.59</v>
      </c>
      <c r="Y472" s="4">
        <v>45241</v>
      </c>
      <c r="Z472" s="1" t="s">
        <v>32</v>
      </c>
      <c r="AA472" s="1" t="s">
        <v>33</v>
      </c>
      <c r="AB472" s="36" t="str" cm="1">
        <f t="array" ref="AB472">_xlfn.IFS(K472&gt;650,"LOW",K472&gt;=550,"MEDIUM",K472&lt;550,"HIGH")</f>
        <v>LOW</v>
      </c>
    </row>
    <row r="473" spans="3:28" x14ac:dyDescent="0.3">
      <c r="C473" s="35" t="s">
        <v>3159</v>
      </c>
      <c r="D473" s="1" t="s">
        <v>1183</v>
      </c>
      <c r="E473" s="1">
        <v>43</v>
      </c>
      <c r="F473" s="1" t="s">
        <v>44</v>
      </c>
      <c r="G473" s="1" t="s">
        <v>56</v>
      </c>
      <c r="H473" s="1" t="s">
        <v>54</v>
      </c>
      <c r="I473" s="1" t="s">
        <v>57</v>
      </c>
      <c r="J473" s="7">
        <v>93396</v>
      </c>
      <c r="K473" s="1">
        <v>726</v>
      </c>
      <c r="L473" s="7">
        <v>23959</v>
      </c>
      <c r="M473" s="1">
        <v>12</v>
      </c>
      <c r="N473" s="6">
        <v>0.18440000000000001</v>
      </c>
      <c r="O473" s="1" t="s">
        <v>46</v>
      </c>
      <c r="P473" s="1" t="s">
        <v>47</v>
      </c>
      <c r="Q473" s="1">
        <v>1</v>
      </c>
      <c r="R473" s="1">
        <v>0</v>
      </c>
      <c r="S473" s="1" t="s">
        <v>31</v>
      </c>
      <c r="T473" s="1" t="s">
        <v>33</v>
      </c>
      <c r="U473" s="1">
        <v>0</v>
      </c>
      <c r="V473" s="1">
        <v>125101</v>
      </c>
      <c r="W473" s="7">
        <v>489.87</v>
      </c>
      <c r="X473" s="1">
        <v>0.17</v>
      </c>
      <c r="Y473" s="4">
        <v>44414</v>
      </c>
      <c r="Z473" s="1" t="s">
        <v>32</v>
      </c>
      <c r="AA473" s="1" t="s">
        <v>33</v>
      </c>
      <c r="AB473" s="36" t="str" cm="1">
        <f t="array" ref="AB473">_xlfn.IFS(K473&gt;650,"LOW",K473&gt;=550,"MEDIUM",K473&lt;550,"HIGH")</f>
        <v>LOW</v>
      </c>
    </row>
    <row r="474" spans="3:28" x14ac:dyDescent="0.3">
      <c r="C474" s="35" t="s">
        <v>3259</v>
      </c>
      <c r="D474" s="1" t="s">
        <v>1282</v>
      </c>
      <c r="E474" s="1">
        <v>29</v>
      </c>
      <c r="F474" s="1" t="s">
        <v>26</v>
      </c>
      <c r="G474" s="1" t="s">
        <v>56</v>
      </c>
      <c r="H474" s="1" t="s">
        <v>54</v>
      </c>
      <c r="I474" s="1" t="s">
        <v>40</v>
      </c>
      <c r="J474" s="7">
        <v>62719</v>
      </c>
      <c r="K474" s="1">
        <v>726</v>
      </c>
      <c r="L474" s="7">
        <v>10429</v>
      </c>
      <c r="M474" s="1">
        <v>48</v>
      </c>
      <c r="N474" s="6">
        <v>0.15839999999999999</v>
      </c>
      <c r="O474" s="1" t="s">
        <v>52</v>
      </c>
      <c r="P474" s="1" t="s">
        <v>47</v>
      </c>
      <c r="Q474" s="1">
        <v>19</v>
      </c>
      <c r="R474" s="1">
        <v>3</v>
      </c>
      <c r="S474" s="1" t="s">
        <v>31</v>
      </c>
      <c r="T474" s="1" t="s">
        <v>33</v>
      </c>
      <c r="U474" s="1">
        <v>3</v>
      </c>
      <c r="V474" s="1">
        <v>134822</v>
      </c>
      <c r="W474" s="7">
        <v>1362.29</v>
      </c>
      <c r="X474" s="1">
        <v>0.56999999999999995</v>
      </c>
      <c r="Y474" s="4">
        <v>45504</v>
      </c>
      <c r="Z474" s="1" t="s">
        <v>32</v>
      </c>
      <c r="AA474" s="1" t="s">
        <v>33</v>
      </c>
      <c r="AB474" s="36" t="str" cm="1">
        <f t="array" ref="AB474">_xlfn.IFS(K474&gt;650,"LOW",K474&gt;=550,"MEDIUM",K474&lt;550,"HIGH")</f>
        <v>LOW</v>
      </c>
    </row>
    <row r="475" spans="3:28" x14ac:dyDescent="0.3">
      <c r="C475" s="35" t="s">
        <v>3279</v>
      </c>
      <c r="D475" s="1" t="s">
        <v>1302</v>
      </c>
      <c r="E475" s="1">
        <v>61</v>
      </c>
      <c r="F475" s="1" t="s">
        <v>26</v>
      </c>
      <c r="G475" s="1" t="s">
        <v>35</v>
      </c>
      <c r="H475" s="1" t="s">
        <v>36</v>
      </c>
      <c r="I475" s="1" t="s">
        <v>40</v>
      </c>
      <c r="J475" s="7">
        <v>46393</v>
      </c>
      <c r="K475" s="1">
        <v>726</v>
      </c>
      <c r="L475" s="7">
        <v>25146</v>
      </c>
      <c r="M475" s="1">
        <v>36</v>
      </c>
      <c r="N475" s="6">
        <v>7.3800000000000004E-2</v>
      </c>
      <c r="O475" s="1" t="s">
        <v>5</v>
      </c>
      <c r="P475" s="1" t="s">
        <v>30</v>
      </c>
      <c r="Q475" s="1">
        <v>18</v>
      </c>
      <c r="R475" s="1">
        <v>3</v>
      </c>
      <c r="S475" s="1" t="s">
        <v>33</v>
      </c>
      <c r="T475" s="1" t="s">
        <v>31</v>
      </c>
      <c r="U475" s="1">
        <v>0</v>
      </c>
      <c r="V475" s="1">
        <v>152884</v>
      </c>
      <c r="W475" s="7">
        <v>897.33</v>
      </c>
      <c r="X475" s="1">
        <v>0.88</v>
      </c>
      <c r="Y475" s="4">
        <v>44219</v>
      </c>
      <c r="Z475" s="1" t="s">
        <v>38</v>
      </c>
      <c r="AA475" s="1" t="s">
        <v>33</v>
      </c>
      <c r="AB475" s="36" t="str" cm="1">
        <f t="array" ref="AB475">_xlfn.IFS(K475&gt;650,"LOW",K475&gt;=550,"MEDIUM",K475&lt;550,"HIGH")</f>
        <v>LOW</v>
      </c>
    </row>
    <row r="476" spans="3:28" x14ac:dyDescent="0.3">
      <c r="C476" s="35" t="s">
        <v>3727</v>
      </c>
      <c r="D476" s="1" t="s">
        <v>561</v>
      </c>
      <c r="E476" s="1">
        <v>38</v>
      </c>
      <c r="F476" s="1" t="s">
        <v>44</v>
      </c>
      <c r="G476" s="1" t="s">
        <v>35</v>
      </c>
      <c r="H476" s="1" t="s">
        <v>28</v>
      </c>
      <c r="I476" s="1" t="s">
        <v>59</v>
      </c>
      <c r="J476" s="7">
        <v>112005</v>
      </c>
      <c r="K476" s="1">
        <v>726</v>
      </c>
      <c r="L476" s="7">
        <v>38177</v>
      </c>
      <c r="M476" s="1">
        <v>36</v>
      </c>
      <c r="N476" s="6">
        <v>8.7899999999999992E-2</v>
      </c>
      <c r="O476" s="1" t="s">
        <v>63</v>
      </c>
      <c r="P476" s="1" t="s">
        <v>30</v>
      </c>
      <c r="Q476" s="1">
        <v>15</v>
      </c>
      <c r="R476" s="1">
        <v>0</v>
      </c>
      <c r="S476" s="1" t="s">
        <v>31</v>
      </c>
      <c r="T476" s="1" t="s">
        <v>33</v>
      </c>
      <c r="U476" s="1">
        <v>3</v>
      </c>
      <c r="V476" s="1">
        <v>145138</v>
      </c>
      <c r="W476" s="7">
        <v>429.57</v>
      </c>
      <c r="X476" s="1">
        <v>0.64</v>
      </c>
      <c r="Y476" s="4">
        <v>44301</v>
      </c>
      <c r="Z476" s="1" t="s">
        <v>32</v>
      </c>
      <c r="AA476" s="1" t="s">
        <v>33</v>
      </c>
      <c r="AB476" s="36" t="str" cm="1">
        <f t="array" ref="AB476">_xlfn.IFS(K476&gt;650,"LOW",K476&gt;=550,"MEDIUM",K476&lt;550,"HIGH")</f>
        <v>LOW</v>
      </c>
    </row>
    <row r="477" spans="3:28" x14ac:dyDescent="0.3">
      <c r="C477" s="35" t="s">
        <v>2231</v>
      </c>
      <c r="D477" s="1" t="s">
        <v>262</v>
      </c>
      <c r="E477" s="1">
        <v>31</v>
      </c>
      <c r="F477" s="1" t="s">
        <v>44</v>
      </c>
      <c r="G477" s="1" t="s">
        <v>35</v>
      </c>
      <c r="H477" s="1" t="s">
        <v>54</v>
      </c>
      <c r="I477" s="1" t="s">
        <v>29</v>
      </c>
      <c r="J477" s="7">
        <v>121128</v>
      </c>
      <c r="K477" s="1">
        <v>725</v>
      </c>
      <c r="L477" s="7">
        <v>10107</v>
      </c>
      <c r="M477" s="1">
        <v>24</v>
      </c>
      <c r="N477" s="6">
        <v>0.1638</v>
      </c>
      <c r="O477" s="1" t="s">
        <v>46</v>
      </c>
      <c r="P477" s="1" t="s">
        <v>47</v>
      </c>
      <c r="Q477" s="1">
        <v>9</v>
      </c>
      <c r="R477" s="1">
        <v>4</v>
      </c>
      <c r="S477" s="1" t="s">
        <v>31</v>
      </c>
      <c r="T477" s="1" t="s">
        <v>31</v>
      </c>
      <c r="U477" s="1">
        <v>4</v>
      </c>
      <c r="V477" s="1">
        <v>156199</v>
      </c>
      <c r="W477" s="7">
        <v>1221.5999999999999</v>
      </c>
      <c r="X477" s="1">
        <v>0.33</v>
      </c>
      <c r="Y477" s="4">
        <v>44129</v>
      </c>
      <c r="Z477" s="1" t="s">
        <v>38</v>
      </c>
      <c r="AA477" s="1" t="s">
        <v>31</v>
      </c>
      <c r="AB477" s="36" t="str" cm="1">
        <f t="array" ref="AB477">_xlfn.IFS(K477&gt;650,"LOW",K477&gt;=550,"MEDIUM",K477&lt;550,"HIGH")</f>
        <v>LOW</v>
      </c>
    </row>
    <row r="478" spans="3:28" x14ac:dyDescent="0.3">
      <c r="C478" s="35" t="s">
        <v>2316</v>
      </c>
      <c r="D478" s="1" t="s">
        <v>347</v>
      </c>
      <c r="E478" s="1">
        <v>23</v>
      </c>
      <c r="F478" s="1" t="s">
        <v>44</v>
      </c>
      <c r="G478" s="1" t="s">
        <v>45</v>
      </c>
      <c r="H478" s="1" t="s">
        <v>61</v>
      </c>
      <c r="I478" s="1" t="s">
        <v>40</v>
      </c>
      <c r="J478" s="7">
        <v>142863</v>
      </c>
      <c r="K478" s="1">
        <v>725</v>
      </c>
      <c r="L478" s="7">
        <v>26792</v>
      </c>
      <c r="M478" s="1">
        <v>36</v>
      </c>
      <c r="N478" s="6">
        <v>6.2E-2</v>
      </c>
      <c r="O478" s="1" t="s">
        <v>37</v>
      </c>
      <c r="P478" s="1" t="s">
        <v>50</v>
      </c>
      <c r="Q478" s="1">
        <v>19</v>
      </c>
      <c r="R478" s="1">
        <v>4</v>
      </c>
      <c r="S478" s="1" t="s">
        <v>31</v>
      </c>
      <c r="T478" s="1" t="s">
        <v>31</v>
      </c>
      <c r="U478" s="1">
        <v>3</v>
      </c>
      <c r="V478" s="1">
        <v>37018</v>
      </c>
      <c r="W478" s="7">
        <v>248.25</v>
      </c>
      <c r="X478" s="1">
        <v>0.97</v>
      </c>
      <c r="Y478" s="4">
        <v>45838</v>
      </c>
      <c r="Z478" s="1" t="s">
        <v>38</v>
      </c>
      <c r="AA478" s="1" t="s">
        <v>33</v>
      </c>
      <c r="AB478" s="36" t="str" cm="1">
        <f t="array" ref="AB478">_xlfn.IFS(K478&gt;650,"LOW",K478&gt;=550,"MEDIUM",K478&lt;550,"HIGH")</f>
        <v>LOW</v>
      </c>
    </row>
    <row r="479" spans="3:28" x14ac:dyDescent="0.3">
      <c r="C479" s="35" t="s">
        <v>2410</v>
      </c>
      <c r="D479" s="1" t="s">
        <v>440</v>
      </c>
      <c r="E479" s="1">
        <v>28</v>
      </c>
      <c r="F479" s="1" t="s">
        <v>44</v>
      </c>
      <c r="G479" s="1" t="s">
        <v>35</v>
      </c>
      <c r="H479" s="1" t="s">
        <v>36</v>
      </c>
      <c r="I479" s="1" t="s">
        <v>59</v>
      </c>
      <c r="J479" s="7">
        <v>98572</v>
      </c>
      <c r="K479" s="1">
        <v>725</v>
      </c>
      <c r="L479" s="7">
        <v>45498</v>
      </c>
      <c r="M479" s="1">
        <v>60</v>
      </c>
      <c r="N479" s="6">
        <v>5.2699999999999997E-2</v>
      </c>
      <c r="O479" s="1" t="s">
        <v>63</v>
      </c>
      <c r="P479" s="1" t="s">
        <v>50</v>
      </c>
      <c r="Q479" s="1">
        <v>26</v>
      </c>
      <c r="R479" s="1">
        <v>1</v>
      </c>
      <c r="S479" s="1" t="s">
        <v>31</v>
      </c>
      <c r="T479" s="1" t="s">
        <v>31</v>
      </c>
      <c r="U479" s="1">
        <v>1</v>
      </c>
      <c r="V479" s="1">
        <v>9550</v>
      </c>
      <c r="W479" s="7">
        <v>1374.59</v>
      </c>
      <c r="X479" s="1">
        <v>0.78</v>
      </c>
      <c r="Y479" s="4">
        <v>44035</v>
      </c>
      <c r="Z479" s="1" t="s">
        <v>38</v>
      </c>
      <c r="AA479" s="1" t="s">
        <v>33</v>
      </c>
      <c r="AB479" s="36" t="str" cm="1">
        <f t="array" ref="AB479">_xlfn.IFS(K479&gt;650,"LOW",K479&gt;=550,"MEDIUM",K479&lt;550,"HIGH")</f>
        <v>LOW</v>
      </c>
    </row>
    <row r="480" spans="3:28" x14ac:dyDescent="0.3">
      <c r="C480" s="35" t="s">
        <v>2168</v>
      </c>
      <c r="D480" s="1" t="s">
        <v>199</v>
      </c>
      <c r="E480" s="1">
        <v>49</v>
      </c>
      <c r="F480" s="1" t="s">
        <v>44</v>
      </c>
      <c r="G480" s="1" t="s">
        <v>27</v>
      </c>
      <c r="H480" s="1" t="s">
        <v>54</v>
      </c>
      <c r="I480" s="1" t="s">
        <v>57</v>
      </c>
      <c r="J480" s="7">
        <v>75182</v>
      </c>
      <c r="K480" s="1">
        <v>724</v>
      </c>
      <c r="L480" s="7">
        <v>46210</v>
      </c>
      <c r="M480" s="1">
        <v>60</v>
      </c>
      <c r="N480" s="6">
        <v>6.7900000000000002E-2</v>
      </c>
      <c r="O480" s="1" t="s">
        <v>63</v>
      </c>
      <c r="P480" s="1" t="s">
        <v>30</v>
      </c>
      <c r="Q480" s="1">
        <v>14</v>
      </c>
      <c r="R480" s="1">
        <v>1</v>
      </c>
      <c r="S480" s="1" t="s">
        <v>31</v>
      </c>
      <c r="T480" s="1" t="s">
        <v>33</v>
      </c>
      <c r="U480" s="1">
        <v>4</v>
      </c>
      <c r="V480" s="1">
        <v>87367</v>
      </c>
      <c r="W480" s="7">
        <v>1335.68</v>
      </c>
      <c r="X480" s="1">
        <v>0.37</v>
      </c>
      <c r="Y480" s="4">
        <v>45359</v>
      </c>
      <c r="Z480" s="1" t="s">
        <v>38</v>
      </c>
      <c r="AA480" s="1" t="s">
        <v>33</v>
      </c>
      <c r="AB480" s="36" t="str" cm="1">
        <f t="array" ref="AB480">_xlfn.IFS(K480&gt;650,"LOW",K480&gt;=550,"MEDIUM",K480&lt;550,"HIGH")</f>
        <v>LOW</v>
      </c>
    </row>
    <row r="481" spans="3:28" x14ac:dyDescent="0.3">
      <c r="C481" s="35" t="s">
        <v>3193</v>
      </c>
      <c r="D481" s="1" t="s">
        <v>1217</v>
      </c>
      <c r="E481" s="1">
        <v>28</v>
      </c>
      <c r="F481" s="1" t="s">
        <v>26</v>
      </c>
      <c r="G481" s="1" t="s">
        <v>27</v>
      </c>
      <c r="H481" s="1" t="s">
        <v>61</v>
      </c>
      <c r="I481" s="1" t="s">
        <v>40</v>
      </c>
      <c r="J481" s="7">
        <v>91055</v>
      </c>
      <c r="K481" s="1">
        <v>724</v>
      </c>
      <c r="L481" s="7">
        <v>19242</v>
      </c>
      <c r="M481" s="1">
        <v>12</v>
      </c>
      <c r="N481" s="6">
        <v>0.13720000000000002</v>
      </c>
      <c r="O481" s="1" t="s">
        <v>41</v>
      </c>
      <c r="P481" s="1" t="s">
        <v>47</v>
      </c>
      <c r="Q481" s="1">
        <v>29</v>
      </c>
      <c r="R481" s="1">
        <v>4</v>
      </c>
      <c r="S481" s="1" t="s">
        <v>31</v>
      </c>
      <c r="T481" s="1" t="s">
        <v>31</v>
      </c>
      <c r="U481" s="1">
        <v>3</v>
      </c>
      <c r="V481" s="1">
        <v>144877</v>
      </c>
      <c r="W481" s="7">
        <v>629.59</v>
      </c>
      <c r="X481" s="1">
        <v>0.48</v>
      </c>
      <c r="Y481" s="4">
        <v>44090</v>
      </c>
      <c r="Z481" s="1" t="s">
        <v>38</v>
      </c>
      <c r="AA481" s="1" t="s">
        <v>31</v>
      </c>
      <c r="AB481" s="36" t="str" cm="1">
        <f t="array" ref="AB481">_xlfn.IFS(K481&gt;650,"LOW",K481&gt;=550,"MEDIUM",K481&lt;550,"HIGH")</f>
        <v>LOW</v>
      </c>
    </row>
    <row r="482" spans="3:28" x14ac:dyDescent="0.3">
      <c r="C482" s="35" t="s">
        <v>3404</v>
      </c>
      <c r="D482" s="1" t="s">
        <v>1424</v>
      </c>
      <c r="E482" s="1">
        <v>59</v>
      </c>
      <c r="F482" s="1" t="s">
        <v>44</v>
      </c>
      <c r="G482" s="1" t="s">
        <v>27</v>
      </c>
      <c r="H482" s="1" t="s">
        <v>61</v>
      </c>
      <c r="I482" s="1" t="s">
        <v>57</v>
      </c>
      <c r="J482" s="7">
        <v>20769</v>
      </c>
      <c r="K482" s="1">
        <v>724</v>
      </c>
      <c r="L482" s="7">
        <v>38367</v>
      </c>
      <c r="M482" s="1">
        <v>24</v>
      </c>
      <c r="N482" s="6">
        <v>9.64E-2</v>
      </c>
      <c r="O482" s="1" t="s">
        <v>41</v>
      </c>
      <c r="P482" s="1" t="s">
        <v>47</v>
      </c>
      <c r="Q482" s="1">
        <v>15</v>
      </c>
      <c r="R482" s="1">
        <v>1</v>
      </c>
      <c r="S482" s="1" t="s">
        <v>31</v>
      </c>
      <c r="T482" s="1" t="s">
        <v>33</v>
      </c>
      <c r="U482" s="1">
        <v>4</v>
      </c>
      <c r="V482" s="1">
        <v>66469</v>
      </c>
      <c r="W482" s="7">
        <v>792.86</v>
      </c>
      <c r="X482" s="1">
        <v>0.73</v>
      </c>
      <c r="Y482" s="4">
        <v>45694</v>
      </c>
      <c r="Z482" s="1" t="s">
        <v>38</v>
      </c>
      <c r="AA482" s="1" t="s">
        <v>33</v>
      </c>
      <c r="AB482" s="36" t="str" cm="1">
        <f t="array" ref="AB482">_xlfn.IFS(K482&gt;650,"LOW",K482&gt;=550,"MEDIUM",K482&lt;550,"HIGH")</f>
        <v>LOW</v>
      </c>
    </row>
    <row r="483" spans="3:28" x14ac:dyDescent="0.3">
      <c r="C483" s="35" t="s">
        <v>3883</v>
      </c>
      <c r="D483" s="1" t="s">
        <v>1889</v>
      </c>
      <c r="E483" s="1">
        <v>59</v>
      </c>
      <c r="F483" s="1" t="s">
        <v>26</v>
      </c>
      <c r="G483" s="1" t="s">
        <v>27</v>
      </c>
      <c r="H483" s="1" t="s">
        <v>61</v>
      </c>
      <c r="I483" s="1" t="s">
        <v>29</v>
      </c>
      <c r="J483" s="7">
        <v>48074</v>
      </c>
      <c r="K483" s="1">
        <v>723</v>
      </c>
      <c r="L483" s="7">
        <v>23733</v>
      </c>
      <c r="M483" s="1">
        <v>60</v>
      </c>
      <c r="N483" s="6">
        <v>0.1449</v>
      </c>
      <c r="O483" s="1" t="s">
        <v>52</v>
      </c>
      <c r="P483" s="1" t="s">
        <v>47</v>
      </c>
      <c r="Q483" s="1">
        <v>25</v>
      </c>
      <c r="R483" s="1">
        <v>4</v>
      </c>
      <c r="S483" s="1" t="s">
        <v>33</v>
      </c>
      <c r="T483" s="1" t="s">
        <v>33</v>
      </c>
      <c r="U483" s="1">
        <v>4</v>
      </c>
      <c r="V483" s="1">
        <v>60814</v>
      </c>
      <c r="W483" s="7">
        <v>410.72</v>
      </c>
      <c r="X483" s="1">
        <v>0.4</v>
      </c>
      <c r="Y483" s="4">
        <v>45606</v>
      </c>
      <c r="Z483" s="1" t="s">
        <v>32</v>
      </c>
      <c r="AA483" s="1" t="s">
        <v>33</v>
      </c>
      <c r="AB483" s="36" t="str" cm="1">
        <f t="array" ref="AB483">_xlfn.IFS(K483&gt;650,"LOW",K483&gt;=550,"MEDIUM",K483&lt;550,"HIGH")</f>
        <v>LOW</v>
      </c>
    </row>
    <row r="484" spans="3:28" x14ac:dyDescent="0.3">
      <c r="C484" s="35" t="s">
        <v>2058</v>
      </c>
      <c r="D484" s="1" t="s">
        <v>89</v>
      </c>
      <c r="E484" s="1">
        <v>41</v>
      </c>
      <c r="F484" s="1" t="s">
        <v>26</v>
      </c>
      <c r="G484" s="1" t="s">
        <v>45</v>
      </c>
      <c r="H484" s="1" t="s">
        <v>54</v>
      </c>
      <c r="I484" s="1" t="s">
        <v>40</v>
      </c>
      <c r="J484" s="7">
        <v>46505</v>
      </c>
      <c r="K484" s="1">
        <v>722</v>
      </c>
      <c r="L484" s="7">
        <v>17991</v>
      </c>
      <c r="M484" s="1">
        <v>60</v>
      </c>
      <c r="N484" s="6">
        <v>8.8499999999999995E-2</v>
      </c>
      <c r="O484" s="1" t="s">
        <v>37</v>
      </c>
      <c r="P484" s="1" t="s">
        <v>30</v>
      </c>
      <c r="Q484" s="1">
        <v>27</v>
      </c>
      <c r="R484" s="1">
        <v>3</v>
      </c>
      <c r="S484" s="1" t="s">
        <v>33</v>
      </c>
      <c r="T484" s="1" t="s">
        <v>31</v>
      </c>
      <c r="U484" s="1">
        <v>3</v>
      </c>
      <c r="V484" s="1">
        <v>18808</v>
      </c>
      <c r="W484" s="7">
        <v>1484.7</v>
      </c>
      <c r="X484" s="1">
        <v>0.32</v>
      </c>
      <c r="Y484" s="4">
        <v>45485</v>
      </c>
      <c r="Z484" s="1" t="s">
        <v>38</v>
      </c>
      <c r="AA484" s="1" t="s">
        <v>33</v>
      </c>
      <c r="AB484" s="36" t="str" cm="1">
        <f t="array" ref="AB484">_xlfn.IFS(K484&gt;650,"LOW",K484&gt;=550,"MEDIUM",K484&lt;550,"HIGH")</f>
        <v>LOW</v>
      </c>
    </row>
    <row r="485" spans="3:28" x14ac:dyDescent="0.3">
      <c r="C485" s="35" t="s">
        <v>3048</v>
      </c>
      <c r="D485" s="1" t="s">
        <v>1075</v>
      </c>
      <c r="E485" s="1">
        <v>33</v>
      </c>
      <c r="F485" s="1" t="s">
        <v>44</v>
      </c>
      <c r="G485" s="1" t="s">
        <v>35</v>
      </c>
      <c r="H485" s="1" t="s">
        <v>36</v>
      </c>
      <c r="I485" s="1" t="s">
        <v>40</v>
      </c>
      <c r="J485" s="7">
        <v>20453</v>
      </c>
      <c r="K485" s="1">
        <v>722</v>
      </c>
      <c r="L485" s="7">
        <v>2919</v>
      </c>
      <c r="M485" s="1">
        <v>12</v>
      </c>
      <c r="N485" s="6">
        <v>9.0500000000000011E-2</v>
      </c>
      <c r="O485" s="1" t="s">
        <v>52</v>
      </c>
      <c r="P485" s="1" t="s">
        <v>50</v>
      </c>
      <c r="Q485" s="1">
        <v>17</v>
      </c>
      <c r="R485" s="1">
        <v>4</v>
      </c>
      <c r="S485" s="1" t="s">
        <v>31</v>
      </c>
      <c r="T485" s="1" t="s">
        <v>31</v>
      </c>
      <c r="U485" s="1">
        <v>4</v>
      </c>
      <c r="V485" s="1">
        <v>193932</v>
      </c>
      <c r="W485" s="7">
        <v>1432.25</v>
      </c>
      <c r="X485" s="1">
        <v>0.99</v>
      </c>
      <c r="Y485" s="4">
        <v>44369</v>
      </c>
      <c r="Z485" s="1" t="s">
        <v>38</v>
      </c>
      <c r="AA485" s="1" t="s">
        <v>31</v>
      </c>
      <c r="AB485" s="36" t="str" cm="1">
        <f t="array" ref="AB485">_xlfn.IFS(K485&gt;650,"LOW",K485&gt;=550,"MEDIUM",K485&lt;550,"HIGH")</f>
        <v>LOW</v>
      </c>
    </row>
    <row r="486" spans="3:28" x14ac:dyDescent="0.3">
      <c r="C486" s="35" t="s">
        <v>3571</v>
      </c>
      <c r="D486" s="1" t="s">
        <v>1588</v>
      </c>
      <c r="E486" s="1">
        <v>27</v>
      </c>
      <c r="F486" s="1" t="s">
        <v>44</v>
      </c>
      <c r="G486" s="1" t="s">
        <v>56</v>
      </c>
      <c r="H486" s="1" t="s">
        <v>61</v>
      </c>
      <c r="I486" s="1" t="s">
        <v>59</v>
      </c>
      <c r="J486" s="7">
        <v>142984</v>
      </c>
      <c r="K486" s="1">
        <v>722</v>
      </c>
      <c r="L486" s="7">
        <v>31104</v>
      </c>
      <c r="M486" s="1">
        <v>24</v>
      </c>
      <c r="N486" s="6">
        <v>9.2899999999999996E-2</v>
      </c>
      <c r="O486" s="1" t="s">
        <v>46</v>
      </c>
      <c r="P486" s="1" t="s">
        <v>50</v>
      </c>
      <c r="Q486" s="1">
        <v>2</v>
      </c>
      <c r="R486" s="1">
        <v>3</v>
      </c>
      <c r="S486" s="1" t="s">
        <v>31</v>
      </c>
      <c r="T486" s="1" t="s">
        <v>33</v>
      </c>
      <c r="U486" s="1">
        <v>2</v>
      </c>
      <c r="V486" s="1">
        <v>189592</v>
      </c>
      <c r="W486" s="7">
        <v>1061.2</v>
      </c>
      <c r="X486" s="1">
        <v>0.12</v>
      </c>
      <c r="Y486" s="4">
        <v>44395</v>
      </c>
      <c r="Z486" s="1" t="s">
        <v>32</v>
      </c>
      <c r="AA486" s="1" t="s">
        <v>33</v>
      </c>
      <c r="AB486" s="36" t="str" cm="1">
        <f t="array" ref="AB486">_xlfn.IFS(K486&gt;650,"LOW",K486&gt;=550,"MEDIUM",K486&lt;550,"HIGH")</f>
        <v>LOW</v>
      </c>
    </row>
    <row r="487" spans="3:28" x14ac:dyDescent="0.3">
      <c r="C487" s="35" t="s">
        <v>3999</v>
      </c>
      <c r="D487" s="1" t="s">
        <v>1999</v>
      </c>
      <c r="E487" s="1">
        <v>53</v>
      </c>
      <c r="F487" s="1" t="s">
        <v>26</v>
      </c>
      <c r="G487" s="1" t="s">
        <v>45</v>
      </c>
      <c r="H487" s="1" t="s">
        <v>28</v>
      </c>
      <c r="I487" s="1" t="s">
        <v>40</v>
      </c>
      <c r="J487" s="7">
        <v>106338</v>
      </c>
      <c r="K487" s="1">
        <v>722</v>
      </c>
      <c r="L487" s="7">
        <v>22675</v>
      </c>
      <c r="M487" s="1">
        <v>24</v>
      </c>
      <c r="N487" s="6">
        <v>0.18100000000000002</v>
      </c>
      <c r="O487" s="1" t="s">
        <v>63</v>
      </c>
      <c r="P487" s="1" t="s">
        <v>47</v>
      </c>
      <c r="Q487" s="1">
        <v>19</v>
      </c>
      <c r="R487" s="1">
        <v>3</v>
      </c>
      <c r="S487" s="1" t="s">
        <v>33</v>
      </c>
      <c r="T487" s="1" t="s">
        <v>31</v>
      </c>
      <c r="U487" s="1">
        <v>3</v>
      </c>
      <c r="V487" s="1">
        <v>56813</v>
      </c>
      <c r="W487" s="7">
        <v>630.47</v>
      </c>
      <c r="X487" s="1">
        <v>0.48</v>
      </c>
      <c r="Y487" s="4">
        <v>44944</v>
      </c>
      <c r="Z487" s="1" t="s">
        <v>38</v>
      </c>
      <c r="AA487" s="1" t="s">
        <v>33</v>
      </c>
      <c r="AB487" s="36" t="str" cm="1">
        <f t="array" ref="AB487">_xlfn.IFS(K487&gt;650,"LOW",K487&gt;=550,"MEDIUM",K487&lt;550,"HIGH")</f>
        <v>LOW</v>
      </c>
    </row>
    <row r="488" spans="3:28" x14ac:dyDescent="0.3">
      <c r="C488" s="35" t="s">
        <v>2183</v>
      </c>
      <c r="D488" s="1" t="s">
        <v>214</v>
      </c>
      <c r="E488" s="1">
        <v>50</v>
      </c>
      <c r="F488" s="1" t="s">
        <v>26</v>
      </c>
      <c r="G488" s="1" t="s">
        <v>35</v>
      </c>
      <c r="H488" s="1" t="s">
        <v>28</v>
      </c>
      <c r="I488" s="1" t="s">
        <v>40</v>
      </c>
      <c r="J488" s="7">
        <v>67997</v>
      </c>
      <c r="K488" s="1">
        <v>721</v>
      </c>
      <c r="L488" s="7">
        <v>1784</v>
      </c>
      <c r="M488" s="1">
        <v>24</v>
      </c>
      <c r="N488" s="6">
        <v>5.6500000000000002E-2</v>
      </c>
      <c r="O488" s="1" t="s">
        <v>46</v>
      </c>
      <c r="P488" s="1" t="s">
        <v>30</v>
      </c>
      <c r="Q488" s="1">
        <v>26</v>
      </c>
      <c r="R488" s="1">
        <v>3</v>
      </c>
      <c r="S488" s="1" t="s">
        <v>33</v>
      </c>
      <c r="T488" s="1" t="s">
        <v>31</v>
      </c>
      <c r="U488" s="1">
        <v>4</v>
      </c>
      <c r="V488" s="1">
        <v>89705</v>
      </c>
      <c r="W488" s="7">
        <v>1781.99</v>
      </c>
      <c r="X488" s="1">
        <v>0.41</v>
      </c>
      <c r="Y488" s="4">
        <v>45304</v>
      </c>
      <c r="Z488" s="1" t="s">
        <v>38</v>
      </c>
      <c r="AA488" s="1" t="s">
        <v>33</v>
      </c>
      <c r="AB488" s="36" t="str" cm="1">
        <f t="array" ref="AB488">_xlfn.IFS(K488&gt;650,"LOW",K488&gt;=550,"MEDIUM",K488&lt;550,"HIGH")</f>
        <v>LOW</v>
      </c>
    </row>
    <row r="489" spans="3:28" x14ac:dyDescent="0.3">
      <c r="C489" s="35" t="s">
        <v>2217</v>
      </c>
      <c r="D489" s="1" t="s">
        <v>248</v>
      </c>
      <c r="E489" s="1">
        <v>48</v>
      </c>
      <c r="F489" s="1" t="s">
        <v>26</v>
      </c>
      <c r="G489" s="1" t="s">
        <v>56</v>
      </c>
      <c r="H489" s="1" t="s">
        <v>36</v>
      </c>
      <c r="I489" s="1" t="s">
        <v>29</v>
      </c>
      <c r="J489" s="7">
        <v>125514</v>
      </c>
      <c r="K489" s="1">
        <v>721</v>
      </c>
      <c r="L489" s="7">
        <v>49884</v>
      </c>
      <c r="M489" s="1">
        <v>36</v>
      </c>
      <c r="N489" s="6">
        <v>0.12520000000000001</v>
      </c>
      <c r="O489" s="1" t="s">
        <v>46</v>
      </c>
      <c r="P489" s="1" t="s">
        <v>30</v>
      </c>
      <c r="Q489" s="1">
        <v>21</v>
      </c>
      <c r="R489" s="1">
        <v>3</v>
      </c>
      <c r="S489" s="1" t="s">
        <v>31</v>
      </c>
      <c r="T489" s="1" t="s">
        <v>31</v>
      </c>
      <c r="U489" s="1">
        <v>1</v>
      </c>
      <c r="V489" s="1">
        <v>149651</v>
      </c>
      <c r="W489" s="7">
        <v>549.74</v>
      </c>
      <c r="X489" s="1">
        <v>0.45</v>
      </c>
      <c r="Y489" s="4">
        <v>44396</v>
      </c>
      <c r="Z489" s="1" t="s">
        <v>38</v>
      </c>
      <c r="AA489" s="1" t="s">
        <v>33</v>
      </c>
      <c r="AB489" s="36" t="str" cm="1">
        <f t="array" ref="AB489">_xlfn.IFS(K489&gt;650,"LOW",K489&gt;=550,"MEDIUM",K489&lt;550,"HIGH")</f>
        <v>LOW</v>
      </c>
    </row>
    <row r="490" spans="3:28" x14ac:dyDescent="0.3">
      <c r="C490" s="35" t="s">
        <v>2426</v>
      </c>
      <c r="D490" s="1" t="s">
        <v>456</v>
      </c>
      <c r="E490" s="1">
        <v>37</v>
      </c>
      <c r="F490" s="1" t="s">
        <v>44</v>
      </c>
      <c r="G490" s="1" t="s">
        <v>45</v>
      </c>
      <c r="H490" s="1" t="s">
        <v>36</v>
      </c>
      <c r="I490" s="1" t="s">
        <v>29</v>
      </c>
      <c r="J490" s="7">
        <v>145463</v>
      </c>
      <c r="K490" s="1">
        <v>720</v>
      </c>
      <c r="L490" s="7">
        <v>18718</v>
      </c>
      <c r="M490" s="1">
        <v>36</v>
      </c>
      <c r="N490" s="6">
        <v>0.11349999999999999</v>
      </c>
      <c r="O490" s="1" t="s">
        <v>41</v>
      </c>
      <c r="P490" s="1" t="s">
        <v>30</v>
      </c>
      <c r="Q490" s="1">
        <v>19</v>
      </c>
      <c r="R490" s="1">
        <v>4</v>
      </c>
      <c r="S490" s="1" t="s">
        <v>31</v>
      </c>
      <c r="T490" s="1" t="s">
        <v>33</v>
      </c>
      <c r="U490" s="1">
        <v>4</v>
      </c>
      <c r="V490" s="1">
        <v>103293</v>
      </c>
      <c r="W490" s="7">
        <v>636.38</v>
      </c>
      <c r="X490" s="1">
        <v>0.28000000000000003</v>
      </c>
      <c r="Y490" s="4">
        <v>44871</v>
      </c>
      <c r="Z490" s="1" t="s">
        <v>38</v>
      </c>
      <c r="AA490" s="1" t="s">
        <v>33</v>
      </c>
      <c r="AB490" s="36" t="str" cm="1">
        <f t="array" ref="AB490">_xlfn.IFS(K490&gt;650,"LOW",K490&gt;=550,"MEDIUM",K490&lt;550,"HIGH")</f>
        <v>LOW</v>
      </c>
    </row>
    <row r="491" spans="3:28" x14ac:dyDescent="0.3">
      <c r="C491" s="35" t="s">
        <v>2941</v>
      </c>
      <c r="D491" s="1" t="s">
        <v>969</v>
      </c>
      <c r="E491" s="1">
        <v>57</v>
      </c>
      <c r="F491" s="1" t="s">
        <v>26</v>
      </c>
      <c r="G491" s="1" t="s">
        <v>45</v>
      </c>
      <c r="H491" s="1" t="s">
        <v>61</v>
      </c>
      <c r="I491" s="1" t="s">
        <v>57</v>
      </c>
      <c r="J491" s="7">
        <v>144745</v>
      </c>
      <c r="K491" s="1">
        <v>720</v>
      </c>
      <c r="L491" s="7">
        <v>1056</v>
      </c>
      <c r="M491" s="1">
        <v>12</v>
      </c>
      <c r="N491" s="6">
        <v>0.19839999999999999</v>
      </c>
      <c r="O491" s="1" t="s">
        <v>52</v>
      </c>
      <c r="P491" s="1" t="s">
        <v>50</v>
      </c>
      <c r="Q491" s="1">
        <v>27</v>
      </c>
      <c r="R491" s="1">
        <v>3</v>
      </c>
      <c r="S491" s="1" t="s">
        <v>31</v>
      </c>
      <c r="T491" s="1" t="s">
        <v>33</v>
      </c>
      <c r="U491" s="1">
        <v>1</v>
      </c>
      <c r="V491" s="1">
        <v>151957</v>
      </c>
      <c r="W491" s="7">
        <v>1233.03</v>
      </c>
      <c r="X491" s="1">
        <v>0.92</v>
      </c>
      <c r="Y491" s="4">
        <v>45390</v>
      </c>
      <c r="Z491" s="1" t="s">
        <v>38</v>
      </c>
      <c r="AA491" s="1" t="s">
        <v>33</v>
      </c>
      <c r="AB491" s="36" t="str" cm="1">
        <f t="array" ref="AB491">_xlfn.IFS(K491&gt;650,"LOW",K491&gt;=550,"MEDIUM",K491&lt;550,"HIGH")</f>
        <v>LOW</v>
      </c>
    </row>
    <row r="492" spans="3:28" x14ac:dyDescent="0.3">
      <c r="C492" s="35" t="s">
        <v>3135</v>
      </c>
      <c r="D492" s="1" t="s">
        <v>1160</v>
      </c>
      <c r="E492" s="1">
        <v>45</v>
      </c>
      <c r="F492" s="1" t="s">
        <v>26</v>
      </c>
      <c r="G492" s="1" t="s">
        <v>27</v>
      </c>
      <c r="H492" s="1" t="s">
        <v>28</v>
      </c>
      <c r="I492" s="1" t="s">
        <v>40</v>
      </c>
      <c r="J492" s="7">
        <v>110639</v>
      </c>
      <c r="K492" s="1">
        <v>720</v>
      </c>
      <c r="L492" s="7">
        <v>43145</v>
      </c>
      <c r="M492" s="1">
        <v>60</v>
      </c>
      <c r="N492" s="6">
        <v>0.1268</v>
      </c>
      <c r="O492" s="1" t="s">
        <v>46</v>
      </c>
      <c r="P492" s="1" t="s">
        <v>47</v>
      </c>
      <c r="Q492" s="1">
        <v>10</v>
      </c>
      <c r="R492" s="1">
        <v>4</v>
      </c>
      <c r="S492" s="1" t="s">
        <v>31</v>
      </c>
      <c r="T492" s="1" t="s">
        <v>33</v>
      </c>
      <c r="U492" s="1">
        <v>0</v>
      </c>
      <c r="V492" s="1">
        <v>114647</v>
      </c>
      <c r="W492" s="7">
        <v>1430.3</v>
      </c>
      <c r="X492" s="1">
        <v>0.56999999999999995</v>
      </c>
      <c r="Y492" s="4">
        <v>45299</v>
      </c>
      <c r="Z492" s="1" t="s">
        <v>32</v>
      </c>
      <c r="AA492" s="1" t="s">
        <v>31</v>
      </c>
      <c r="AB492" s="36" t="str" cm="1">
        <f t="array" ref="AB492">_xlfn.IFS(K492&gt;650,"LOW",K492&gt;=550,"MEDIUM",K492&lt;550,"HIGH")</f>
        <v>LOW</v>
      </c>
    </row>
    <row r="493" spans="3:28" x14ac:dyDescent="0.3">
      <c r="C493" s="35" t="s">
        <v>3984</v>
      </c>
      <c r="D493" s="1" t="s">
        <v>1984</v>
      </c>
      <c r="E493" s="1">
        <v>45</v>
      </c>
      <c r="F493" s="1" t="s">
        <v>44</v>
      </c>
      <c r="G493" s="1" t="s">
        <v>56</v>
      </c>
      <c r="H493" s="1" t="s">
        <v>61</v>
      </c>
      <c r="I493" s="1" t="s">
        <v>40</v>
      </c>
      <c r="J493" s="7">
        <v>37221</v>
      </c>
      <c r="K493" s="1">
        <v>720</v>
      </c>
      <c r="L493" s="7">
        <v>25509</v>
      </c>
      <c r="M493" s="1">
        <v>48</v>
      </c>
      <c r="N493" s="6">
        <v>7.9699999999999993E-2</v>
      </c>
      <c r="O493" s="1" t="s">
        <v>52</v>
      </c>
      <c r="P493" s="1" t="s">
        <v>47</v>
      </c>
      <c r="Q493" s="1">
        <v>14</v>
      </c>
      <c r="R493" s="1">
        <v>1</v>
      </c>
      <c r="S493" s="1" t="s">
        <v>31</v>
      </c>
      <c r="T493" s="1" t="s">
        <v>33</v>
      </c>
      <c r="U493" s="1">
        <v>1</v>
      </c>
      <c r="V493" s="1">
        <v>134141</v>
      </c>
      <c r="W493" s="7">
        <v>1904.47</v>
      </c>
      <c r="X493" s="1">
        <v>0.38</v>
      </c>
      <c r="Y493" s="4">
        <v>45727</v>
      </c>
      <c r="Z493" s="1" t="s">
        <v>38</v>
      </c>
      <c r="AA493" s="1" t="s">
        <v>31</v>
      </c>
      <c r="AB493" s="36" t="str" cm="1">
        <f t="array" ref="AB493">_xlfn.IFS(K493&gt;650,"LOW",K493&gt;=550,"MEDIUM",K493&lt;550,"HIGH")</f>
        <v>LOW</v>
      </c>
    </row>
    <row r="494" spans="3:28" x14ac:dyDescent="0.3">
      <c r="C494" s="35" t="s">
        <v>2308</v>
      </c>
      <c r="D494" s="1" t="s">
        <v>339</v>
      </c>
      <c r="E494" s="1">
        <v>53</v>
      </c>
      <c r="F494" s="1" t="s">
        <v>44</v>
      </c>
      <c r="G494" s="1" t="s">
        <v>27</v>
      </c>
      <c r="H494" s="1" t="s">
        <v>28</v>
      </c>
      <c r="I494" s="1" t="s">
        <v>57</v>
      </c>
      <c r="J494" s="7">
        <v>147763</v>
      </c>
      <c r="K494" s="1">
        <v>719</v>
      </c>
      <c r="L494" s="7">
        <v>18106</v>
      </c>
      <c r="M494" s="1">
        <v>24</v>
      </c>
      <c r="N494" s="6">
        <v>0.16219999999999998</v>
      </c>
      <c r="O494" s="1" t="s">
        <v>5</v>
      </c>
      <c r="P494" s="1" t="s">
        <v>50</v>
      </c>
      <c r="Q494" s="1">
        <v>9</v>
      </c>
      <c r="R494" s="1">
        <v>2</v>
      </c>
      <c r="S494" s="1" t="s">
        <v>31</v>
      </c>
      <c r="T494" s="1" t="s">
        <v>33</v>
      </c>
      <c r="U494" s="1">
        <v>1</v>
      </c>
      <c r="V494" s="1">
        <v>61625</v>
      </c>
      <c r="W494" s="7">
        <v>1427.68</v>
      </c>
      <c r="X494" s="1">
        <v>0.17</v>
      </c>
      <c r="Y494" s="4">
        <v>45407</v>
      </c>
      <c r="Z494" s="1" t="s">
        <v>38</v>
      </c>
      <c r="AA494" s="1" t="s">
        <v>33</v>
      </c>
      <c r="AB494" s="36" t="str" cm="1">
        <f t="array" ref="AB494">_xlfn.IFS(K494&gt;650,"LOW",K494&gt;=550,"MEDIUM",K494&lt;550,"HIGH")</f>
        <v>LOW</v>
      </c>
    </row>
    <row r="495" spans="3:28" x14ac:dyDescent="0.3">
      <c r="C495" s="35" t="s">
        <v>2586</v>
      </c>
      <c r="D495" s="1" t="s">
        <v>616</v>
      </c>
      <c r="E495" s="1">
        <v>38</v>
      </c>
      <c r="F495" s="1" t="s">
        <v>26</v>
      </c>
      <c r="G495" s="1" t="s">
        <v>35</v>
      </c>
      <c r="H495" s="1" t="s">
        <v>36</v>
      </c>
      <c r="I495" s="1" t="s">
        <v>57</v>
      </c>
      <c r="J495" s="7">
        <v>98636</v>
      </c>
      <c r="K495" s="1">
        <v>719</v>
      </c>
      <c r="L495" s="7">
        <v>43244</v>
      </c>
      <c r="M495" s="1">
        <v>24</v>
      </c>
      <c r="N495" s="6">
        <v>7.3499999999999996E-2</v>
      </c>
      <c r="O495" s="1" t="s">
        <v>41</v>
      </c>
      <c r="P495" s="1" t="s">
        <v>50</v>
      </c>
      <c r="Q495" s="1">
        <v>21</v>
      </c>
      <c r="R495" s="1">
        <v>1</v>
      </c>
      <c r="S495" s="1" t="s">
        <v>31</v>
      </c>
      <c r="T495" s="1" t="s">
        <v>31</v>
      </c>
      <c r="U495" s="1">
        <v>3</v>
      </c>
      <c r="V495" s="1">
        <v>167534</v>
      </c>
      <c r="W495" s="7">
        <v>1872.64</v>
      </c>
      <c r="X495" s="1">
        <v>0.75</v>
      </c>
      <c r="Y495" s="4">
        <v>44212</v>
      </c>
      <c r="Z495" s="1" t="s">
        <v>32</v>
      </c>
      <c r="AA495" s="1" t="s">
        <v>33</v>
      </c>
      <c r="AB495" s="36" t="str" cm="1">
        <f t="array" ref="AB495">_xlfn.IFS(K495&gt;650,"LOW",K495&gt;=550,"MEDIUM",K495&lt;550,"HIGH")</f>
        <v>LOW</v>
      </c>
    </row>
    <row r="496" spans="3:28" x14ac:dyDescent="0.3">
      <c r="C496" s="35" t="s">
        <v>2880</v>
      </c>
      <c r="D496" s="1" t="s">
        <v>908</v>
      </c>
      <c r="E496" s="1">
        <v>54</v>
      </c>
      <c r="F496" s="1" t="s">
        <v>26</v>
      </c>
      <c r="G496" s="1" t="s">
        <v>27</v>
      </c>
      <c r="H496" s="1" t="s">
        <v>54</v>
      </c>
      <c r="I496" s="1" t="s">
        <v>40</v>
      </c>
      <c r="J496" s="7">
        <v>33362</v>
      </c>
      <c r="K496" s="1">
        <v>719</v>
      </c>
      <c r="L496" s="7">
        <v>43060</v>
      </c>
      <c r="M496" s="1">
        <v>60</v>
      </c>
      <c r="N496" s="6">
        <v>7.0000000000000007E-2</v>
      </c>
      <c r="O496" s="1" t="s">
        <v>37</v>
      </c>
      <c r="P496" s="1" t="s">
        <v>50</v>
      </c>
      <c r="Q496" s="1">
        <v>5</v>
      </c>
      <c r="R496" s="1">
        <v>3</v>
      </c>
      <c r="S496" s="1" t="s">
        <v>33</v>
      </c>
      <c r="T496" s="1" t="s">
        <v>31</v>
      </c>
      <c r="U496" s="1">
        <v>4</v>
      </c>
      <c r="V496" s="1">
        <v>100108</v>
      </c>
      <c r="W496" s="7">
        <v>771.33</v>
      </c>
      <c r="X496" s="1">
        <v>0.28000000000000003</v>
      </c>
      <c r="Y496" s="4">
        <v>44971</v>
      </c>
      <c r="Z496" s="1" t="s">
        <v>38</v>
      </c>
      <c r="AA496" s="1" t="s">
        <v>33</v>
      </c>
      <c r="AB496" s="36" t="str" cm="1">
        <f t="array" ref="AB496">_xlfn.IFS(K496&gt;650,"LOW",K496&gt;=550,"MEDIUM",K496&lt;550,"HIGH")</f>
        <v>LOW</v>
      </c>
    </row>
    <row r="497" spans="3:28" x14ac:dyDescent="0.3">
      <c r="C497" s="35" t="s">
        <v>3261</v>
      </c>
      <c r="D497" s="1" t="s">
        <v>1284</v>
      </c>
      <c r="E497" s="1">
        <v>22</v>
      </c>
      <c r="F497" s="1" t="s">
        <v>26</v>
      </c>
      <c r="G497" s="1" t="s">
        <v>45</v>
      </c>
      <c r="H497" s="1" t="s">
        <v>61</v>
      </c>
      <c r="I497" s="1" t="s">
        <v>57</v>
      </c>
      <c r="J497" s="7">
        <v>69037</v>
      </c>
      <c r="K497" s="1">
        <v>719</v>
      </c>
      <c r="L497" s="7">
        <v>33926</v>
      </c>
      <c r="M497" s="1">
        <v>12</v>
      </c>
      <c r="N497" s="6">
        <v>6.4500000000000002E-2</v>
      </c>
      <c r="O497" s="1" t="s">
        <v>37</v>
      </c>
      <c r="P497" s="1" t="s">
        <v>47</v>
      </c>
      <c r="Q497" s="1">
        <v>15</v>
      </c>
      <c r="R497" s="1">
        <v>0</v>
      </c>
      <c r="S497" s="1" t="s">
        <v>31</v>
      </c>
      <c r="T497" s="1" t="s">
        <v>33</v>
      </c>
      <c r="U497" s="1">
        <v>1</v>
      </c>
      <c r="V497" s="1">
        <v>150678</v>
      </c>
      <c r="W497" s="7">
        <v>363.91</v>
      </c>
      <c r="X497" s="1">
        <v>0.3</v>
      </c>
      <c r="Y497" s="4">
        <v>45191</v>
      </c>
      <c r="Z497" s="1" t="s">
        <v>38</v>
      </c>
      <c r="AA497" s="1" t="s">
        <v>33</v>
      </c>
      <c r="AB497" s="36" t="str" cm="1">
        <f t="array" ref="AB497">_xlfn.IFS(K497&gt;650,"LOW",K497&gt;=550,"MEDIUM",K497&lt;550,"HIGH")</f>
        <v>LOW</v>
      </c>
    </row>
    <row r="498" spans="3:28" x14ac:dyDescent="0.3">
      <c r="C498" s="35" t="s">
        <v>3344</v>
      </c>
      <c r="D498" s="1" t="s">
        <v>1366</v>
      </c>
      <c r="E498" s="1">
        <v>59</v>
      </c>
      <c r="F498" s="1" t="s">
        <v>44</v>
      </c>
      <c r="G498" s="1" t="s">
        <v>27</v>
      </c>
      <c r="H498" s="1" t="s">
        <v>54</v>
      </c>
      <c r="I498" s="1" t="s">
        <v>57</v>
      </c>
      <c r="J498" s="7">
        <v>21737</v>
      </c>
      <c r="K498" s="1">
        <v>719</v>
      </c>
      <c r="L498" s="7">
        <v>45427</v>
      </c>
      <c r="M498" s="1">
        <v>36</v>
      </c>
      <c r="N498" s="6">
        <v>5.7500000000000002E-2</v>
      </c>
      <c r="O498" s="1" t="s">
        <v>5</v>
      </c>
      <c r="P498" s="1" t="s">
        <v>50</v>
      </c>
      <c r="Q498" s="1">
        <v>9</v>
      </c>
      <c r="R498" s="1">
        <v>3</v>
      </c>
      <c r="S498" s="1" t="s">
        <v>33</v>
      </c>
      <c r="T498" s="1" t="s">
        <v>33</v>
      </c>
      <c r="U498" s="1">
        <v>4</v>
      </c>
      <c r="V498" s="1">
        <v>49700</v>
      </c>
      <c r="W498" s="7">
        <v>1695.88</v>
      </c>
      <c r="X498" s="1">
        <v>0.82</v>
      </c>
      <c r="Y498" s="4">
        <v>44947</v>
      </c>
      <c r="Z498" s="1" t="s">
        <v>38</v>
      </c>
      <c r="AA498" s="1" t="s">
        <v>33</v>
      </c>
      <c r="AB498" s="36" t="str" cm="1">
        <f t="array" ref="AB498">_xlfn.IFS(K498&gt;650,"LOW",K498&gt;=550,"MEDIUM",K498&lt;550,"HIGH")</f>
        <v>LOW</v>
      </c>
    </row>
    <row r="499" spans="3:28" x14ac:dyDescent="0.3">
      <c r="C499" s="35" t="s">
        <v>3881</v>
      </c>
      <c r="D499" s="1" t="s">
        <v>1887</v>
      </c>
      <c r="E499" s="1">
        <v>40</v>
      </c>
      <c r="F499" s="1" t="s">
        <v>26</v>
      </c>
      <c r="G499" s="1" t="s">
        <v>35</v>
      </c>
      <c r="H499" s="1" t="s">
        <v>54</v>
      </c>
      <c r="I499" s="1" t="s">
        <v>59</v>
      </c>
      <c r="J499" s="7">
        <v>141465</v>
      </c>
      <c r="K499" s="1">
        <v>719</v>
      </c>
      <c r="L499" s="7">
        <v>12991</v>
      </c>
      <c r="M499" s="1">
        <v>36</v>
      </c>
      <c r="N499" s="6">
        <v>0.1009</v>
      </c>
      <c r="O499" s="1" t="s">
        <v>5</v>
      </c>
      <c r="P499" s="1" t="s">
        <v>50</v>
      </c>
      <c r="Q499" s="1">
        <v>28</v>
      </c>
      <c r="R499" s="1">
        <v>0</v>
      </c>
      <c r="S499" s="1" t="s">
        <v>33</v>
      </c>
      <c r="T499" s="1" t="s">
        <v>33</v>
      </c>
      <c r="U499" s="1">
        <v>2</v>
      </c>
      <c r="V499" s="1">
        <v>82741</v>
      </c>
      <c r="W499" s="7">
        <v>374.7</v>
      </c>
      <c r="X499" s="1">
        <v>0.26</v>
      </c>
      <c r="Y499" s="4">
        <v>44352</v>
      </c>
      <c r="Z499" s="1" t="s">
        <v>38</v>
      </c>
      <c r="AA499" s="1" t="s">
        <v>33</v>
      </c>
      <c r="AB499" s="36" t="str" cm="1">
        <f t="array" ref="AB499">_xlfn.IFS(K499&gt;650,"LOW",K499&gt;=550,"MEDIUM",K499&lt;550,"HIGH")</f>
        <v>LOW</v>
      </c>
    </row>
    <row r="500" spans="3:28" x14ac:dyDescent="0.3">
      <c r="C500" s="35" t="s">
        <v>2415</v>
      </c>
      <c r="D500" s="1" t="s">
        <v>445</v>
      </c>
      <c r="E500" s="1">
        <v>24</v>
      </c>
      <c r="F500" s="1" t="s">
        <v>26</v>
      </c>
      <c r="G500" s="1" t="s">
        <v>27</v>
      </c>
      <c r="H500" s="1" t="s">
        <v>54</v>
      </c>
      <c r="I500" s="1" t="s">
        <v>29</v>
      </c>
      <c r="J500" s="7">
        <v>24141</v>
      </c>
      <c r="K500" s="1">
        <v>718</v>
      </c>
      <c r="L500" s="7">
        <v>13809</v>
      </c>
      <c r="M500" s="1">
        <v>24</v>
      </c>
      <c r="N500" s="6">
        <v>0.1076</v>
      </c>
      <c r="O500" s="1" t="s">
        <v>37</v>
      </c>
      <c r="P500" s="1" t="s">
        <v>50</v>
      </c>
      <c r="Q500" s="1">
        <v>13</v>
      </c>
      <c r="R500" s="1">
        <v>0</v>
      </c>
      <c r="S500" s="1" t="s">
        <v>31</v>
      </c>
      <c r="T500" s="1" t="s">
        <v>31</v>
      </c>
      <c r="U500" s="1">
        <v>1</v>
      </c>
      <c r="V500" s="1">
        <v>98794</v>
      </c>
      <c r="W500" s="7">
        <v>1519.92</v>
      </c>
      <c r="X500" s="1">
        <v>0.78</v>
      </c>
      <c r="Y500" s="4">
        <v>45048</v>
      </c>
      <c r="Z500" s="1" t="s">
        <v>32</v>
      </c>
      <c r="AA500" s="1" t="s">
        <v>33</v>
      </c>
      <c r="AB500" s="36" t="str" cm="1">
        <f t="array" ref="AB500">_xlfn.IFS(K500&gt;650,"LOW",K500&gt;=550,"MEDIUM",K500&lt;550,"HIGH")</f>
        <v>LOW</v>
      </c>
    </row>
    <row r="501" spans="3:28" x14ac:dyDescent="0.3">
      <c r="C501" s="35" t="s">
        <v>2445</v>
      </c>
      <c r="D501" s="1" t="s">
        <v>475</v>
      </c>
      <c r="E501" s="1">
        <v>42</v>
      </c>
      <c r="F501" s="1" t="s">
        <v>26</v>
      </c>
      <c r="G501" s="1" t="s">
        <v>35</v>
      </c>
      <c r="H501" s="1" t="s">
        <v>54</v>
      </c>
      <c r="I501" s="1" t="s">
        <v>59</v>
      </c>
      <c r="J501" s="7">
        <v>132394</v>
      </c>
      <c r="K501" s="1">
        <v>717</v>
      </c>
      <c r="L501" s="7">
        <v>30072</v>
      </c>
      <c r="M501" s="1">
        <v>12</v>
      </c>
      <c r="N501" s="6">
        <v>0.15529999999999999</v>
      </c>
      <c r="O501" s="1" t="s">
        <v>37</v>
      </c>
      <c r="P501" s="1" t="s">
        <v>50</v>
      </c>
      <c r="Q501" s="1">
        <v>23</v>
      </c>
      <c r="R501" s="1">
        <v>3</v>
      </c>
      <c r="S501" s="1" t="s">
        <v>33</v>
      </c>
      <c r="T501" s="1" t="s">
        <v>33</v>
      </c>
      <c r="U501" s="1">
        <v>3</v>
      </c>
      <c r="V501" s="1">
        <v>105116</v>
      </c>
      <c r="W501" s="7">
        <v>1759.9</v>
      </c>
      <c r="X501" s="1">
        <v>0.8</v>
      </c>
      <c r="Y501" s="4">
        <v>44650</v>
      </c>
      <c r="Z501" s="1" t="s">
        <v>32</v>
      </c>
      <c r="AA501" s="1" t="s">
        <v>33</v>
      </c>
      <c r="AB501" s="36" t="str" cm="1">
        <f t="array" ref="AB501">_xlfn.IFS(K501&gt;650,"LOW",K501&gt;=550,"MEDIUM",K501&lt;550,"HIGH")</f>
        <v>LOW</v>
      </c>
    </row>
    <row r="502" spans="3:28" x14ac:dyDescent="0.3">
      <c r="C502" s="35" t="s">
        <v>2634</v>
      </c>
      <c r="D502" s="1" t="s">
        <v>664</v>
      </c>
      <c r="E502" s="1">
        <v>48</v>
      </c>
      <c r="F502" s="1" t="s">
        <v>44</v>
      </c>
      <c r="G502" s="1" t="s">
        <v>45</v>
      </c>
      <c r="H502" s="1" t="s">
        <v>36</v>
      </c>
      <c r="I502" s="1" t="s">
        <v>59</v>
      </c>
      <c r="J502" s="7">
        <v>84824</v>
      </c>
      <c r="K502" s="1">
        <v>717</v>
      </c>
      <c r="L502" s="7">
        <v>29460</v>
      </c>
      <c r="M502" s="1">
        <v>24</v>
      </c>
      <c r="N502" s="6">
        <v>0.13239999999999999</v>
      </c>
      <c r="O502" s="1" t="s">
        <v>52</v>
      </c>
      <c r="P502" s="1" t="s">
        <v>30</v>
      </c>
      <c r="Q502" s="1">
        <v>15</v>
      </c>
      <c r="R502" s="1">
        <v>1</v>
      </c>
      <c r="S502" s="1" t="s">
        <v>33</v>
      </c>
      <c r="T502" s="1" t="s">
        <v>33</v>
      </c>
      <c r="U502" s="1">
        <v>3</v>
      </c>
      <c r="V502" s="1">
        <v>169887</v>
      </c>
      <c r="W502" s="7">
        <v>1777.38</v>
      </c>
      <c r="X502" s="1">
        <v>0.21</v>
      </c>
      <c r="Y502" s="4">
        <v>44557</v>
      </c>
      <c r="Z502" s="1" t="s">
        <v>38</v>
      </c>
      <c r="AA502" s="1" t="s">
        <v>33</v>
      </c>
      <c r="AB502" s="36" t="str" cm="1">
        <f t="array" ref="AB502">_xlfn.IFS(K502&gt;650,"LOW",K502&gt;=550,"MEDIUM",K502&lt;550,"HIGH")</f>
        <v>LOW</v>
      </c>
    </row>
    <row r="503" spans="3:28" x14ac:dyDescent="0.3">
      <c r="C503" s="35" t="s">
        <v>3969</v>
      </c>
      <c r="D503" s="1" t="s">
        <v>1970</v>
      </c>
      <c r="E503" s="1">
        <v>42</v>
      </c>
      <c r="F503" s="1" t="s">
        <v>26</v>
      </c>
      <c r="G503" s="1" t="s">
        <v>35</v>
      </c>
      <c r="H503" s="1" t="s">
        <v>54</v>
      </c>
      <c r="I503" s="1" t="s">
        <v>57</v>
      </c>
      <c r="J503" s="7">
        <v>23985</v>
      </c>
      <c r="K503" s="1">
        <v>717</v>
      </c>
      <c r="L503" s="7">
        <v>27673</v>
      </c>
      <c r="M503" s="1">
        <v>12</v>
      </c>
      <c r="N503" s="6">
        <v>5.5800000000000002E-2</v>
      </c>
      <c r="O503" s="1" t="s">
        <v>41</v>
      </c>
      <c r="P503" s="1" t="s">
        <v>30</v>
      </c>
      <c r="Q503" s="1">
        <v>19</v>
      </c>
      <c r="R503" s="1">
        <v>4</v>
      </c>
      <c r="S503" s="1" t="s">
        <v>31</v>
      </c>
      <c r="T503" s="1" t="s">
        <v>31</v>
      </c>
      <c r="U503" s="1">
        <v>3</v>
      </c>
      <c r="V503" s="1">
        <v>14744</v>
      </c>
      <c r="W503" s="7">
        <v>829.15</v>
      </c>
      <c r="X503" s="1">
        <v>0.72</v>
      </c>
      <c r="Y503" s="4">
        <v>45455</v>
      </c>
      <c r="Z503" s="1" t="s">
        <v>38</v>
      </c>
      <c r="AA503" s="1" t="s">
        <v>33</v>
      </c>
      <c r="AB503" s="36" t="str" cm="1">
        <f t="array" ref="AB503">_xlfn.IFS(K503&gt;650,"LOW",K503&gt;=550,"MEDIUM",K503&lt;550,"HIGH")</f>
        <v>LOW</v>
      </c>
    </row>
    <row r="504" spans="3:28" x14ac:dyDescent="0.3">
      <c r="C504" s="35" t="s">
        <v>2585</v>
      </c>
      <c r="D504" s="1" t="s">
        <v>615</v>
      </c>
      <c r="E504" s="1">
        <v>31</v>
      </c>
      <c r="F504" s="1" t="s">
        <v>44</v>
      </c>
      <c r="G504" s="1" t="s">
        <v>35</v>
      </c>
      <c r="H504" s="1" t="s">
        <v>36</v>
      </c>
      <c r="I504" s="1" t="s">
        <v>29</v>
      </c>
      <c r="J504" s="7">
        <v>82532</v>
      </c>
      <c r="K504" s="1">
        <v>716</v>
      </c>
      <c r="L504" s="7">
        <v>32887</v>
      </c>
      <c r="M504" s="1">
        <v>60</v>
      </c>
      <c r="N504" s="6">
        <v>7.0400000000000004E-2</v>
      </c>
      <c r="O504" s="1" t="s">
        <v>52</v>
      </c>
      <c r="P504" s="1" t="s">
        <v>50</v>
      </c>
      <c r="Q504" s="1">
        <v>22</v>
      </c>
      <c r="R504" s="1">
        <v>4</v>
      </c>
      <c r="S504" s="1" t="s">
        <v>31</v>
      </c>
      <c r="T504" s="1" t="s">
        <v>31</v>
      </c>
      <c r="U504" s="1">
        <v>0</v>
      </c>
      <c r="V504" s="1">
        <v>188350</v>
      </c>
      <c r="W504" s="7">
        <v>1751.41</v>
      </c>
      <c r="X504" s="1">
        <v>0.85</v>
      </c>
      <c r="Y504" s="4">
        <v>44377</v>
      </c>
      <c r="Z504" s="1" t="s">
        <v>38</v>
      </c>
      <c r="AA504" s="1" t="s">
        <v>33</v>
      </c>
      <c r="AB504" s="36" t="str" cm="1">
        <f t="array" ref="AB504">_xlfn.IFS(K504&gt;650,"LOW",K504&gt;=550,"MEDIUM",K504&lt;550,"HIGH")</f>
        <v>LOW</v>
      </c>
    </row>
    <row r="505" spans="3:28" x14ac:dyDescent="0.3">
      <c r="C505" s="35" t="s">
        <v>2858</v>
      </c>
      <c r="D505" s="1" t="s">
        <v>886</v>
      </c>
      <c r="E505" s="1">
        <v>45</v>
      </c>
      <c r="F505" s="1" t="s">
        <v>26</v>
      </c>
      <c r="G505" s="1" t="s">
        <v>56</v>
      </c>
      <c r="H505" s="1" t="s">
        <v>28</v>
      </c>
      <c r="I505" s="1" t="s">
        <v>40</v>
      </c>
      <c r="J505" s="7">
        <v>29493</v>
      </c>
      <c r="K505" s="1">
        <v>716</v>
      </c>
      <c r="L505" s="7">
        <v>43602</v>
      </c>
      <c r="M505" s="1">
        <v>36</v>
      </c>
      <c r="N505" s="6">
        <v>0.12</v>
      </c>
      <c r="O505" s="1" t="s">
        <v>46</v>
      </c>
      <c r="P505" s="1" t="s">
        <v>30</v>
      </c>
      <c r="Q505" s="1">
        <v>7</v>
      </c>
      <c r="R505" s="1">
        <v>1</v>
      </c>
      <c r="S505" s="1" t="s">
        <v>33</v>
      </c>
      <c r="T505" s="1" t="s">
        <v>33</v>
      </c>
      <c r="U505" s="1">
        <v>4</v>
      </c>
      <c r="V505" s="1">
        <v>45933</v>
      </c>
      <c r="W505" s="7">
        <v>176.08</v>
      </c>
      <c r="X505" s="1">
        <v>0.4</v>
      </c>
      <c r="Y505" s="4">
        <v>45342</v>
      </c>
      <c r="Z505" s="1" t="s">
        <v>32</v>
      </c>
      <c r="AA505" s="1" t="s">
        <v>33</v>
      </c>
      <c r="AB505" s="36" t="str" cm="1">
        <f t="array" ref="AB505">_xlfn.IFS(K505&gt;650,"LOW",K505&gt;=550,"MEDIUM",K505&lt;550,"HIGH")</f>
        <v>LOW</v>
      </c>
    </row>
    <row r="506" spans="3:28" x14ac:dyDescent="0.3">
      <c r="C506" s="35" t="s">
        <v>2889</v>
      </c>
      <c r="D506" s="1" t="s">
        <v>917</v>
      </c>
      <c r="E506" s="1">
        <v>46</v>
      </c>
      <c r="F506" s="1" t="s">
        <v>26</v>
      </c>
      <c r="G506" s="1" t="s">
        <v>35</v>
      </c>
      <c r="H506" s="1" t="s">
        <v>54</v>
      </c>
      <c r="I506" s="1" t="s">
        <v>59</v>
      </c>
      <c r="J506" s="7">
        <v>129381</v>
      </c>
      <c r="K506" s="1">
        <v>716</v>
      </c>
      <c r="L506" s="7">
        <v>49926</v>
      </c>
      <c r="M506" s="1">
        <v>12</v>
      </c>
      <c r="N506" s="6">
        <v>0.10619999999999999</v>
      </c>
      <c r="O506" s="1" t="s">
        <v>63</v>
      </c>
      <c r="P506" s="1" t="s">
        <v>30</v>
      </c>
      <c r="Q506" s="1">
        <v>22</v>
      </c>
      <c r="R506" s="1">
        <v>1</v>
      </c>
      <c r="S506" s="1" t="s">
        <v>31</v>
      </c>
      <c r="T506" s="1" t="s">
        <v>31</v>
      </c>
      <c r="U506" s="1">
        <v>1</v>
      </c>
      <c r="V506" s="1">
        <v>181796</v>
      </c>
      <c r="W506" s="7">
        <v>1240.97</v>
      </c>
      <c r="X506" s="1">
        <v>0.63</v>
      </c>
      <c r="Y506" s="4">
        <v>44719</v>
      </c>
      <c r="Z506" s="1" t="s">
        <v>32</v>
      </c>
      <c r="AA506" s="1" t="s">
        <v>31</v>
      </c>
      <c r="AB506" s="36" t="str" cm="1">
        <f t="array" ref="AB506">_xlfn.IFS(K506&gt;650,"LOW",K506&gt;=550,"MEDIUM",K506&lt;550,"HIGH")</f>
        <v>LOW</v>
      </c>
    </row>
    <row r="507" spans="3:28" x14ac:dyDescent="0.3">
      <c r="C507" s="35" t="s">
        <v>2967</v>
      </c>
      <c r="D507" s="1" t="s">
        <v>995</v>
      </c>
      <c r="E507" s="1">
        <v>58</v>
      </c>
      <c r="F507" s="1" t="s">
        <v>44</v>
      </c>
      <c r="G507" s="1" t="s">
        <v>56</v>
      </c>
      <c r="H507" s="1" t="s">
        <v>61</v>
      </c>
      <c r="I507" s="1" t="s">
        <v>59</v>
      </c>
      <c r="J507" s="7">
        <v>100729</v>
      </c>
      <c r="K507" s="1">
        <v>716</v>
      </c>
      <c r="L507" s="7">
        <v>24453</v>
      </c>
      <c r="M507" s="1">
        <v>36</v>
      </c>
      <c r="N507" s="6">
        <v>6.5500000000000003E-2</v>
      </c>
      <c r="O507" s="1" t="s">
        <v>46</v>
      </c>
      <c r="P507" s="1" t="s">
        <v>30</v>
      </c>
      <c r="Q507" s="1">
        <v>23</v>
      </c>
      <c r="R507" s="1">
        <v>2</v>
      </c>
      <c r="S507" s="1" t="s">
        <v>33</v>
      </c>
      <c r="T507" s="1" t="s">
        <v>31</v>
      </c>
      <c r="U507" s="1">
        <v>3</v>
      </c>
      <c r="V507" s="1">
        <v>120231</v>
      </c>
      <c r="W507" s="7">
        <v>993.59</v>
      </c>
      <c r="X507" s="1">
        <v>0.62</v>
      </c>
      <c r="Y507" s="4">
        <v>44097</v>
      </c>
      <c r="Z507" s="1" t="s">
        <v>32</v>
      </c>
      <c r="AA507" s="1" t="s">
        <v>33</v>
      </c>
      <c r="AB507" s="36" t="str" cm="1">
        <f t="array" ref="AB507">_xlfn.IFS(K507&gt;650,"LOW",K507&gt;=550,"MEDIUM",K507&lt;550,"HIGH")</f>
        <v>LOW</v>
      </c>
    </row>
    <row r="508" spans="3:28" x14ac:dyDescent="0.3">
      <c r="C508" s="35" t="s">
        <v>3012</v>
      </c>
      <c r="D508" s="1" t="s">
        <v>1039</v>
      </c>
      <c r="E508" s="1">
        <v>53</v>
      </c>
      <c r="F508" s="1" t="s">
        <v>26</v>
      </c>
      <c r="G508" s="1" t="s">
        <v>56</v>
      </c>
      <c r="H508" s="1" t="s">
        <v>61</v>
      </c>
      <c r="I508" s="1" t="s">
        <v>59</v>
      </c>
      <c r="J508" s="7">
        <v>122302</v>
      </c>
      <c r="K508" s="1">
        <v>716</v>
      </c>
      <c r="L508" s="7">
        <v>7820</v>
      </c>
      <c r="M508" s="1">
        <v>24</v>
      </c>
      <c r="N508" s="6">
        <v>0.18030000000000002</v>
      </c>
      <c r="O508" s="1" t="s">
        <v>37</v>
      </c>
      <c r="P508" s="1" t="s">
        <v>47</v>
      </c>
      <c r="Q508" s="1">
        <v>14</v>
      </c>
      <c r="R508" s="1">
        <v>1</v>
      </c>
      <c r="S508" s="1" t="s">
        <v>33</v>
      </c>
      <c r="T508" s="1" t="s">
        <v>33</v>
      </c>
      <c r="U508" s="1">
        <v>0</v>
      </c>
      <c r="V508" s="1">
        <v>106726</v>
      </c>
      <c r="W508" s="7">
        <v>1489.17</v>
      </c>
      <c r="X508" s="1">
        <v>0.24</v>
      </c>
      <c r="Y508" s="4">
        <v>44764</v>
      </c>
      <c r="Z508" s="1" t="s">
        <v>38</v>
      </c>
      <c r="AA508" s="1" t="s">
        <v>31</v>
      </c>
      <c r="AB508" s="36" t="str" cm="1">
        <f t="array" ref="AB508">_xlfn.IFS(K508&gt;650,"LOW",K508&gt;=550,"MEDIUM",K508&lt;550,"HIGH")</f>
        <v>LOW</v>
      </c>
    </row>
    <row r="509" spans="3:28" x14ac:dyDescent="0.3">
      <c r="C509" s="35" t="s">
        <v>3017</v>
      </c>
      <c r="D509" s="1" t="s">
        <v>1044</v>
      </c>
      <c r="E509" s="1">
        <v>34</v>
      </c>
      <c r="F509" s="1" t="s">
        <v>44</v>
      </c>
      <c r="G509" s="1" t="s">
        <v>45</v>
      </c>
      <c r="H509" s="1" t="s">
        <v>61</v>
      </c>
      <c r="I509" s="1" t="s">
        <v>57</v>
      </c>
      <c r="J509" s="7">
        <v>67218</v>
      </c>
      <c r="K509" s="1">
        <v>716</v>
      </c>
      <c r="L509" s="7">
        <v>33175</v>
      </c>
      <c r="M509" s="1">
        <v>12</v>
      </c>
      <c r="N509" s="6">
        <v>0.16219999999999998</v>
      </c>
      <c r="O509" s="1" t="s">
        <v>46</v>
      </c>
      <c r="P509" s="1" t="s">
        <v>47</v>
      </c>
      <c r="Q509" s="1">
        <v>17</v>
      </c>
      <c r="R509" s="1">
        <v>2</v>
      </c>
      <c r="S509" s="1" t="s">
        <v>31</v>
      </c>
      <c r="T509" s="1" t="s">
        <v>33</v>
      </c>
      <c r="U509" s="1">
        <v>3</v>
      </c>
      <c r="V509" s="1">
        <v>133876</v>
      </c>
      <c r="W509" s="7">
        <v>201.84</v>
      </c>
      <c r="X509" s="1">
        <v>0.26</v>
      </c>
      <c r="Y509" s="4">
        <v>44493</v>
      </c>
      <c r="Z509" s="1" t="s">
        <v>38</v>
      </c>
      <c r="AA509" s="1" t="s">
        <v>33</v>
      </c>
      <c r="AB509" s="36" t="str" cm="1">
        <f t="array" ref="AB509">_xlfn.IFS(K509&gt;650,"LOW",K509&gt;=550,"MEDIUM",K509&lt;550,"HIGH")</f>
        <v>LOW</v>
      </c>
    </row>
    <row r="510" spans="3:28" x14ac:dyDescent="0.3">
      <c r="C510" s="35" t="s">
        <v>3049</v>
      </c>
      <c r="D510" s="1" t="s">
        <v>1076</v>
      </c>
      <c r="E510" s="1">
        <v>51</v>
      </c>
      <c r="F510" s="1" t="s">
        <v>26</v>
      </c>
      <c r="G510" s="1" t="s">
        <v>35</v>
      </c>
      <c r="H510" s="1" t="s">
        <v>54</v>
      </c>
      <c r="I510" s="1" t="s">
        <v>59</v>
      </c>
      <c r="J510" s="7">
        <v>95432</v>
      </c>
      <c r="K510" s="1">
        <v>716</v>
      </c>
      <c r="L510" s="7">
        <v>32171</v>
      </c>
      <c r="M510" s="1">
        <v>12</v>
      </c>
      <c r="N510" s="6">
        <v>0.10890000000000001</v>
      </c>
      <c r="O510" s="1" t="s">
        <v>46</v>
      </c>
      <c r="P510" s="1" t="s">
        <v>47</v>
      </c>
      <c r="Q510" s="1">
        <v>27</v>
      </c>
      <c r="R510" s="1">
        <v>1</v>
      </c>
      <c r="S510" s="1" t="s">
        <v>31</v>
      </c>
      <c r="T510" s="1" t="s">
        <v>31</v>
      </c>
      <c r="U510" s="1">
        <v>1</v>
      </c>
      <c r="V510" s="1">
        <v>66287</v>
      </c>
      <c r="W510" s="7">
        <v>1526.25</v>
      </c>
      <c r="X510" s="1">
        <v>0.13</v>
      </c>
      <c r="Y510" s="4">
        <v>44763</v>
      </c>
      <c r="Z510" s="1" t="s">
        <v>38</v>
      </c>
      <c r="AA510" s="1" t="s">
        <v>31</v>
      </c>
      <c r="AB510" s="36" t="str" cm="1">
        <f t="array" ref="AB510">_xlfn.IFS(K510&gt;650,"LOW",K510&gt;=550,"MEDIUM",K510&lt;550,"HIGH")</f>
        <v>LOW</v>
      </c>
    </row>
    <row r="511" spans="3:28" x14ac:dyDescent="0.3">
      <c r="C511" s="35" t="s">
        <v>3107</v>
      </c>
      <c r="D511" s="1" t="s">
        <v>1132</v>
      </c>
      <c r="E511" s="1">
        <v>41</v>
      </c>
      <c r="F511" s="1" t="s">
        <v>26</v>
      </c>
      <c r="G511" s="1" t="s">
        <v>45</v>
      </c>
      <c r="H511" s="1" t="s">
        <v>61</v>
      </c>
      <c r="I511" s="1" t="s">
        <v>29</v>
      </c>
      <c r="J511" s="7">
        <v>123399</v>
      </c>
      <c r="K511" s="1">
        <v>716</v>
      </c>
      <c r="L511" s="7">
        <v>39247</v>
      </c>
      <c r="M511" s="1">
        <v>24</v>
      </c>
      <c r="N511" s="6">
        <v>8.1799999999999998E-2</v>
      </c>
      <c r="O511" s="1" t="s">
        <v>37</v>
      </c>
      <c r="P511" s="1" t="s">
        <v>30</v>
      </c>
      <c r="Q511" s="1">
        <v>6</v>
      </c>
      <c r="R511" s="1">
        <v>2</v>
      </c>
      <c r="S511" s="1" t="s">
        <v>31</v>
      </c>
      <c r="T511" s="1" t="s">
        <v>33</v>
      </c>
      <c r="U511" s="1">
        <v>3</v>
      </c>
      <c r="V511" s="1">
        <v>198888</v>
      </c>
      <c r="W511" s="7">
        <v>845.19</v>
      </c>
      <c r="X511" s="1">
        <v>0.65</v>
      </c>
      <c r="Y511" s="4">
        <v>44429</v>
      </c>
      <c r="Z511" s="1" t="s">
        <v>38</v>
      </c>
      <c r="AA511" s="1" t="s">
        <v>33</v>
      </c>
      <c r="AB511" s="36" t="str" cm="1">
        <f t="array" ref="AB511">_xlfn.IFS(K511&gt;650,"LOW",K511&gt;=550,"MEDIUM",K511&lt;550,"HIGH")</f>
        <v>LOW</v>
      </c>
    </row>
    <row r="512" spans="3:28" x14ac:dyDescent="0.3">
      <c r="C512" s="35" t="s">
        <v>3349</v>
      </c>
      <c r="D512" s="1" t="s">
        <v>1371</v>
      </c>
      <c r="E512" s="1">
        <v>64</v>
      </c>
      <c r="F512" s="1" t="s">
        <v>26</v>
      </c>
      <c r="G512" s="1" t="s">
        <v>56</v>
      </c>
      <c r="H512" s="1" t="s">
        <v>28</v>
      </c>
      <c r="I512" s="1" t="s">
        <v>40</v>
      </c>
      <c r="J512" s="7">
        <v>47499</v>
      </c>
      <c r="K512" s="1">
        <v>716</v>
      </c>
      <c r="L512" s="7">
        <v>38443</v>
      </c>
      <c r="M512" s="1">
        <v>24</v>
      </c>
      <c r="N512" s="6">
        <v>0.11550000000000001</v>
      </c>
      <c r="O512" s="1" t="s">
        <v>41</v>
      </c>
      <c r="P512" s="1" t="s">
        <v>30</v>
      </c>
      <c r="Q512" s="1">
        <v>1</v>
      </c>
      <c r="R512" s="1">
        <v>3</v>
      </c>
      <c r="S512" s="1" t="s">
        <v>33</v>
      </c>
      <c r="T512" s="1" t="s">
        <v>33</v>
      </c>
      <c r="U512" s="1">
        <v>0</v>
      </c>
      <c r="V512" s="1">
        <v>115864</v>
      </c>
      <c r="W512" s="7">
        <v>179.16</v>
      </c>
      <c r="X512" s="1">
        <v>0.62</v>
      </c>
      <c r="Y512" s="4">
        <v>45104</v>
      </c>
      <c r="Z512" s="1" t="s">
        <v>32</v>
      </c>
      <c r="AA512" s="1" t="s">
        <v>33</v>
      </c>
      <c r="AB512" s="36" t="str" cm="1">
        <f t="array" ref="AB512">_xlfn.IFS(K512&gt;650,"LOW",K512&gt;=550,"MEDIUM",K512&lt;550,"HIGH")</f>
        <v>LOW</v>
      </c>
    </row>
    <row r="513" spans="3:28" x14ac:dyDescent="0.3">
      <c r="C513" s="35" t="s">
        <v>3809</v>
      </c>
      <c r="D513" s="1" t="s">
        <v>1815</v>
      </c>
      <c r="E513" s="1">
        <v>45</v>
      </c>
      <c r="F513" s="1" t="s">
        <v>44</v>
      </c>
      <c r="G513" s="1" t="s">
        <v>27</v>
      </c>
      <c r="H513" s="1" t="s">
        <v>28</v>
      </c>
      <c r="I513" s="1" t="s">
        <v>57</v>
      </c>
      <c r="J513" s="7">
        <v>149070</v>
      </c>
      <c r="K513" s="1">
        <v>716</v>
      </c>
      <c r="L513" s="7">
        <v>4098</v>
      </c>
      <c r="M513" s="1">
        <v>48</v>
      </c>
      <c r="N513" s="6">
        <v>0.15890000000000001</v>
      </c>
      <c r="O513" s="1" t="s">
        <v>37</v>
      </c>
      <c r="P513" s="1" t="s">
        <v>47</v>
      </c>
      <c r="Q513" s="1">
        <v>24</v>
      </c>
      <c r="R513" s="1">
        <v>2</v>
      </c>
      <c r="S513" s="1" t="s">
        <v>33</v>
      </c>
      <c r="T513" s="1" t="s">
        <v>31</v>
      </c>
      <c r="U513" s="1">
        <v>2</v>
      </c>
      <c r="V513" s="1">
        <v>114047</v>
      </c>
      <c r="W513" s="7">
        <v>1452.22</v>
      </c>
      <c r="X513" s="1">
        <v>0.39</v>
      </c>
      <c r="Y513" s="4">
        <v>44678</v>
      </c>
      <c r="Z513" s="1" t="s">
        <v>38</v>
      </c>
      <c r="AA513" s="1" t="s">
        <v>33</v>
      </c>
      <c r="AB513" s="36" t="str" cm="1">
        <f t="array" ref="AB513">_xlfn.IFS(K513&gt;650,"LOW",K513&gt;=550,"MEDIUM",K513&lt;550,"HIGH")</f>
        <v>LOW</v>
      </c>
    </row>
    <row r="514" spans="3:28" x14ac:dyDescent="0.3">
      <c r="C514" s="35" t="s">
        <v>3965</v>
      </c>
      <c r="D514" s="1" t="s">
        <v>1966</v>
      </c>
      <c r="E514" s="1">
        <v>49</v>
      </c>
      <c r="F514" s="1" t="s">
        <v>26</v>
      </c>
      <c r="G514" s="1" t="s">
        <v>56</v>
      </c>
      <c r="H514" s="1" t="s">
        <v>36</v>
      </c>
      <c r="I514" s="1" t="s">
        <v>57</v>
      </c>
      <c r="J514" s="7">
        <v>68521</v>
      </c>
      <c r="K514" s="1">
        <v>716</v>
      </c>
      <c r="L514" s="7">
        <v>48403</v>
      </c>
      <c r="M514" s="1">
        <v>48</v>
      </c>
      <c r="N514" s="6">
        <v>0.17480000000000001</v>
      </c>
      <c r="O514" s="1" t="s">
        <v>63</v>
      </c>
      <c r="P514" s="1" t="s">
        <v>50</v>
      </c>
      <c r="Q514" s="1">
        <v>21</v>
      </c>
      <c r="R514" s="1">
        <v>3</v>
      </c>
      <c r="S514" s="1" t="s">
        <v>31</v>
      </c>
      <c r="T514" s="1" t="s">
        <v>31</v>
      </c>
      <c r="U514" s="1">
        <v>4</v>
      </c>
      <c r="V514" s="1">
        <v>76968</v>
      </c>
      <c r="W514" s="7">
        <v>1539.09</v>
      </c>
      <c r="X514" s="1">
        <v>0.33</v>
      </c>
      <c r="Y514" s="4">
        <v>44516</v>
      </c>
      <c r="Z514" s="1" t="s">
        <v>32</v>
      </c>
      <c r="AA514" s="1" t="s">
        <v>33</v>
      </c>
      <c r="AB514" s="36" t="str" cm="1">
        <f t="array" ref="AB514">_xlfn.IFS(K514&gt;650,"LOW",K514&gt;=550,"MEDIUM",K514&lt;550,"HIGH")</f>
        <v>LOW</v>
      </c>
    </row>
    <row r="515" spans="3:28" x14ac:dyDescent="0.3">
      <c r="C515" s="35" t="s">
        <v>2230</v>
      </c>
      <c r="D515" s="1" t="s">
        <v>261</v>
      </c>
      <c r="E515" s="1">
        <v>24</v>
      </c>
      <c r="F515" s="1" t="s">
        <v>44</v>
      </c>
      <c r="G515" s="1" t="s">
        <v>45</v>
      </c>
      <c r="H515" s="1" t="s">
        <v>28</v>
      </c>
      <c r="I515" s="1" t="s">
        <v>40</v>
      </c>
      <c r="J515" s="7">
        <v>94308</v>
      </c>
      <c r="K515" s="1">
        <v>715</v>
      </c>
      <c r="L515" s="7">
        <v>27519</v>
      </c>
      <c r="M515" s="1">
        <v>36</v>
      </c>
      <c r="N515" s="6">
        <v>0.17180000000000001</v>
      </c>
      <c r="O515" s="1" t="s">
        <v>52</v>
      </c>
      <c r="P515" s="1" t="s">
        <v>50</v>
      </c>
      <c r="Q515" s="1">
        <v>27</v>
      </c>
      <c r="R515" s="1">
        <v>1</v>
      </c>
      <c r="S515" s="1" t="s">
        <v>33</v>
      </c>
      <c r="T515" s="1" t="s">
        <v>31</v>
      </c>
      <c r="U515" s="1">
        <v>0</v>
      </c>
      <c r="V515" s="1">
        <v>75848</v>
      </c>
      <c r="W515" s="7">
        <v>1210.27</v>
      </c>
      <c r="X515" s="1">
        <v>0.85</v>
      </c>
      <c r="Y515" s="4">
        <v>44064</v>
      </c>
      <c r="Z515" s="1" t="s">
        <v>38</v>
      </c>
      <c r="AA515" s="1" t="s">
        <v>33</v>
      </c>
      <c r="AB515" s="36" t="str" cm="1">
        <f t="array" ref="AB515">_xlfn.IFS(K515&gt;650,"LOW",K515&gt;=550,"MEDIUM",K515&lt;550,"HIGH")</f>
        <v>LOW</v>
      </c>
    </row>
    <row r="516" spans="3:28" x14ac:dyDescent="0.3">
      <c r="C516" s="35" t="s">
        <v>2232</v>
      </c>
      <c r="D516" s="1" t="s">
        <v>263</v>
      </c>
      <c r="E516" s="1">
        <v>37</v>
      </c>
      <c r="F516" s="1" t="s">
        <v>26</v>
      </c>
      <c r="G516" s="1" t="s">
        <v>35</v>
      </c>
      <c r="H516" s="1" t="s">
        <v>61</v>
      </c>
      <c r="I516" s="1" t="s">
        <v>59</v>
      </c>
      <c r="J516" s="7">
        <v>83745</v>
      </c>
      <c r="K516" s="1">
        <v>715</v>
      </c>
      <c r="L516" s="7">
        <v>4869</v>
      </c>
      <c r="M516" s="1">
        <v>60</v>
      </c>
      <c r="N516" s="6">
        <v>8.9900000000000008E-2</v>
      </c>
      <c r="O516" s="1" t="s">
        <v>41</v>
      </c>
      <c r="P516" s="1" t="s">
        <v>50</v>
      </c>
      <c r="Q516" s="1">
        <v>4</v>
      </c>
      <c r="R516" s="1">
        <v>2</v>
      </c>
      <c r="S516" s="1" t="s">
        <v>33</v>
      </c>
      <c r="T516" s="1" t="s">
        <v>31</v>
      </c>
      <c r="U516" s="1">
        <v>1</v>
      </c>
      <c r="V516" s="1">
        <v>167115</v>
      </c>
      <c r="W516" s="7">
        <v>659.4</v>
      </c>
      <c r="X516" s="1">
        <v>0.31</v>
      </c>
      <c r="Y516" s="4">
        <v>45623</v>
      </c>
      <c r="Z516" s="1" t="s">
        <v>38</v>
      </c>
      <c r="AA516" s="1" t="s">
        <v>33</v>
      </c>
      <c r="AB516" s="36" t="str" cm="1">
        <f t="array" ref="AB516">_xlfn.IFS(K516&gt;650,"LOW",K516&gt;=550,"MEDIUM",K516&lt;550,"HIGH")</f>
        <v>LOW</v>
      </c>
    </row>
    <row r="517" spans="3:28" x14ac:dyDescent="0.3">
      <c r="C517" s="35" t="s">
        <v>2417</v>
      </c>
      <c r="D517" s="1" t="s">
        <v>447</v>
      </c>
      <c r="E517" s="1">
        <v>52</v>
      </c>
      <c r="F517" s="1" t="s">
        <v>26</v>
      </c>
      <c r="G517" s="1" t="s">
        <v>27</v>
      </c>
      <c r="H517" s="1" t="s">
        <v>61</v>
      </c>
      <c r="I517" s="1" t="s">
        <v>29</v>
      </c>
      <c r="J517" s="7">
        <v>95082</v>
      </c>
      <c r="K517" s="1">
        <v>715</v>
      </c>
      <c r="L517" s="7">
        <v>30454</v>
      </c>
      <c r="M517" s="1">
        <v>36</v>
      </c>
      <c r="N517" s="6">
        <v>9.5799999999999996E-2</v>
      </c>
      <c r="O517" s="1" t="s">
        <v>52</v>
      </c>
      <c r="P517" s="1" t="s">
        <v>50</v>
      </c>
      <c r="Q517" s="1">
        <v>4</v>
      </c>
      <c r="R517" s="1">
        <v>4</v>
      </c>
      <c r="S517" s="1" t="s">
        <v>31</v>
      </c>
      <c r="T517" s="1" t="s">
        <v>31</v>
      </c>
      <c r="U517" s="1">
        <v>2</v>
      </c>
      <c r="V517" s="1">
        <v>55084</v>
      </c>
      <c r="W517" s="7">
        <v>589.77</v>
      </c>
      <c r="X517" s="1">
        <v>0.84</v>
      </c>
      <c r="Y517" s="4">
        <v>44382</v>
      </c>
      <c r="Z517" s="1" t="s">
        <v>38</v>
      </c>
      <c r="AA517" s="1" t="s">
        <v>33</v>
      </c>
      <c r="AB517" s="36" t="str" cm="1">
        <f t="array" ref="AB517">_xlfn.IFS(K517&gt;650,"LOW",K517&gt;=550,"MEDIUM",K517&lt;550,"HIGH")</f>
        <v>LOW</v>
      </c>
    </row>
    <row r="518" spans="3:28" x14ac:dyDescent="0.3">
      <c r="C518" s="35" t="s">
        <v>3108</v>
      </c>
      <c r="D518" s="1" t="s">
        <v>1133</v>
      </c>
      <c r="E518" s="1">
        <v>46</v>
      </c>
      <c r="F518" s="1" t="s">
        <v>44</v>
      </c>
      <c r="G518" s="1" t="s">
        <v>27</v>
      </c>
      <c r="H518" s="1" t="s">
        <v>36</v>
      </c>
      <c r="I518" s="1" t="s">
        <v>59</v>
      </c>
      <c r="J518" s="7">
        <v>132113</v>
      </c>
      <c r="K518" s="1">
        <v>715</v>
      </c>
      <c r="L518" s="7">
        <v>16419</v>
      </c>
      <c r="M518" s="1">
        <v>48</v>
      </c>
      <c r="N518" s="6">
        <v>8.0299999999999996E-2</v>
      </c>
      <c r="O518" s="1" t="s">
        <v>5</v>
      </c>
      <c r="P518" s="1" t="s">
        <v>50</v>
      </c>
      <c r="Q518" s="1">
        <v>2</v>
      </c>
      <c r="R518" s="1">
        <v>3</v>
      </c>
      <c r="S518" s="1" t="s">
        <v>31</v>
      </c>
      <c r="T518" s="1" t="s">
        <v>31</v>
      </c>
      <c r="U518" s="1">
        <v>1</v>
      </c>
      <c r="V518" s="1">
        <v>95324</v>
      </c>
      <c r="W518" s="7">
        <v>1072.79</v>
      </c>
      <c r="X518" s="1">
        <v>0.27</v>
      </c>
      <c r="Y518" s="4">
        <v>45736</v>
      </c>
      <c r="Z518" s="1" t="s">
        <v>38</v>
      </c>
      <c r="AA518" s="1" t="s">
        <v>33</v>
      </c>
      <c r="AB518" s="36" t="str" cm="1">
        <f t="array" ref="AB518">_xlfn.IFS(K518&gt;650,"LOW",K518&gt;=550,"MEDIUM",K518&lt;550,"HIGH")</f>
        <v>LOW</v>
      </c>
    </row>
    <row r="519" spans="3:28" x14ac:dyDescent="0.3">
      <c r="C519" s="35" t="s">
        <v>3530</v>
      </c>
      <c r="D519" s="1" t="s">
        <v>1547</v>
      </c>
      <c r="E519" s="1">
        <v>31</v>
      </c>
      <c r="F519" s="1" t="s">
        <v>26</v>
      </c>
      <c r="G519" s="1" t="s">
        <v>45</v>
      </c>
      <c r="H519" s="1" t="s">
        <v>28</v>
      </c>
      <c r="I519" s="1" t="s">
        <v>29</v>
      </c>
      <c r="J519" s="7">
        <v>122802</v>
      </c>
      <c r="K519" s="1">
        <v>715</v>
      </c>
      <c r="L519" s="7">
        <v>7412</v>
      </c>
      <c r="M519" s="1">
        <v>24</v>
      </c>
      <c r="N519" s="6">
        <v>0.1231</v>
      </c>
      <c r="O519" s="1" t="s">
        <v>41</v>
      </c>
      <c r="P519" s="1" t="s">
        <v>50</v>
      </c>
      <c r="Q519" s="1">
        <v>3</v>
      </c>
      <c r="R519" s="1">
        <v>3</v>
      </c>
      <c r="S519" s="1" t="s">
        <v>31</v>
      </c>
      <c r="T519" s="1" t="s">
        <v>33</v>
      </c>
      <c r="U519" s="1">
        <v>3</v>
      </c>
      <c r="V519" s="1">
        <v>173794</v>
      </c>
      <c r="W519" s="7">
        <v>139.11000000000001</v>
      </c>
      <c r="X519" s="1">
        <v>0.56000000000000005</v>
      </c>
      <c r="Y519" s="4">
        <v>45258</v>
      </c>
      <c r="Z519" s="1" t="s">
        <v>38</v>
      </c>
      <c r="AA519" s="1" t="s">
        <v>33</v>
      </c>
      <c r="AB519" s="36" t="str" cm="1">
        <f t="array" ref="AB519">_xlfn.IFS(K519&gt;650,"LOW",K519&gt;=550,"MEDIUM",K519&lt;550,"HIGH")</f>
        <v>LOW</v>
      </c>
    </row>
    <row r="520" spans="3:28" x14ac:dyDescent="0.3">
      <c r="C520" s="35" t="s">
        <v>3636</v>
      </c>
      <c r="D520" s="1" t="s">
        <v>1648</v>
      </c>
      <c r="E520" s="1">
        <v>32</v>
      </c>
      <c r="F520" s="1" t="s">
        <v>26</v>
      </c>
      <c r="G520" s="1" t="s">
        <v>35</v>
      </c>
      <c r="H520" s="1" t="s">
        <v>61</v>
      </c>
      <c r="I520" s="1" t="s">
        <v>29</v>
      </c>
      <c r="J520" s="7">
        <v>139547</v>
      </c>
      <c r="K520" s="1">
        <v>715</v>
      </c>
      <c r="L520" s="7">
        <v>8140</v>
      </c>
      <c r="M520" s="1">
        <v>12</v>
      </c>
      <c r="N520" s="6">
        <v>0.1358</v>
      </c>
      <c r="O520" s="1" t="s">
        <v>37</v>
      </c>
      <c r="P520" s="1" t="s">
        <v>47</v>
      </c>
      <c r="Q520" s="1">
        <v>2</v>
      </c>
      <c r="R520" s="1">
        <v>2</v>
      </c>
      <c r="S520" s="1" t="s">
        <v>33</v>
      </c>
      <c r="T520" s="1" t="s">
        <v>31</v>
      </c>
      <c r="U520" s="1">
        <v>4</v>
      </c>
      <c r="V520" s="1">
        <v>91033</v>
      </c>
      <c r="W520" s="7">
        <v>1284.49</v>
      </c>
      <c r="X520" s="1">
        <v>0.21</v>
      </c>
      <c r="Y520" s="4">
        <v>44209</v>
      </c>
      <c r="Z520" s="1" t="s">
        <v>32</v>
      </c>
      <c r="AA520" s="1" t="s">
        <v>33</v>
      </c>
      <c r="AB520" s="36" t="str" cm="1">
        <f t="array" ref="AB520">_xlfn.IFS(K520&gt;650,"LOW",K520&gt;=550,"MEDIUM",K520&lt;550,"HIGH")</f>
        <v>LOW</v>
      </c>
    </row>
    <row r="521" spans="3:28" x14ac:dyDescent="0.3">
      <c r="C521" s="35" t="s">
        <v>3819</v>
      </c>
      <c r="D521" s="1" t="s">
        <v>1825</v>
      </c>
      <c r="E521" s="1">
        <v>39</v>
      </c>
      <c r="F521" s="1" t="s">
        <v>44</v>
      </c>
      <c r="G521" s="1" t="s">
        <v>45</v>
      </c>
      <c r="H521" s="1" t="s">
        <v>61</v>
      </c>
      <c r="I521" s="1" t="s">
        <v>57</v>
      </c>
      <c r="J521" s="7">
        <v>23190</v>
      </c>
      <c r="K521" s="1">
        <v>715</v>
      </c>
      <c r="L521" s="7">
        <v>36421</v>
      </c>
      <c r="M521" s="1">
        <v>24</v>
      </c>
      <c r="N521" s="6">
        <v>0.1802</v>
      </c>
      <c r="O521" s="1" t="s">
        <v>46</v>
      </c>
      <c r="P521" s="1" t="s">
        <v>47</v>
      </c>
      <c r="Q521" s="1">
        <v>11</v>
      </c>
      <c r="R521" s="1">
        <v>3</v>
      </c>
      <c r="S521" s="1" t="s">
        <v>33</v>
      </c>
      <c r="T521" s="1" t="s">
        <v>33</v>
      </c>
      <c r="U521" s="1">
        <v>0</v>
      </c>
      <c r="V521" s="1">
        <v>54704</v>
      </c>
      <c r="W521" s="7">
        <v>1840.12</v>
      </c>
      <c r="X521" s="1">
        <v>0.2</v>
      </c>
      <c r="Y521" s="4">
        <v>44233</v>
      </c>
      <c r="Z521" s="1" t="s">
        <v>38</v>
      </c>
      <c r="AA521" s="1" t="s">
        <v>33</v>
      </c>
      <c r="AB521" s="36" t="str" cm="1">
        <f t="array" ref="AB521">_xlfn.IFS(K521&gt;650,"LOW",K521&gt;=550,"MEDIUM",K521&lt;550,"HIGH")</f>
        <v>LOW</v>
      </c>
    </row>
    <row r="522" spans="3:28" x14ac:dyDescent="0.3">
      <c r="C522" s="35" t="s">
        <v>2177</v>
      </c>
      <c r="D522" s="1" t="s">
        <v>208</v>
      </c>
      <c r="E522" s="1">
        <v>26</v>
      </c>
      <c r="F522" s="1" t="s">
        <v>26</v>
      </c>
      <c r="G522" s="1" t="s">
        <v>45</v>
      </c>
      <c r="H522" s="1" t="s">
        <v>61</v>
      </c>
      <c r="I522" s="1" t="s">
        <v>40</v>
      </c>
      <c r="J522" s="7">
        <v>114389</v>
      </c>
      <c r="K522" s="1">
        <v>714</v>
      </c>
      <c r="L522" s="7">
        <v>18502</v>
      </c>
      <c r="M522" s="1">
        <v>36</v>
      </c>
      <c r="N522" s="6">
        <v>0.11779999999999999</v>
      </c>
      <c r="O522" s="1" t="s">
        <v>63</v>
      </c>
      <c r="P522" s="1" t="s">
        <v>50</v>
      </c>
      <c r="Q522" s="1">
        <v>9</v>
      </c>
      <c r="R522" s="1">
        <v>3</v>
      </c>
      <c r="S522" s="1" t="s">
        <v>31</v>
      </c>
      <c r="T522" s="1" t="s">
        <v>31</v>
      </c>
      <c r="U522" s="1">
        <v>4</v>
      </c>
      <c r="V522" s="1">
        <v>158070</v>
      </c>
      <c r="W522" s="7">
        <v>1029.73</v>
      </c>
      <c r="X522" s="1">
        <v>0.86</v>
      </c>
      <c r="Y522" s="4">
        <v>44133</v>
      </c>
      <c r="Z522" s="1" t="s">
        <v>32</v>
      </c>
      <c r="AA522" s="1" t="s">
        <v>33</v>
      </c>
      <c r="AB522" s="36" t="str" cm="1">
        <f t="array" ref="AB522">_xlfn.IFS(K522&gt;650,"LOW",K522&gt;=550,"MEDIUM",K522&lt;550,"HIGH")</f>
        <v>LOW</v>
      </c>
    </row>
    <row r="523" spans="3:28" x14ac:dyDescent="0.3">
      <c r="C523" s="35" t="s">
        <v>2909</v>
      </c>
      <c r="D523" s="1" t="s">
        <v>937</v>
      </c>
      <c r="E523" s="1">
        <v>56</v>
      </c>
      <c r="F523" s="1" t="s">
        <v>44</v>
      </c>
      <c r="G523" s="1" t="s">
        <v>27</v>
      </c>
      <c r="H523" s="1" t="s">
        <v>36</v>
      </c>
      <c r="I523" s="1" t="s">
        <v>57</v>
      </c>
      <c r="J523" s="7">
        <v>100986</v>
      </c>
      <c r="K523" s="1">
        <v>714</v>
      </c>
      <c r="L523" s="7">
        <v>32923</v>
      </c>
      <c r="M523" s="1">
        <v>12</v>
      </c>
      <c r="N523" s="6">
        <v>0.19409999999999999</v>
      </c>
      <c r="O523" s="1" t="s">
        <v>63</v>
      </c>
      <c r="P523" s="1" t="s">
        <v>30</v>
      </c>
      <c r="Q523" s="1">
        <v>29</v>
      </c>
      <c r="R523" s="1">
        <v>1</v>
      </c>
      <c r="S523" s="1" t="s">
        <v>33</v>
      </c>
      <c r="T523" s="1" t="s">
        <v>33</v>
      </c>
      <c r="U523" s="1">
        <v>1</v>
      </c>
      <c r="V523" s="1">
        <v>161297</v>
      </c>
      <c r="W523" s="7">
        <v>1444.91</v>
      </c>
      <c r="X523" s="1">
        <v>0.74</v>
      </c>
      <c r="Y523" s="4">
        <v>45053</v>
      </c>
      <c r="Z523" s="1" t="s">
        <v>38</v>
      </c>
      <c r="AA523" s="1" t="s">
        <v>33</v>
      </c>
      <c r="AB523" s="36" t="str" cm="1">
        <f t="array" ref="AB523">_xlfn.IFS(K523&gt;650,"LOW",K523&gt;=550,"MEDIUM",K523&lt;550,"HIGH")</f>
        <v>LOW</v>
      </c>
    </row>
    <row r="524" spans="3:28" x14ac:dyDescent="0.3">
      <c r="C524" s="35" t="s">
        <v>3264</v>
      </c>
      <c r="D524" s="1" t="s">
        <v>1287</v>
      </c>
      <c r="E524" s="1">
        <v>29</v>
      </c>
      <c r="F524" s="1" t="s">
        <v>44</v>
      </c>
      <c r="G524" s="1" t="s">
        <v>56</v>
      </c>
      <c r="H524" s="1" t="s">
        <v>36</v>
      </c>
      <c r="I524" s="1" t="s">
        <v>59</v>
      </c>
      <c r="J524" s="7">
        <v>145695</v>
      </c>
      <c r="K524" s="1">
        <v>714</v>
      </c>
      <c r="L524" s="7">
        <v>41724</v>
      </c>
      <c r="M524" s="1">
        <v>24</v>
      </c>
      <c r="N524" s="6">
        <v>0.1399</v>
      </c>
      <c r="O524" s="1" t="s">
        <v>37</v>
      </c>
      <c r="P524" s="1" t="s">
        <v>30</v>
      </c>
      <c r="Q524" s="1">
        <v>24</v>
      </c>
      <c r="R524" s="1">
        <v>1</v>
      </c>
      <c r="S524" s="1" t="s">
        <v>33</v>
      </c>
      <c r="T524" s="1" t="s">
        <v>33</v>
      </c>
      <c r="U524" s="1">
        <v>0</v>
      </c>
      <c r="V524" s="1">
        <v>159827</v>
      </c>
      <c r="W524" s="7">
        <v>381.92</v>
      </c>
      <c r="X524" s="1">
        <v>0.48</v>
      </c>
      <c r="Y524" s="4">
        <v>44982</v>
      </c>
      <c r="Z524" s="1" t="s">
        <v>38</v>
      </c>
      <c r="AA524" s="1" t="s">
        <v>33</v>
      </c>
      <c r="AB524" s="36" t="str" cm="1">
        <f t="array" ref="AB524">_xlfn.IFS(K524&gt;650,"LOW",K524&gt;=550,"MEDIUM",K524&lt;550,"HIGH")</f>
        <v>LOW</v>
      </c>
    </row>
    <row r="525" spans="3:28" x14ac:dyDescent="0.3">
      <c r="C525" s="35" t="s">
        <v>3926</v>
      </c>
      <c r="D525" s="1" t="s">
        <v>1930</v>
      </c>
      <c r="E525" s="1">
        <v>26</v>
      </c>
      <c r="F525" s="1" t="s">
        <v>26</v>
      </c>
      <c r="G525" s="1" t="s">
        <v>56</v>
      </c>
      <c r="H525" s="1" t="s">
        <v>28</v>
      </c>
      <c r="I525" s="1" t="s">
        <v>29</v>
      </c>
      <c r="J525" s="7">
        <v>127853</v>
      </c>
      <c r="K525" s="1">
        <v>714</v>
      </c>
      <c r="L525" s="7">
        <v>5098</v>
      </c>
      <c r="M525" s="1">
        <v>12</v>
      </c>
      <c r="N525" s="6">
        <v>0.1167</v>
      </c>
      <c r="O525" s="1" t="s">
        <v>46</v>
      </c>
      <c r="P525" s="1" t="s">
        <v>47</v>
      </c>
      <c r="Q525" s="1">
        <v>19</v>
      </c>
      <c r="R525" s="1">
        <v>2</v>
      </c>
      <c r="S525" s="1" t="s">
        <v>31</v>
      </c>
      <c r="T525" s="1" t="s">
        <v>31</v>
      </c>
      <c r="U525" s="1">
        <v>4</v>
      </c>
      <c r="V525" s="1">
        <v>63976</v>
      </c>
      <c r="W525" s="7">
        <v>446.48</v>
      </c>
      <c r="X525" s="1">
        <v>0.59</v>
      </c>
      <c r="Y525" s="4">
        <v>45025</v>
      </c>
      <c r="Z525" s="1" t="s">
        <v>38</v>
      </c>
      <c r="AA525" s="1" t="s">
        <v>33</v>
      </c>
      <c r="AB525" s="36" t="str" cm="1">
        <f t="array" ref="AB525">_xlfn.IFS(K525&gt;650,"LOW",K525&gt;=550,"MEDIUM",K525&lt;550,"HIGH")</f>
        <v>LOW</v>
      </c>
    </row>
    <row r="526" spans="3:28" x14ac:dyDescent="0.3">
      <c r="C526" s="35" t="s">
        <v>2401</v>
      </c>
      <c r="D526" s="1" t="s">
        <v>431</v>
      </c>
      <c r="E526" s="1">
        <v>45</v>
      </c>
      <c r="F526" s="1" t="s">
        <v>26</v>
      </c>
      <c r="G526" s="1" t="s">
        <v>45</v>
      </c>
      <c r="H526" s="1" t="s">
        <v>54</v>
      </c>
      <c r="I526" s="1" t="s">
        <v>40</v>
      </c>
      <c r="J526" s="7">
        <v>29583</v>
      </c>
      <c r="K526" s="1">
        <v>713</v>
      </c>
      <c r="L526" s="7">
        <v>15497</v>
      </c>
      <c r="M526" s="1">
        <v>36</v>
      </c>
      <c r="N526" s="6">
        <v>0.11710000000000001</v>
      </c>
      <c r="O526" s="1" t="s">
        <v>46</v>
      </c>
      <c r="P526" s="1" t="s">
        <v>50</v>
      </c>
      <c r="Q526" s="1">
        <v>26</v>
      </c>
      <c r="R526" s="1">
        <v>2</v>
      </c>
      <c r="S526" s="1" t="s">
        <v>33</v>
      </c>
      <c r="T526" s="1" t="s">
        <v>31</v>
      </c>
      <c r="U526" s="1">
        <v>1</v>
      </c>
      <c r="V526" s="1">
        <v>137046</v>
      </c>
      <c r="W526" s="7">
        <v>534.07000000000005</v>
      </c>
      <c r="X526" s="1">
        <v>0.9</v>
      </c>
      <c r="Y526" s="4">
        <v>44411</v>
      </c>
      <c r="Z526" s="1" t="s">
        <v>32</v>
      </c>
      <c r="AA526" s="1" t="s">
        <v>33</v>
      </c>
      <c r="AB526" s="36" t="str" cm="1">
        <f t="array" ref="AB526">_xlfn.IFS(K526&gt;650,"LOW",K526&gt;=550,"MEDIUM",K526&lt;550,"HIGH")</f>
        <v>LOW</v>
      </c>
    </row>
    <row r="527" spans="3:28" x14ac:dyDescent="0.3">
      <c r="C527" s="35" t="s">
        <v>2452</v>
      </c>
      <c r="D527" s="1" t="s">
        <v>482</v>
      </c>
      <c r="E527" s="1">
        <v>42</v>
      </c>
      <c r="F527" s="1" t="s">
        <v>44</v>
      </c>
      <c r="G527" s="1" t="s">
        <v>35</v>
      </c>
      <c r="H527" s="1" t="s">
        <v>36</v>
      </c>
      <c r="I527" s="1" t="s">
        <v>40</v>
      </c>
      <c r="J527" s="7">
        <v>42340</v>
      </c>
      <c r="K527" s="1">
        <v>713</v>
      </c>
      <c r="L527" s="7">
        <v>5646</v>
      </c>
      <c r="M527" s="1">
        <v>24</v>
      </c>
      <c r="N527" s="6">
        <v>8.3299999999999999E-2</v>
      </c>
      <c r="O527" s="1" t="s">
        <v>63</v>
      </c>
      <c r="P527" s="1" t="s">
        <v>30</v>
      </c>
      <c r="Q527" s="1">
        <v>24</v>
      </c>
      <c r="R527" s="1">
        <v>3</v>
      </c>
      <c r="S527" s="1" t="s">
        <v>31</v>
      </c>
      <c r="T527" s="1" t="s">
        <v>31</v>
      </c>
      <c r="U527" s="1">
        <v>1</v>
      </c>
      <c r="V527" s="1">
        <v>91396</v>
      </c>
      <c r="W527" s="7">
        <v>248.82</v>
      </c>
      <c r="X527" s="1">
        <v>0.39</v>
      </c>
      <c r="Y527" s="4">
        <v>44028</v>
      </c>
      <c r="Z527" s="1" t="s">
        <v>38</v>
      </c>
      <c r="AA527" s="1" t="s">
        <v>33</v>
      </c>
      <c r="AB527" s="36" t="str" cm="1">
        <f t="array" ref="AB527">_xlfn.IFS(K527&gt;650,"LOW",K527&gt;=550,"MEDIUM",K527&lt;550,"HIGH")</f>
        <v>LOW</v>
      </c>
    </row>
    <row r="528" spans="3:28" x14ac:dyDescent="0.3">
      <c r="C528" s="35" t="s">
        <v>3743</v>
      </c>
      <c r="D528" s="1" t="s">
        <v>1751</v>
      </c>
      <c r="E528" s="1">
        <v>37</v>
      </c>
      <c r="F528" s="1" t="s">
        <v>26</v>
      </c>
      <c r="G528" s="1" t="s">
        <v>45</v>
      </c>
      <c r="H528" s="1" t="s">
        <v>54</v>
      </c>
      <c r="I528" s="1" t="s">
        <v>29</v>
      </c>
      <c r="J528" s="7">
        <v>66182</v>
      </c>
      <c r="K528" s="1">
        <v>713</v>
      </c>
      <c r="L528" s="7">
        <v>20726</v>
      </c>
      <c r="M528" s="1">
        <v>36</v>
      </c>
      <c r="N528" s="6">
        <v>5.2699999999999997E-2</v>
      </c>
      <c r="O528" s="1" t="s">
        <v>63</v>
      </c>
      <c r="P528" s="1" t="s">
        <v>50</v>
      </c>
      <c r="Q528" s="1">
        <v>22</v>
      </c>
      <c r="R528" s="1">
        <v>2</v>
      </c>
      <c r="S528" s="1" t="s">
        <v>33</v>
      </c>
      <c r="T528" s="1" t="s">
        <v>31</v>
      </c>
      <c r="U528" s="1">
        <v>2</v>
      </c>
      <c r="V528" s="1">
        <v>68919</v>
      </c>
      <c r="W528" s="7">
        <v>948.96</v>
      </c>
      <c r="X528" s="1">
        <v>0.66</v>
      </c>
      <c r="Y528" s="4">
        <v>45650</v>
      </c>
      <c r="Z528" s="1" t="s">
        <v>32</v>
      </c>
      <c r="AA528" s="1" t="s">
        <v>31</v>
      </c>
      <c r="AB528" s="36" t="str" cm="1">
        <f t="array" ref="AB528">_xlfn.IFS(K528&gt;650,"LOW",K528&gt;=550,"MEDIUM",K528&lt;550,"HIGH")</f>
        <v>LOW</v>
      </c>
    </row>
    <row r="529" spans="3:28" x14ac:dyDescent="0.3">
      <c r="C529" s="35" t="s">
        <v>2106</v>
      </c>
      <c r="D529" s="1" t="s">
        <v>137</v>
      </c>
      <c r="E529" s="1">
        <v>21</v>
      </c>
      <c r="F529" s="1" t="s">
        <v>44</v>
      </c>
      <c r="G529" s="1" t="s">
        <v>45</v>
      </c>
      <c r="H529" s="1" t="s">
        <v>28</v>
      </c>
      <c r="I529" s="1" t="s">
        <v>40</v>
      </c>
      <c r="J529" s="7">
        <v>123712</v>
      </c>
      <c r="K529" s="1">
        <v>712</v>
      </c>
      <c r="L529" s="7">
        <v>16536</v>
      </c>
      <c r="M529" s="1">
        <v>36</v>
      </c>
      <c r="N529" s="6">
        <v>0.11019999999999999</v>
      </c>
      <c r="O529" s="1" t="s">
        <v>5</v>
      </c>
      <c r="P529" s="1" t="s">
        <v>50</v>
      </c>
      <c r="Q529" s="1">
        <v>8</v>
      </c>
      <c r="R529" s="1">
        <v>1</v>
      </c>
      <c r="S529" s="1" t="s">
        <v>33</v>
      </c>
      <c r="T529" s="1" t="s">
        <v>31</v>
      </c>
      <c r="U529" s="1">
        <v>0</v>
      </c>
      <c r="V529" s="1">
        <v>15930</v>
      </c>
      <c r="W529" s="7">
        <v>107.76</v>
      </c>
      <c r="X529" s="1">
        <v>0.14000000000000001</v>
      </c>
      <c r="Y529" s="4">
        <v>45177</v>
      </c>
      <c r="Z529" s="1" t="s">
        <v>38</v>
      </c>
      <c r="AA529" s="1" t="s">
        <v>33</v>
      </c>
      <c r="AB529" s="36" t="str" cm="1">
        <f t="array" ref="AB529">_xlfn.IFS(K529&gt;650,"LOW",K529&gt;=550,"MEDIUM",K529&lt;550,"HIGH")</f>
        <v>LOW</v>
      </c>
    </row>
    <row r="530" spans="3:28" x14ac:dyDescent="0.3">
      <c r="C530" s="35" t="s">
        <v>2875</v>
      </c>
      <c r="D530" s="1" t="s">
        <v>903</v>
      </c>
      <c r="E530" s="1">
        <v>23</v>
      </c>
      <c r="F530" s="1" t="s">
        <v>26</v>
      </c>
      <c r="G530" s="1" t="s">
        <v>35</v>
      </c>
      <c r="H530" s="1" t="s">
        <v>36</v>
      </c>
      <c r="I530" s="1" t="s">
        <v>59</v>
      </c>
      <c r="J530" s="7">
        <v>55891</v>
      </c>
      <c r="K530" s="1">
        <v>712</v>
      </c>
      <c r="L530" s="7">
        <v>30203</v>
      </c>
      <c r="M530" s="1">
        <v>12</v>
      </c>
      <c r="N530" s="6">
        <v>0.1643</v>
      </c>
      <c r="O530" s="1" t="s">
        <v>46</v>
      </c>
      <c r="P530" s="1" t="s">
        <v>30</v>
      </c>
      <c r="Q530" s="1">
        <v>27</v>
      </c>
      <c r="R530" s="1">
        <v>4</v>
      </c>
      <c r="S530" s="1" t="s">
        <v>31</v>
      </c>
      <c r="T530" s="1" t="s">
        <v>31</v>
      </c>
      <c r="U530" s="1">
        <v>3</v>
      </c>
      <c r="V530" s="1">
        <v>86861</v>
      </c>
      <c r="W530" s="7">
        <v>444.45</v>
      </c>
      <c r="X530" s="1">
        <v>0.53</v>
      </c>
      <c r="Y530" s="4">
        <v>45790</v>
      </c>
      <c r="Z530" s="1" t="s">
        <v>38</v>
      </c>
      <c r="AA530" s="1" t="s">
        <v>33</v>
      </c>
      <c r="AB530" s="36" t="str" cm="1">
        <f t="array" ref="AB530">_xlfn.IFS(K530&gt;650,"LOW",K530&gt;=550,"MEDIUM",K530&lt;550,"HIGH")</f>
        <v>LOW</v>
      </c>
    </row>
    <row r="531" spans="3:28" x14ac:dyDescent="0.3">
      <c r="C531" s="35" t="s">
        <v>3283</v>
      </c>
      <c r="D531" s="1" t="s">
        <v>1306</v>
      </c>
      <c r="E531" s="1">
        <v>57</v>
      </c>
      <c r="F531" s="1" t="s">
        <v>44</v>
      </c>
      <c r="G531" s="1" t="s">
        <v>27</v>
      </c>
      <c r="H531" s="1" t="s">
        <v>61</v>
      </c>
      <c r="I531" s="1" t="s">
        <v>59</v>
      </c>
      <c r="J531" s="7">
        <v>106335</v>
      </c>
      <c r="K531" s="1">
        <v>712</v>
      </c>
      <c r="L531" s="7">
        <v>14526</v>
      </c>
      <c r="M531" s="1">
        <v>12</v>
      </c>
      <c r="N531" s="6">
        <v>6.2800000000000009E-2</v>
      </c>
      <c r="O531" s="1" t="s">
        <v>5</v>
      </c>
      <c r="P531" s="1" t="s">
        <v>47</v>
      </c>
      <c r="Q531" s="1">
        <v>4</v>
      </c>
      <c r="R531" s="1">
        <v>1</v>
      </c>
      <c r="S531" s="1" t="s">
        <v>33</v>
      </c>
      <c r="T531" s="1" t="s">
        <v>31</v>
      </c>
      <c r="U531" s="1">
        <v>0</v>
      </c>
      <c r="V531" s="1">
        <v>7160</v>
      </c>
      <c r="W531" s="7">
        <v>137.59</v>
      </c>
      <c r="X531" s="1">
        <v>0.69</v>
      </c>
      <c r="Y531" s="4">
        <v>44218</v>
      </c>
      <c r="Z531" s="1" t="s">
        <v>38</v>
      </c>
      <c r="AA531" s="1" t="s">
        <v>33</v>
      </c>
      <c r="AB531" s="36" t="str" cm="1">
        <f t="array" ref="AB531">_xlfn.IFS(K531&gt;650,"LOW",K531&gt;=550,"MEDIUM",K531&lt;550,"HIGH")</f>
        <v>LOW</v>
      </c>
    </row>
    <row r="532" spans="3:28" x14ac:dyDescent="0.3">
      <c r="C532" s="35" t="s">
        <v>3522</v>
      </c>
      <c r="D532" s="1" t="s">
        <v>1539</v>
      </c>
      <c r="E532" s="1">
        <v>54</v>
      </c>
      <c r="F532" s="1" t="s">
        <v>44</v>
      </c>
      <c r="G532" s="1" t="s">
        <v>27</v>
      </c>
      <c r="H532" s="1" t="s">
        <v>28</v>
      </c>
      <c r="I532" s="1" t="s">
        <v>59</v>
      </c>
      <c r="J532" s="7">
        <v>52214</v>
      </c>
      <c r="K532" s="1">
        <v>712</v>
      </c>
      <c r="L532" s="7">
        <v>17005</v>
      </c>
      <c r="M532" s="1">
        <v>24</v>
      </c>
      <c r="N532" s="6">
        <v>9.0200000000000002E-2</v>
      </c>
      <c r="O532" s="1" t="s">
        <v>46</v>
      </c>
      <c r="P532" s="1" t="s">
        <v>47</v>
      </c>
      <c r="Q532" s="1">
        <v>13</v>
      </c>
      <c r="R532" s="1">
        <v>2</v>
      </c>
      <c r="S532" s="1" t="s">
        <v>31</v>
      </c>
      <c r="T532" s="1" t="s">
        <v>31</v>
      </c>
      <c r="U532" s="1">
        <v>4</v>
      </c>
      <c r="V532" s="1">
        <v>174897</v>
      </c>
      <c r="W532" s="7">
        <v>825.61</v>
      </c>
      <c r="X532" s="1">
        <v>0.36</v>
      </c>
      <c r="Y532" s="4">
        <v>45006</v>
      </c>
      <c r="Z532" s="1" t="s">
        <v>38</v>
      </c>
      <c r="AA532" s="1" t="s">
        <v>33</v>
      </c>
      <c r="AB532" s="36" t="str" cm="1">
        <f t="array" ref="AB532">_xlfn.IFS(K532&gt;650,"LOW",K532&gt;=550,"MEDIUM",K532&lt;550,"HIGH")</f>
        <v>LOW</v>
      </c>
    </row>
    <row r="533" spans="3:28" x14ac:dyDescent="0.3">
      <c r="C533" s="35" t="s">
        <v>3837</v>
      </c>
      <c r="D533" s="1" t="s">
        <v>1843</v>
      </c>
      <c r="E533" s="1">
        <v>40</v>
      </c>
      <c r="F533" s="1" t="s">
        <v>44</v>
      </c>
      <c r="G533" s="1" t="s">
        <v>35</v>
      </c>
      <c r="H533" s="1" t="s">
        <v>61</v>
      </c>
      <c r="I533" s="1" t="s">
        <v>57</v>
      </c>
      <c r="J533" s="7">
        <v>109494</v>
      </c>
      <c r="K533" s="1">
        <v>712</v>
      </c>
      <c r="L533" s="7">
        <v>18729</v>
      </c>
      <c r="M533" s="1">
        <v>60</v>
      </c>
      <c r="N533" s="6">
        <v>0.13730000000000001</v>
      </c>
      <c r="O533" s="1" t="s">
        <v>37</v>
      </c>
      <c r="P533" s="1" t="s">
        <v>47</v>
      </c>
      <c r="Q533" s="1">
        <v>5</v>
      </c>
      <c r="R533" s="1">
        <v>2</v>
      </c>
      <c r="S533" s="1" t="s">
        <v>31</v>
      </c>
      <c r="T533" s="1" t="s">
        <v>31</v>
      </c>
      <c r="U533" s="1">
        <v>1</v>
      </c>
      <c r="V533" s="1">
        <v>141820</v>
      </c>
      <c r="W533" s="7">
        <v>451.52</v>
      </c>
      <c r="X533" s="1">
        <v>0.79</v>
      </c>
      <c r="Y533" s="4">
        <v>44539</v>
      </c>
      <c r="Z533" s="1" t="s">
        <v>32</v>
      </c>
      <c r="AA533" s="1" t="s">
        <v>31</v>
      </c>
      <c r="AB533" s="36" t="str" cm="1">
        <f t="array" ref="AB533">_xlfn.IFS(K533&gt;650,"LOW",K533&gt;=550,"MEDIUM",K533&lt;550,"HIGH")</f>
        <v>LOW</v>
      </c>
    </row>
    <row r="534" spans="3:28" x14ac:dyDescent="0.3">
      <c r="C534" s="35" t="s">
        <v>2727</v>
      </c>
      <c r="D534" s="1" t="s">
        <v>757</v>
      </c>
      <c r="E534" s="1">
        <v>39</v>
      </c>
      <c r="F534" s="1" t="s">
        <v>44</v>
      </c>
      <c r="G534" s="1" t="s">
        <v>35</v>
      </c>
      <c r="H534" s="1" t="s">
        <v>36</v>
      </c>
      <c r="I534" s="1" t="s">
        <v>40</v>
      </c>
      <c r="J534" s="7">
        <v>92377</v>
      </c>
      <c r="K534" s="1">
        <v>711</v>
      </c>
      <c r="L534" s="7">
        <v>7998</v>
      </c>
      <c r="M534" s="1">
        <v>12</v>
      </c>
      <c r="N534" s="6">
        <v>0.14510000000000001</v>
      </c>
      <c r="O534" s="1" t="s">
        <v>5</v>
      </c>
      <c r="P534" s="1" t="s">
        <v>47</v>
      </c>
      <c r="Q534" s="1">
        <v>8</v>
      </c>
      <c r="R534" s="1">
        <v>3</v>
      </c>
      <c r="S534" s="1" t="s">
        <v>31</v>
      </c>
      <c r="T534" s="1" t="s">
        <v>33</v>
      </c>
      <c r="U534" s="1">
        <v>1</v>
      </c>
      <c r="V534" s="1">
        <v>121359</v>
      </c>
      <c r="W534" s="7">
        <v>282.01</v>
      </c>
      <c r="X534" s="1">
        <v>0.55000000000000004</v>
      </c>
      <c r="Y534" s="4">
        <v>44237</v>
      </c>
      <c r="Z534" s="1" t="s">
        <v>38</v>
      </c>
      <c r="AA534" s="1" t="s">
        <v>33</v>
      </c>
      <c r="AB534" s="36" t="str" cm="1">
        <f t="array" ref="AB534">_xlfn.IFS(K534&gt;650,"LOW",K534&gt;=550,"MEDIUM",K534&lt;550,"HIGH")</f>
        <v>LOW</v>
      </c>
    </row>
    <row r="535" spans="3:28" x14ac:dyDescent="0.3">
      <c r="C535" s="35" t="s">
        <v>3059</v>
      </c>
      <c r="D535" s="1" t="s">
        <v>1085</v>
      </c>
      <c r="E535" s="1">
        <v>22</v>
      </c>
      <c r="F535" s="1" t="s">
        <v>44</v>
      </c>
      <c r="G535" s="1" t="s">
        <v>45</v>
      </c>
      <c r="H535" s="1" t="s">
        <v>54</v>
      </c>
      <c r="I535" s="1" t="s">
        <v>59</v>
      </c>
      <c r="J535" s="7">
        <v>109647</v>
      </c>
      <c r="K535" s="1">
        <v>711</v>
      </c>
      <c r="L535" s="7">
        <v>15849</v>
      </c>
      <c r="M535" s="1">
        <v>24</v>
      </c>
      <c r="N535" s="6">
        <v>0.14990000000000001</v>
      </c>
      <c r="O535" s="1" t="s">
        <v>37</v>
      </c>
      <c r="P535" s="1" t="s">
        <v>30</v>
      </c>
      <c r="Q535" s="1">
        <v>17</v>
      </c>
      <c r="R535" s="1">
        <v>4</v>
      </c>
      <c r="S535" s="1" t="s">
        <v>31</v>
      </c>
      <c r="T535" s="1" t="s">
        <v>31</v>
      </c>
      <c r="U535" s="1">
        <v>0</v>
      </c>
      <c r="V535" s="1">
        <v>102987</v>
      </c>
      <c r="W535" s="7">
        <v>1931.53</v>
      </c>
      <c r="X535" s="1">
        <v>0.23</v>
      </c>
      <c r="Y535" s="4">
        <v>45199</v>
      </c>
      <c r="Z535" s="1" t="s">
        <v>38</v>
      </c>
      <c r="AA535" s="1" t="s">
        <v>33</v>
      </c>
      <c r="AB535" s="36" t="str" cm="1">
        <f t="array" ref="AB535">_xlfn.IFS(K535&gt;650,"LOW",K535&gt;=550,"MEDIUM",K535&lt;550,"HIGH")</f>
        <v>LOW</v>
      </c>
    </row>
    <row r="536" spans="3:28" x14ac:dyDescent="0.3">
      <c r="C536" s="35" t="s">
        <v>3878</v>
      </c>
      <c r="D536" s="1" t="s">
        <v>1884</v>
      </c>
      <c r="E536" s="1">
        <v>34</v>
      </c>
      <c r="F536" s="1" t="s">
        <v>44</v>
      </c>
      <c r="G536" s="1" t="s">
        <v>56</v>
      </c>
      <c r="H536" s="1" t="s">
        <v>36</v>
      </c>
      <c r="I536" s="1" t="s">
        <v>57</v>
      </c>
      <c r="J536" s="7">
        <v>37358</v>
      </c>
      <c r="K536" s="1">
        <v>711</v>
      </c>
      <c r="L536" s="7">
        <v>33250</v>
      </c>
      <c r="M536" s="1">
        <v>60</v>
      </c>
      <c r="N536" s="6">
        <v>5.1500000000000004E-2</v>
      </c>
      <c r="O536" s="1" t="s">
        <v>46</v>
      </c>
      <c r="P536" s="1" t="s">
        <v>30</v>
      </c>
      <c r="Q536" s="1">
        <v>10</v>
      </c>
      <c r="R536" s="1">
        <v>4</v>
      </c>
      <c r="S536" s="1" t="s">
        <v>31</v>
      </c>
      <c r="T536" s="1" t="s">
        <v>31</v>
      </c>
      <c r="U536" s="1">
        <v>0</v>
      </c>
      <c r="V536" s="1">
        <v>6577</v>
      </c>
      <c r="W536" s="7">
        <v>332.61</v>
      </c>
      <c r="X536" s="1">
        <v>0.6</v>
      </c>
      <c r="Y536" s="4">
        <v>44090</v>
      </c>
      <c r="Z536" s="1" t="s">
        <v>38</v>
      </c>
      <c r="AA536" s="1" t="s">
        <v>33</v>
      </c>
      <c r="AB536" s="36" t="str" cm="1">
        <f t="array" ref="AB536">_xlfn.IFS(K536&gt;650,"LOW",K536&gt;=550,"MEDIUM",K536&lt;550,"HIGH")</f>
        <v>LOW</v>
      </c>
    </row>
    <row r="537" spans="3:28" x14ac:dyDescent="0.3">
      <c r="C537" s="35" t="s">
        <v>2120</v>
      </c>
      <c r="D537" s="1" t="s">
        <v>151</v>
      </c>
      <c r="E537" s="1">
        <v>53</v>
      </c>
      <c r="F537" s="1" t="s">
        <v>26</v>
      </c>
      <c r="G537" s="1" t="s">
        <v>56</v>
      </c>
      <c r="H537" s="1" t="s">
        <v>54</v>
      </c>
      <c r="I537" s="1" t="s">
        <v>29</v>
      </c>
      <c r="J537" s="7">
        <v>143711</v>
      </c>
      <c r="K537" s="1">
        <v>710</v>
      </c>
      <c r="L537" s="7">
        <v>41412</v>
      </c>
      <c r="M537" s="1">
        <v>60</v>
      </c>
      <c r="N537" s="6">
        <v>0.1313</v>
      </c>
      <c r="O537" s="1" t="s">
        <v>63</v>
      </c>
      <c r="P537" s="1" t="s">
        <v>30</v>
      </c>
      <c r="Q537" s="1">
        <v>13</v>
      </c>
      <c r="R537" s="1">
        <v>1</v>
      </c>
      <c r="S537" s="1" t="s">
        <v>33</v>
      </c>
      <c r="T537" s="1" t="s">
        <v>31</v>
      </c>
      <c r="U537" s="1">
        <v>1</v>
      </c>
      <c r="V537" s="1">
        <v>167983</v>
      </c>
      <c r="W537" s="7">
        <v>1863.03</v>
      </c>
      <c r="X537" s="1">
        <v>0.37</v>
      </c>
      <c r="Y537" s="4">
        <v>44571</v>
      </c>
      <c r="Z537" s="1" t="s">
        <v>32</v>
      </c>
      <c r="AA537" s="1" t="s">
        <v>33</v>
      </c>
      <c r="AB537" s="36" t="str" cm="1">
        <f t="array" ref="AB537">_xlfn.IFS(K537&gt;650,"LOW",K537&gt;=550,"MEDIUM",K537&lt;550,"HIGH")</f>
        <v>LOW</v>
      </c>
    </row>
    <row r="538" spans="3:28" x14ac:dyDescent="0.3">
      <c r="C538" s="35" t="s">
        <v>2659</v>
      </c>
      <c r="D538" s="1" t="s">
        <v>689</v>
      </c>
      <c r="E538" s="1">
        <v>31</v>
      </c>
      <c r="F538" s="1" t="s">
        <v>26</v>
      </c>
      <c r="G538" s="1" t="s">
        <v>45</v>
      </c>
      <c r="H538" s="1" t="s">
        <v>36</v>
      </c>
      <c r="I538" s="1" t="s">
        <v>29</v>
      </c>
      <c r="J538" s="7">
        <v>135229</v>
      </c>
      <c r="K538" s="1">
        <v>710</v>
      </c>
      <c r="L538" s="7">
        <v>28452</v>
      </c>
      <c r="M538" s="1">
        <v>24</v>
      </c>
      <c r="N538" s="6">
        <v>0.17100000000000001</v>
      </c>
      <c r="O538" s="1" t="s">
        <v>37</v>
      </c>
      <c r="P538" s="1" t="s">
        <v>50</v>
      </c>
      <c r="Q538" s="1">
        <v>13</v>
      </c>
      <c r="R538" s="1">
        <v>4</v>
      </c>
      <c r="S538" s="1" t="s">
        <v>31</v>
      </c>
      <c r="T538" s="1" t="s">
        <v>33</v>
      </c>
      <c r="U538" s="1">
        <v>3</v>
      </c>
      <c r="V538" s="1">
        <v>14245</v>
      </c>
      <c r="W538" s="7">
        <v>1630.63</v>
      </c>
      <c r="X538" s="1">
        <v>0.87</v>
      </c>
      <c r="Y538" s="4">
        <v>45713</v>
      </c>
      <c r="Z538" s="1" t="s">
        <v>32</v>
      </c>
      <c r="AA538" s="1" t="s">
        <v>33</v>
      </c>
      <c r="AB538" s="36" t="str" cm="1">
        <f t="array" ref="AB538">_xlfn.IFS(K538&gt;650,"LOW",K538&gt;=550,"MEDIUM",K538&lt;550,"HIGH")</f>
        <v>LOW</v>
      </c>
    </row>
    <row r="539" spans="3:28" x14ac:dyDescent="0.3">
      <c r="C539" s="35" t="s">
        <v>3137</v>
      </c>
      <c r="D539" s="1" t="s">
        <v>1162</v>
      </c>
      <c r="E539" s="1">
        <v>26</v>
      </c>
      <c r="F539" s="1" t="s">
        <v>26</v>
      </c>
      <c r="G539" s="1" t="s">
        <v>35</v>
      </c>
      <c r="H539" s="1" t="s">
        <v>61</v>
      </c>
      <c r="I539" s="1" t="s">
        <v>59</v>
      </c>
      <c r="J539" s="7">
        <v>29215</v>
      </c>
      <c r="K539" s="1">
        <v>710</v>
      </c>
      <c r="L539" s="7">
        <v>28025</v>
      </c>
      <c r="M539" s="1">
        <v>60</v>
      </c>
      <c r="N539" s="6">
        <v>9.6699999999999994E-2</v>
      </c>
      <c r="O539" s="1" t="s">
        <v>63</v>
      </c>
      <c r="P539" s="1" t="s">
        <v>50</v>
      </c>
      <c r="Q539" s="1">
        <v>16</v>
      </c>
      <c r="R539" s="1">
        <v>3</v>
      </c>
      <c r="S539" s="1" t="s">
        <v>33</v>
      </c>
      <c r="T539" s="1" t="s">
        <v>31</v>
      </c>
      <c r="U539" s="1">
        <v>1</v>
      </c>
      <c r="V539" s="1">
        <v>42666</v>
      </c>
      <c r="W539" s="7">
        <v>240.69</v>
      </c>
      <c r="X539" s="1">
        <v>0.68</v>
      </c>
      <c r="Y539" s="4">
        <v>44840</v>
      </c>
      <c r="Z539" s="1" t="s">
        <v>38</v>
      </c>
      <c r="AA539" s="1" t="s">
        <v>33</v>
      </c>
      <c r="AB539" s="36" t="str" cm="1">
        <f t="array" ref="AB539">_xlfn.IFS(K539&gt;650,"LOW",K539&gt;=550,"MEDIUM",K539&lt;550,"HIGH")</f>
        <v>LOW</v>
      </c>
    </row>
    <row r="540" spans="3:28" x14ac:dyDescent="0.3">
      <c r="C540" s="35" t="s">
        <v>3593</v>
      </c>
      <c r="D540" s="1" t="s">
        <v>1607</v>
      </c>
      <c r="E540" s="1">
        <v>33</v>
      </c>
      <c r="F540" s="1" t="s">
        <v>44</v>
      </c>
      <c r="G540" s="1" t="s">
        <v>56</v>
      </c>
      <c r="H540" s="1" t="s">
        <v>28</v>
      </c>
      <c r="I540" s="1" t="s">
        <v>40</v>
      </c>
      <c r="J540" s="7">
        <v>86273</v>
      </c>
      <c r="K540" s="1">
        <v>710</v>
      </c>
      <c r="L540" s="7">
        <v>18942</v>
      </c>
      <c r="M540" s="1">
        <v>24</v>
      </c>
      <c r="N540" s="6">
        <v>0.15890000000000001</v>
      </c>
      <c r="O540" s="1" t="s">
        <v>46</v>
      </c>
      <c r="P540" s="1" t="s">
        <v>50</v>
      </c>
      <c r="Q540" s="1">
        <v>14</v>
      </c>
      <c r="R540" s="1">
        <v>4</v>
      </c>
      <c r="S540" s="1" t="s">
        <v>33</v>
      </c>
      <c r="T540" s="1" t="s">
        <v>33</v>
      </c>
      <c r="U540" s="1">
        <v>2</v>
      </c>
      <c r="V540" s="1">
        <v>45238</v>
      </c>
      <c r="W540" s="7">
        <v>1200.1300000000001</v>
      </c>
      <c r="X540" s="1">
        <v>0.28999999999999998</v>
      </c>
      <c r="Y540" s="4">
        <v>44412</v>
      </c>
      <c r="Z540" s="1" t="s">
        <v>38</v>
      </c>
      <c r="AA540" s="1" t="s">
        <v>33</v>
      </c>
      <c r="AB540" s="36" t="str" cm="1">
        <f t="array" ref="AB540">_xlfn.IFS(K540&gt;650,"LOW",K540&gt;=550,"MEDIUM",K540&lt;550,"HIGH")</f>
        <v>LOW</v>
      </c>
    </row>
    <row r="541" spans="3:28" x14ac:dyDescent="0.3">
      <c r="C541" s="35" t="s">
        <v>3761</v>
      </c>
      <c r="D541" s="1" t="s">
        <v>1769</v>
      </c>
      <c r="E541" s="1">
        <v>50</v>
      </c>
      <c r="F541" s="1" t="s">
        <v>44</v>
      </c>
      <c r="G541" s="1" t="s">
        <v>27</v>
      </c>
      <c r="H541" s="1" t="s">
        <v>28</v>
      </c>
      <c r="I541" s="1" t="s">
        <v>29</v>
      </c>
      <c r="J541" s="7">
        <v>74646</v>
      </c>
      <c r="K541" s="1">
        <v>710</v>
      </c>
      <c r="L541" s="7">
        <v>37303</v>
      </c>
      <c r="M541" s="1">
        <v>24</v>
      </c>
      <c r="N541" s="6">
        <v>0.1043</v>
      </c>
      <c r="O541" s="1" t="s">
        <v>37</v>
      </c>
      <c r="P541" s="1" t="s">
        <v>30</v>
      </c>
      <c r="Q541" s="1">
        <v>13</v>
      </c>
      <c r="R541" s="1">
        <v>0</v>
      </c>
      <c r="S541" s="1" t="s">
        <v>31</v>
      </c>
      <c r="T541" s="1" t="s">
        <v>33</v>
      </c>
      <c r="U541" s="1">
        <v>3</v>
      </c>
      <c r="V541" s="1">
        <v>117949</v>
      </c>
      <c r="W541" s="7">
        <v>1193.92</v>
      </c>
      <c r="X541" s="1">
        <v>0.48</v>
      </c>
      <c r="Y541" s="4">
        <v>45390</v>
      </c>
      <c r="Z541" s="1" t="s">
        <v>32</v>
      </c>
      <c r="AA541" s="1" t="s">
        <v>33</v>
      </c>
      <c r="AB541" s="36" t="str" cm="1">
        <f t="array" ref="AB541">_xlfn.IFS(K541&gt;650,"LOW",K541&gt;=550,"MEDIUM",K541&lt;550,"HIGH")</f>
        <v>LOW</v>
      </c>
    </row>
    <row r="542" spans="3:28" x14ac:dyDescent="0.3">
      <c r="C542" s="35" t="s">
        <v>2481</v>
      </c>
      <c r="D542" s="1" t="s">
        <v>511</v>
      </c>
      <c r="E542" s="1">
        <v>36</v>
      </c>
      <c r="F542" s="1" t="s">
        <v>26</v>
      </c>
      <c r="G542" s="1" t="s">
        <v>27</v>
      </c>
      <c r="H542" s="1" t="s">
        <v>36</v>
      </c>
      <c r="I542" s="1" t="s">
        <v>57</v>
      </c>
      <c r="J542" s="7">
        <v>38051</v>
      </c>
      <c r="K542" s="1">
        <v>709</v>
      </c>
      <c r="L542" s="7">
        <v>34642</v>
      </c>
      <c r="M542" s="1">
        <v>24</v>
      </c>
      <c r="N542" s="6">
        <v>0.1042</v>
      </c>
      <c r="O542" s="1" t="s">
        <v>41</v>
      </c>
      <c r="P542" s="1" t="s">
        <v>50</v>
      </c>
      <c r="Q542" s="1">
        <v>25</v>
      </c>
      <c r="R542" s="1">
        <v>4</v>
      </c>
      <c r="S542" s="1" t="s">
        <v>31</v>
      </c>
      <c r="T542" s="1" t="s">
        <v>31</v>
      </c>
      <c r="U542" s="1">
        <v>2</v>
      </c>
      <c r="V542" s="1">
        <v>131623</v>
      </c>
      <c r="W542" s="7">
        <v>1834.94</v>
      </c>
      <c r="X542" s="1">
        <v>0.63</v>
      </c>
      <c r="Y542" s="4">
        <v>45323</v>
      </c>
      <c r="Z542" s="1" t="s">
        <v>38</v>
      </c>
      <c r="AA542" s="1" t="s">
        <v>33</v>
      </c>
      <c r="AB542" s="36" t="str" cm="1">
        <f t="array" ref="AB542">_xlfn.IFS(K542&gt;650,"LOW",K542&gt;=550,"MEDIUM",K542&lt;550,"HIGH")</f>
        <v>LOW</v>
      </c>
    </row>
    <row r="543" spans="3:28" x14ac:dyDescent="0.3">
      <c r="C543" s="35" t="s">
        <v>2856</v>
      </c>
      <c r="D543" s="1" t="s">
        <v>884</v>
      </c>
      <c r="E543" s="1">
        <v>55</v>
      </c>
      <c r="F543" s="1" t="s">
        <v>26</v>
      </c>
      <c r="G543" s="1" t="s">
        <v>35</v>
      </c>
      <c r="H543" s="1" t="s">
        <v>36</v>
      </c>
      <c r="I543" s="1" t="s">
        <v>57</v>
      </c>
      <c r="J543" s="7">
        <v>78466</v>
      </c>
      <c r="K543" s="1">
        <v>709</v>
      </c>
      <c r="L543" s="7">
        <v>24930</v>
      </c>
      <c r="M543" s="1">
        <v>48</v>
      </c>
      <c r="N543" s="6">
        <v>9.9600000000000008E-2</v>
      </c>
      <c r="O543" s="1" t="s">
        <v>52</v>
      </c>
      <c r="P543" s="1" t="s">
        <v>30</v>
      </c>
      <c r="Q543" s="1">
        <v>22</v>
      </c>
      <c r="R543" s="1">
        <v>0</v>
      </c>
      <c r="S543" s="1" t="s">
        <v>31</v>
      </c>
      <c r="T543" s="1" t="s">
        <v>31</v>
      </c>
      <c r="U543" s="1">
        <v>4</v>
      </c>
      <c r="V543" s="1">
        <v>49864</v>
      </c>
      <c r="W543" s="7">
        <v>1733.01</v>
      </c>
      <c r="X543" s="1">
        <v>0.7</v>
      </c>
      <c r="Y543" s="4">
        <v>44728</v>
      </c>
      <c r="Z543" s="1" t="s">
        <v>32</v>
      </c>
      <c r="AA543" s="1" t="s">
        <v>33</v>
      </c>
      <c r="AB543" s="36" t="str" cm="1">
        <f t="array" ref="AB543">_xlfn.IFS(K543&gt;650,"LOW",K543&gt;=550,"MEDIUM",K543&lt;550,"HIGH")</f>
        <v>LOW</v>
      </c>
    </row>
    <row r="544" spans="3:28" x14ac:dyDescent="0.3">
      <c r="C544" s="35" t="s">
        <v>3576</v>
      </c>
      <c r="D544" s="1" t="s">
        <v>973</v>
      </c>
      <c r="E544" s="1">
        <v>62</v>
      </c>
      <c r="F544" s="1" t="s">
        <v>26</v>
      </c>
      <c r="G544" s="1" t="s">
        <v>56</v>
      </c>
      <c r="H544" s="1" t="s">
        <v>54</v>
      </c>
      <c r="I544" s="1" t="s">
        <v>29</v>
      </c>
      <c r="J544" s="7">
        <v>67819</v>
      </c>
      <c r="K544" s="1">
        <v>709</v>
      </c>
      <c r="L544" s="7">
        <v>29190</v>
      </c>
      <c r="M544" s="1">
        <v>60</v>
      </c>
      <c r="N544" s="6">
        <v>0.1852</v>
      </c>
      <c r="O544" s="1" t="s">
        <v>63</v>
      </c>
      <c r="P544" s="1" t="s">
        <v>47</v>
      </c>
      <c r="Q544" s="1">
        <v>22</v>
      </c>
      <c r="R544" s="1">
        <v>2</v>
      </c>
      <c r="S544" s="1" t="s">
        <v>31</v>
      </c>
      <c r="T544" s="1" t="s">
        <v>31</v>
      </c>
      <c r="U544" s="1">
        <v>3</v>
      </c>
      <c r="V544" s="1">
        <v>19673</v>
      </c>
      <c r="W544" s="7">
        <v>1904.31</v>
      </c>
      <c r="X544" s="1">
        <v>0.3</v>
      </c>
      <c r="Y544" s="4">
        <v>45150</v>
      </c>
      <c r="Z544" s="1" t="s">
        <v>38</v>
      </c>
      <c r="AA544" s="1" t="s">
        <v>33</v>
      </c>
      <c r="AB544" s="36" t="str" cm="1">
        <f t="array" ref="AB544">_xlfn.IFS(K544&gt;650,"LOW",K544&gt;=550,"MEDIUM",K544&lt;550,"HIGH")</f>
        <v>LOW</v>
      </c>
    </row>
    <row r="545" spans="3:28" x14ac:dyDescent="0.3">
      <c r="C545" s="35" t="s">
        <v>3712</v>
      </c>
      <c r="D545" s="1" t="s">
        <v>1722</v>
      </c>
      <c r="E545" s="1">
        <v>37</v>
      </c>
      <c r="F545" s="1" t="s">
        <v>26</v>
      </c>
      <c r="G545" s="1" t="s">
        <v>27</v>
      </c>
      <c r="H545" s="1" t="s">
        <v>28</v>
      </c>
      <c r="I545" s="1" t="s">
        <v>40</v>
      </c>
      <c r="J545" s="7">
        <v>48365</v>
      </c>
      <c r="K545" s="1">
        <v>709</v>
      </c>
      <c r="L545" s="7">
        <v>16977</v>
      </c>
      <c r="M545" s="1">
        <v>48</v>
      </c>
      <c r="N545" s="6">
        <v>0.19690000000000002</v>
      </c>
      <c r="O545" s="1" t="s">
        <v>46</v>
      </c>
      <c r="P545" s="1" t="s">
        <v>47</v>
      </c>
      <c r="Q545" s="1">
        <v>2</v>
      </c>
      <c r="R545" s="1">
        <v>4</v>
      </c>
      <c r="S545" s="1" t="s">
        <v>33</v>
      </c>
      <c r="T545" s="1" t="s">
        <v>31</v>
      </c>
      <c r="U545" s="1">
        <v>4</v>
      </c>
      <c r="V545" s="1">
        <v>196317</v>
      </c>
      <c r="W545" s="7">
        <v>1893.95</v>
      </c>
      <c r="X545" s="1">
        <v>0.96</v>
      </c>
      <c r="Y545" s="4">
        <v>44380</v>
      </c>
      <c r="Z545" s="1" t="s">
        <v>38</v>
      </c>
      <c r="AA545" s="1" t="s">
        <v>33</v>
      </c>
      <c r="AB545" s="36" t="str" cm="1">
        <f t="array" ref="AB545">_xlfn.IFS(K545&gt;650,"LOW",K545&gt;=550,"MEDIUM",K545&lt;550,"HIGH")</f>
        <v>LOW</v>
      </c>
    </row>
    <row r="546" spans="3:28" x14ac:dyDescent="0.3">
      <c r="C546" s="35" t="s">
        <v>2762</v>
      </c>
      <c r="D546" s="1" t="s">
        <v>791</v>
      </c>
      <c r="E546" s="1">
        <v>54</v>
      </c>
      <c r="F546" s="1" t="s">
        <v>26</v>
      </c>
      <c r="G546" s="1" t="s">
        <v>35</v>
      </c>
      <c r="H546" s="1" t="s">
        <v>54</v>
      </c>
      <c r="I546" s="1" t="s">
        <v>29</v>
      </c>
      <c r="J546" s="7">
        <v>106296</v>
      </c>
      <c r="K546" s="1">
        <v>708</v>
      </c>
      <c r="L546" s="7">
        <v>48334</v>
      </c>
      <c r="M546" s="1">
        <v>48</v>
      </c>
      <c r="N546" s="6">
        <v>8.4000000000000005E-2</v>
      </c>
      <c r="O546" s="1" t="s">
        <v>37</v>
      </c>
      <c r="P546" s="1" t="s">
        <v>50</v>
      </c>
      <c r="Q546" s="1">
        <v>27</v>
      </c>
      <c r="R546" s="1">
        <v>3</v>
      </c>
      <c r="S546" s="1" t="s">
        <v>33</v>
      </c>
      <c r="T546" s="1" t="s">
        <v>33</v>
      </c>
      <c r="U546" s="1">
        <v>3</v>
      </c>
      <c r="V546" s="1">
        <v>55958</v>
      </c>
      <c r="W546" s="7">
        <v>299.55</v>
      </c>
      <c r="X546" s="1">
        <v>0.2</v>
      </c>
      <c r="Y546" s="4">
        <v>45395</v>
      </c>
      <c r="Z546" s="1" t="s">
        <v>38</v>
      </c>
      <c r="AA546" s="1" t="s">
        <v>33</v>
      </c>
      <c r="AB546" s="36" t="str" cm="1">
        <f t="array" ref="AB546">_xlfn.IFS(K546&gt;650,"LOW",K546&gt;=550,"MEDIUM",K546&lt;550,"HIGH")</f>
        <v>LOW</v>
      </c>
    </row>
    <row r="547" spans="3:28" x14ac:dyDescent="0.3">
      <c r="C547" s="35" t="s">
        <v>3511</v>
      </c>
      <c r="D547" s="1" t="s">
        <v>1528</v>
      </c>
      <c r="E547" s="1">
        <v>34</v>
      </c>
      <c r="F547" s="1" t="s">
        <v>26</v>
      </c>
      <c r="G547" s="1" t="s">
        <v>35</v>
      </c>
      <c r="H547" s="1" t="s">
        <v>54</v>
      </c>
      <c r="I547" s="1" t="s">
        <v>29</v>
      </c>
      <c r="J547" s="7">
        <v>146686</v>
      </c>
      <c r="K547" s="1">
        <v>708</v>
      </c>
      <c r="L547" s="7">
        <v>28956</v>
      </c>
      <c r="M547" s="1">
        <v>24</v>
      </c>
      <c r="N547" s="6">
        <v>0.129</v>
      </c>
      <c r="O547" s="1" t="s">
        <v>41</v>
      </c>
      <c r="P547" s="1" t="s">
        <v>47</v>
      </c>
      <c r="Q547" s="1">
        <v>17</v>
      </c>
      <c r="R547" s="1">
        <v>4</v>
      </c>
      <c r="S547" s="1" t="s">
        <v>33</v>
      </c>
      <c r="T547" s="1" t="s">
        <v>31</v>
      </c>
      <c r="U547" s="1">
        <v>0</v>
      </c>
      <c r="V547" s="1">
        <v>189241</v>
      </c>
      <c r="W547" s="7">
        <v>620.27</v>
      </c>
      <c r="X547" s="1">
        <v>0.22</v>
      </c>
      <c r="Y547" s="4">
        <v>45687</v>
      </c>
      <c r="Z547" s="1" t="s">
        <v>38</v>
      </c>
      <c r="AA547" s="1" t="s">
        <v>33</v>
      </c>
      <c r="AB547" s="36" t="str" cm="1">
        <f t="array" ref="AB547">_xlfn.IFS(K547&gt;650,"LOW",K547&gt;=550,"MEDIUM",K547&lt;550,"HIGH")</f>
        <v>LOW</v>
      </c>
    </row>
    <row r="548" spans="3:28" x14ac:dyDescent="0.3">
      <c r="C548" s="35" t="s">
        <v>3735</v>
      </c>
      <c r="D548" s="1" t="s">
        <v>1743</v>
      </c>
      <c r="E548" s="1">
        <v>53</v>
      </c>
      <c r="F548" s="1" t="s">
        <v>44</v>
      </c>
      <c r="G548" s="1" t="s">
        <v>35</v>
      </c>
      <c r="H548" s="1" t="s">
        <v>61</v>
      </c>
      <c r="I548" s="1" t="s">
        <v>40</v>
      </c>
      <c r="J548" s="7">
        <v>54268</v>
      </c>
      <c r="K548" s="1">
        <v>708</v>
      </c>
      <c r="L548" s="7">
        <v>18131</v>
      </c>
      <c r="M548" s="1">
        <v>24</v>
      </c>
      <c r="N548" s="6">
        <v>5.7800000000000004E-2</v>
      </c>
      <c r="O548" s="1" t="s">
        <v>46</v>
      </c>
      <c r="P548" s="1" t="s">
        <v>47</v>
      </c>
      <c r="Q548" s="1">
        <v>27</v>
      </c>
      <c r="R548" s="1">
        <v>2</v>
      </c>
      <c r="S548" s="1" t="s">
        <v>31</v>
      </c>
      <c r="T548" s="1" t="s">
        <v>31</v>
      </c>
      <c r="U548" s="1">
        <v>0</v>
      </c>
      <c r="V548" s="1">
        <v>138442</v>
      </c>
      <c r="W548" s="7">
        <v>1081.47</v>
      </c>
      <c r="X548" s="1">
        <v>0.45</v>
      </c>
      <c r="Y548" s="4">
        <v>45606</v>
      </c>
      <c r="Z548" s="1" t="s">
        <v>32</v>
      </c>
      <c r="AA548" s="1" t="s">
        <v>33</v>
      </c>
      <c r="AB548" s="36" t="str" cm="1">
        <f t="array" ref="AB548">_xlfn.IFS(K548&gt;650,"LOW",K548&gt;=550,"MEDIUM",K548&lt;550,"HIGH")</f>
        <v>LOW</v>
      </c>
    </row>
    <row r="549" spans="3:28" x14ac:dyDescent="0.3">
      <c r="C549" s="35" t="s">
        <v>3103</v>
      </c>
      <c r="D549" s="1" t="s">
        <v>1128</v>
      </c>
      <c r="E549" s="1">
        <v>31</v>
      </c>
      <c r="F549" s="1" t="s">
        <v>44</v>
      </c>
      <c r="G549" s="1" t="s">
        <v>45</v>
      </c>
      <c r="H549" s="1" t="s">
        <v>28</v>
      </c>
      <c r="I549" s="1" t="s">
        <v>40</v>
      </c>
      <c r="J549" s="7">
        <v>41359</v>
      </c>
      <c r="K549" s="1">
        <v>707</v>
      </c>
      <c r="L549" s="7">
        <v>39041</v>
      </c>
      <c r="M549" s="1">
        <v>24</v>
      </c>
      <c r="N549" s="6">
        <v>0.1023</v>
      </c>
      <c r="O549" s="1" t="s">
        <v>5</v>
      </c>
      <c r="P549" s="1" t="s">
        <v>50</v>
      </c>
      <c r="Q549" s="1">
        <v>12</v>
      </c>
      <c r="R549" s="1">
        <v>3</v>
      </c>
      <c r="S549" s="1" t="s">
        <v>33</v>
      </c>
      <c r="T549" s="1" t="s">
        <v>31</v>
      </c>
      <c r="U549" s="1">
        <v>0</v>
      </c>
      <c r="V549" s="1">
        <v>196532</v>
      </c>
      <c r="W549" s="7">
        <v>228.12</v>
      </c>
      <c r="X549" s="1">
        <v>0.88</v>
      </c>
      <c r="Y549" s="4">
        <v>45032</v>
      </c>
      <c r="Z549" s="1" t="s">
        <v>38</v>
      </c>
      <c r="AA549" s="1" t="s">
        <v>33</v>
      </c>
      <c r="AB549" s="36" t="str" cm="1">
        <f t="array" ref="AB549">_xlfn.IFS(K549&gt;650,"LOW",K549&gt;=550,"MEDIUM",K549&lt;550,"HIGH")</f>
        <v>LOW</v>
      </c>
    </row>
    <row r="550" spans="3:28" x14ac:dyDescent="0.3">
      <c r="C550" s="35" t="s">
        <v>3738</v>
      </c>
      <c r="D550" s="1" t="s">
        <v>1746</v>
      </c>
      <c r="E550" s="1">
        <v>28</v>
      </c>
      <c r="F550" s="1" t="s">
        <v>26</v>
      </c>
      <c r="G550" s="1" t="s">
        <v>56</v>
      </c>
      <c r="H550" s="1" t="s">
        <v>54</v>
      </c>
      <c r="I550" s="1" t="s">
        <v>29</v>
      </c>
      <c r="J550" s="7">
        <v>46336</v>
      </c>
      <c r="K550" s="1">
        <v>706</v>
      </c>
      <c r="L550" s="7">
        <v>18881</v>
      </c>
      <c r="M550" s="1">
        <v>60</v>
      </c>
      <c r="N550" s="6">
        <v>0.1736</v>
      </c>
      <c r="O550" s="1" t="s">
        <v>46</v>
      </c>
      <c r="P550" s="1" t="s">
        <v>30</v>
      </c>
      <c r="Q550" s="1">
        <v>17</v>
      </c>
      <c r="R550" s="1">
        <v>0</v>
      </c>
      <c r="S550" s="1" t="s">
        <v>33</v>
      </c>
      <c r="T550" s="1" t="s">
        <v>31</v>
      </c>
      <c r="U550" s="1">
        <v>1</v>
      </c>
      <c r="V550" s="1">
        <v>12022</v>
      </c>
      <c r="W550" s="7">
        <v>433.23</v>
      </c>
      <c r="X550" s="1">
        <v>0.6</v>
      </c>
      <c r="Y550" s="4">
        <v>45641</v>
      </c>
      <c r="Z550" s="1" t="s">
        <v>32</v>
      </c>
      <c r="AA550" s="1" t="s">
        <v>33</v>
      </c>
      <c r="AB550" s="36" t="str" cm="1">
        <f t="array" ref="AB550">_xlfn.IFS(K550&gt;650,"LOW",K550&gt;=550,"MEDIUM",K550&lt;550,"HIGH")</f>
        <v>LOW</v>
      </c>
    </row>
    <row r="551" spans="3:28" x14ac:dyDescent="0.3">
      <c r="C551" s="35" t="s">
        <v>2925</v>
      </c>
      <c r="D551" s="1" t="s">
        <v>953</v>
      </c>
      <c r="E551" s="1">
        <v>28</v>
      </c>
      <c r="F551" s="1" t="s">
        <v>44</v>
      </c>
      <c r="G551" s="1" t="s">
        <v>35</v>
      </c>
      <c r="H551" s="1" t="s">
        <v>28</v>
      </c>
      <c r="I551" s="1" t="s">
        <v>59</v>
      </c>
      <c r="J551" s="7">
        <v>53123</v>
      </c>
      <c r="K551" s="1">
        <v>705</v>
      </c>
      <c r="L551" s="7">
        <v>38132</v>
      </c>
      <c r="M551" s="1">
        <v>24</v>
      </c>
      <c r="N551" s="6">
        <v>0.107</v>
      </c>
      <c r="O551" s="1" t="s">
        <v>37</v>
      </c>
      <c r="P551" s="1" t="s">
        <v>50</v>
      </c>
      <c r="Q551" s="1">
        <v>25</v>
      </c>
      <c r="R551" s="1">
        <v>1</v>
      </c>
      <c r="S551" s="1" t="s">
        <v>33</v>
      </c>
      <c r="T551" s="1" t="s">
        <v>31</v>
      </c>
      <c r="U551" s="1">
        <v>2</v>
      </c>
      <c r="V551" s="1">
        <v>90230</v>
      </c>
      <c r="W551" s="7">
        <v>1481.4</v>
      </c>
      <c r="X551" s="1">
        <v>0.62</v>
      </c>
      <c r="Y551" s="4">
        <v>45119</v>
      </c>
      <c r="Z551" s="1" t="s">
        <v>32</v>
      </c>
      <c r="AA551" s="1" t="s">
        <v>33</v>
      </c>
      <c r="AB551" s="36" t="str" cm="1">
        <f t="array" ref="AB551">_xlfn.IFS(K551&gt;650,"LOW",K551&gt;=550,"MEDIUM",K551&lt;550,"HIGH")</f>
        <v>LOW</v>
      </c>
    </row>
    <row r="552" spans="3:28" x14ac:dyDescent="0.3">
      <c r="C552" s="35" t="s">
        <v>2059</v>
      </c>
      <c r="D552" s="1" t="s">
        <v>90</v>
      </c>
      <c r="E552" s="1">
        <v>29</v>
      </c>
      <c r="F552" s="1" t="s">
        <v>26</v>
      </c>
      <c r="G552" s="1" t="s">
        <v>56</v>
      </c>
      <c r="H552" s="1" t="s">
        <v>61</v>
      </c>
      <c r="I552" s="1" t="s">
        <v>59</v>
      </c>
      <c r="J552" s="7">
        <v>56713</v>
      </c>
      <c r="K552" s="1">
        <v>704</v>
      </c>
      <c r="L552" s="7">
        <v>23553</v>
      </c>
      <c r="M552" s="1">
        <v>48</v>
      </c>
      <c r="N552" s="6">
        <v>0.11689999999999999</v>
      </c>
      <c r="O552" s="1" t="s">
        <v>46</v>
      </c>
      <c r="P552" s="1" t="s">
        <v>47</v>
      </c>
      <c r="Q552" s="1">
        <v>27</v>
      </c>
      <c r="R552" s="1">
        <v>1</v>
      </c>
      <c r="S552" s="1" t="s">
        <v>31</v>
      </c>
      <c r="T552" s="1" t="s">
        <v>31</v>
      </c>
      <c r="U552" s="1">
        <v>2</v>
      </c>
      <c r="V552" s="1">
        <v>186708</v>
      </c>
      <c r="W552" s="7">
        <v>1323.54</v>
      </c>
      <c r="X552" s="1">
        <v>0.37</v>
      </c>
      <c r="Y552" s="4">
        <v>45238</v>
      </c>
      <c r="Z552" s="1" t="s">
        <v>38</v>
      </c>
      <c r="AA552" s="1" t="s">
        <v>33</v>
      </c>
      <c r="AB552" s="36" t="str" cm="1">
        <f t="array" ref="AB552">_xlfn.IFS(K552&gt;650,"LOW",K552&gt;=550,"MEDIUM",K552&lt;550,"HIGH")</f>
        <v>LOW</v>
      </c>
    </row>
    <row r="553" spans="3:28" x14ac:dyDescent="0.3">
      <c r="C553" s="35" t="s">
        <v>2597</v>
      </c>
      <c r="D553" s="1" t="s">
        <v>627</v>
      </c>
      <c r="E553" s="1">
        <v>29</v>
      </c>
      <c r="F553" s="1" t="s">
        <v>26</v>
      </c>
      <c r="G553" s="1" t="s">
        <v>35</v>
      </c>
      <c r="H553" s="1" t="s">
        <v>36</v>
      </c>
      <c r="I553" s="1" t="s">
        <v>40</v>
      </c>
      <c r="J553" s="7">
        <v>62012</v>
      </c>
      <c r="K553" s="1">
        <v>704</v>
      </c>
      <c r="L553" s="7">
        <v>30714</v>
      </c>
      <c r="M553" s="1">
        <v>36</v>
      </c>
      <c r="N553" s="6">
        <v>7.3700000000000002E-2</v>
      </c>
      <c r="O553" s="1" t="s">
        <v>37</v>
      </c>
      <c r="P553" s="1" t="s">
        <v>30</v>
      </c>
      <c r="Q553" s="1">
        <v>23</v>
      </c>
      <c r="R553" s="1">
        <v>4</v>
      </c>
      <c r="S553" s="1" t="s">
        <v>33</v>
      </c>
      <c r="T553" s="1" t="s">
        <v>33</v>
      </c>
      <c r="U553" s="1">
        <v>1</v>
      </c>
      <c r="V553" s="1">
        <v>59951</v>
      </c>
      <c r="W553" s="7">
        <v>670.49</v>
      </c>
      <c r="X553" s="1">
        <v>0.17</v>
      </c>
      <c r="Y553" s="4">
        <v>44150</v>
      </c>
      <c r="Z553" s="1" t="s">
        <v>32</v>
      </c>
      <c r="AA553" s="1" t="s">
        <v>33</v>
      </c>
      <c r="AB553" s="36" t="str" cm="1">
        <f t="array" ref="AB553">_xlfn.IFS(K553&gt;650,"LOW",K553&gt;=550,"MEDIUM",K553&lt;550,"HIGH")</f>
        <v>LOW</v>
      </c>
    </row>
    <row r="554" spans="3:28" x14ac:dyDescent="0.3">
      <c r="C554" s="35" t="s">
        <v>2203</v>
      </c>
      <c r="D554" s="1" t="s">
        <v>234</v>
      </c>
      <c r="E554" s="1">
        <v>44</v>
      </c>
      <c r="F554" s="1" t="s">
        <v>26</v>
      </c>
      <c r="G554" s="1" t="s">
        <v>56</v>
      </c>
      <c r="H554" s="1" t="s">
        <v>61</v>
      </c>
      <c r="I554" s="1" t="s">
        <v>40</v>
      </c>
      <c r="J554" s="7">
        <v>68291</v>
      </c>
      <c r="K554" s="1">
        <v>703</v>
      </c>
      <c r="L554" s="7">
        <v>11564</v>
      </c>
      <c r="M554" s="1">
        <v>60</v>
      </c>
      <c r="N554" s="6">
        <v>0.1391</v>
      </c>
      <c r="O554" s="1" t="s">
        <v>52</v>
      </c>
      <c r="P554" s="1" t="s">
        <v>50</v>
      </c>
      <c r="Q554" s="1">
        <v>17</v>
      </c>
      <c r="R554" s="1">
        <v>4</v>
      </c>
      <c r="S554" s="1" t="s">
        <v>31</v>
      </c>
      <c r="T554" s="1" t="s">
        <v>31</v>
      </c>
      <c r="U554" s="1">
        <v>3</v>
      </c>
      <c r="V554" s="1">
        <v>167230</v>
      </c>
      <c r="W554" s="7">
        <v>832.33</v>
      </c>
      <c r="X554" s="1">
        <v>0.12</v>
      </c>
      <c r="Y554" s="4">
        <v>45028</v>
      </c>
      <c r="Z554" s="1" t="s">
        <v>38</v>
      </c>
      <c r="AA554" s="1" t="s">
        <v>33</v>
      </c>
      <c r="AB554" s="36" t="str" cm="1">
        <f t="array" ref="AB554">_xlfn.IFS(K554&gt;650,"LOW",K554&gt;=550,"MEDIUM",K554&lt;550,"HIGH")</f>
        <v>LOW</v>
      </c>
    </row>
    <row r="555" spans="3:28" x14ac:dyDescent="0.3">
      <c r="C555" s="35" t="s">
        <v>2654</v>
      </c>
      <c r="D555" s="1" t="s">
        <v>684</v>
      </c>
      <c r="E555" s="1">
        <v>51</v>
      </c>
      <c r="F555" s="1" t="s">
        <v>26</v>
      </c>
      <c r="G555" s="1" t="s">
        <v>56</v>
      </c>
      <c r="H555" s="1" t="s">
        <v>54</v>
      </c>
      <c r="I555" s="1" t="s">
        <v>40</v>
      </c>
      <c r="J555" s="7">
        <v>128777</v>
      </c>
      <c r="K555" s="1">
        <v>702</v>
      </c>
      <c r="L555" s="7">
        <v>26653</v>
      </c>
      <c r="M555" s="1">
        <v>36</v>
      </c>
      <c r="N555" s="6">
        <v>0.1865</v>
      </c>
      <c r="O555" s="1" t="s">
        <v>46</v>
      </c>
      <c r="P555" s="1" t="s">
        <v>30</v>
      </c>
      <c r="Q555" s="1">
        <v>15</v>
      </c>
      <c r="R555" s="1">
        <v>1</v>
      </c>
      <c r="S555" s="1" t="s">
        <v>33</v>
      </c>
      <c r="T555" s="1" t="s">
        <v>33</v>
      </c>
      <c r="U555" s="1">
        <v>1</v>
      </c>
      <c r="V555" s="1">
        <v>42369</v>
      </c>
      <c r="W555" s="7">
        <v>935.16</v>
      </c>
      <c r="X555" s="1">
        <v>0.7</v>
      </c>
      <c r="Y555" s="4">
        <v>44047</v>
      </c>
      <c r="Z555" s="1" t="s">
        <v>32</v>
      </c>
      <c r="AA555" s="1" t="s">
        <v>33</v>
      </c>
      <c r="AB555" s="36" t="str" cm="1">
        <f t="array" ref="AB555">_xlfn.IFS(K555&gt;650,"LOW",K555&gt;=550,"MEDIUM",K555&lt;550,"HIGH")</f>
        <v>LOW</v>
      </c>
    </row>
    <row r="556" spans="3:28" x14ac:dyDescent="0.3">
      <c r="C556" s="35" t="s">
        <v>3332</v>
      </c>
      <c r="D556" s="1" t="s">
        <v>1355</v>
      </c>
      <c r="E556" s="1">
        <v>46</v>
      </c>
      <c r="F556" s="1" t="s">
        <v>44</v>
      </c>
      <c r="G556" s="1" t="s">
        <v>45</v>
      </c>
      <c r="H556" s="1" t="s">
        <v>61</v>
      </c>
      <c r="I556" s="1" t="s">
        <v>40</v>
      </c>
      <c r="J556" s="7">
        <v>99553</v>
      </c>
      <c r="K556" s="1">
        <v>702</v>
      </c>
      <c r="L556" s="7">
        <v>34071</v>
      </c>
      <c r="M556" s="1">
        <v>48</v>
      </c>
      <c r="N556" s="6">
        <v>8.7599999999999997E-2</v>
      </c>
      <c r="O556" s="1" t="s">
        <v>37</v>
      </c>
      <c r="P556" s="1" t="s">
        <v>50</v>
      </c>
      <c r="Q556" s="1">
        <v>18</v>
      </c>
      <c r="R556" s="1">
        <v>2</v>
      </c>
      <c r="S556" s="1" t="s">
        <v>31</v>
      </c>
      <c r="T556" s="1" t="s">
        <v>33</v>
      </c>
      <c r="U556" s="1">
        <v>2</v>
      </c>
      <c r="V556" s="1">
        <v>131807</v>
      </c>
      <c r="W556" s="7">
        <v>936.16</v>
      </c>
      <c r="X556" s="1">
        <v>0.39</v>
      </c>
      <c r="Y556" s="4">
        <v>44092</v>
      </c>
      <c r="Z556" s="1" t="s">
        <v>38</v>
      </c>
      <c r="AA556" s="1" t="s">
        <v>33</v>
      </c>
      <c r="AB556" s="36" t="str" cm="1">
        <f t="array" ref="AB556">_xlfn.IFS(K556&gt;650,"LOW",K556&gt;=550,"MEDIUM",K556&lt;550,"HIGH")</f>
        <v>LOW</v>
      </c>
    </row>
    <row r="557" spans="3:28" x14ac:dyDescent="0.3">
      <c r="C557" s="35" t="s">
        <v>3559</v>
      </c>
      <c r="D557" s="1" t="s">
        <v>1576</v>
      </c>
      <c r="E557" s="1">
        <v>36</v>
      </c>
      <c r="F557" s="1" t="s">
        <v>44</v>
      </c>
      <c r="G557" s="1" t="s">
        <v>27</v>
      </c>
      <c r="H557" s="1" t="s">
        <v>61</v>
      </c>
      <c r="I557" s="1" t="s">
        <v>57</v>
      </c>
      <c r="J557" s="7">
        <v>52980</v>
      </c>
      <c r="K557" s="1">
        <v>702</v>
      </c>
      <c r="L557" s="7">
        <v>46215</v>
      </c>
      <c r="M557" s="1">
        <v>36</v>
      </c>
      <c r="N557" s="6">
        <v>0.18770000000000001</v>
      </c>
      <c r="O557" s="1" t="s">
        <v>46</v>
      </c>
      <c r="P557" s="1" t="s">
        <v>50</v>
      </c>
      <c r="Q557" s="1">
        <v>10</v>
      </c>
      <c r="R557" s="1">
        <v>2</v>
      </c>
      <c r="S557" s="1" t="s">
        <v>31</v>
      </c>
      <c r="T557" s="1" t="s">
        <v>33</v>
      </c>
      <c r="U557" s="1">
        <v>2</v>
      </c>
      <c r="V557" s="1">
        <v>175302</v>
      </c>
      <c r="W557" s="7">
        <v>351.15</v>
      </c>
      <c r="X557" s="1">
        <v>0.44</v>
      </c>
      <c r="Y557" s="4">
        <v>45777</v>
      </c>
      <c r="Z557" s="1" t="s">
        <v>38</v>
      </c>
      <c r="AA557" s="1" t="s">
        <v>33</v>
      </c>
      <c r="AB557" s="36" t="str" cm="1">
        <f t="array" ref="AB557">_xlfn.IFS(K557&gt;650,"LOW",K557&gt;=550,"MEDIUM",K557&lt;550,"HIGH")</f>
        <v>LOW</v>
      </c>
    </row>
    <row r="558" spans="3:28" x14ac:dyDescent="0.3">
      <c r="C558" s="35" t="s">
        <v>3734</v>
      </c>
      <c r="D558" s="1" t="s">
        <v>1742</v>
      </c>
      <c r="E558" s="1">
        <v>45</v>
      </c>
      <c r="F558" s="1" t="s">
        <v>26</v>
      </c>
      <c r="G558" s="1" t="s">
        <v>27</v>
      </c>
      <c r="H558" s="1" t="s">
        <v>61</v>
      </c>
      <c r="I558" s="1" t="s">
        <v>29</v>
      </c>
      <c r="J558" s="7">
        <v>85557</v>
      </c>
      <c r="K558" s="1">
        <v>702</v>
      </c>
      <c r="L558" s="7">
        <v>23106</v>
      </c>
      <c r="M558" s="1">
        <v>24</v>
      </c>
      <c r="N558" s="6">
        <v>0.1966</v>
      </c>
      <c r="O558" s="1" t="s">
        <v>46</v>
      </c>
      <c r="P558" s="1" t="s">
        <v>50</v>
      </c>
      <c r="Q558" s="1">
        <v>4</v>
      </c>
      <c r="R558" s="1">
        <v>2</v>
      </c>
      <c r="S558" s="1" t="s">
        <v>31</v>
      </c>
      <c r="T558" s="1" t="s">
        <v>31</v>
      </c>
      <c r="U558" s="1">
        <v>2</v>
      </c>
      <c r="V558" s="1">
        <v>172450</v>
      </c>
      <c r="W558" s="7">
        <v>243.07</v>
      </c>
      <c r="X558" s="1">
        <v>0.48</v>
      </c>
      <c r="Y558" s="4">
        <v>45608</v>
      </c>
      <c r="Z558" s="1" t="s">
        <v>32</v>
      </c>
      <c r="AA558" s="1" t="s">
        <v>31</v>
      </c>
      <c r="AB558" s="36" t="str" cm="1">
        <f t="array" ref="AB558">_xlfn.IFS(K558&gt;650,"LOW",K558&gt;=550,"MEDIUM",K558&lt;550,"HIGH")</f>
        <v>LOW</v>
      </c>
    </row>
    <row r="559" spans="3:28" x14ac:dyDescent="0.3">
      <c r="C559" s="35" t="s">
        <v>3792</v>
      </c>
      <c r="D559" s="1" t="s">
        <v>1798</v>
      </c>
      <c r="E559" s="1">
        <v>31</v>
      </c>
      <c r="F559" s="1" t="s">
        <v>44</v>
      </c>
      <c r="G559" s="1" t="s">
        <v>45</v>
      </c>
      <c r="H559" s="1" t="s">
        <v>61</v>
      </c>
      <c r="I559" s="1" t="s">
        <v>40</v>
      </c>
      <c r="J559" s="7">
        <v>103276</v>
      </c>
      <c r="K559" s="1">
        <v>702</v>
      </c>
      <c r="L559" s="7">
        <v>33535</v>
      </c>
      <c r="M559" s="1">
        <v>60</v>
      </c>
      <c r="N559" s="6">
        <v>0.12050000000000001</v>
      </c>
      <c r="O559" s="1" t="s">
        <v>63</v>
      </c>
      <c r="P559" s="1" t="s">
        <v>50</v>
      </c>
      <c r="Q559" s="1">
        <v>18</v>
      </c>
      <c r="R559" s="1">
        <v>0</v>
      </c>
      <c r="S559" s="1" t="s">
        <v>31</v>
      </c>
      <c r="T559" s="1" t="s">
        <v>33</v>
      </c>
      <c r="U559" s="1">
        <v>0</v>
      </c>
      <c r="V559" s="1">
        <v>33405</v>
      </c>
      <c r="W559" s="7">
        <v>415.81</v>
      </c>
      <c r="X559" s="1">
        <v>0.96</v>
      </c>
      <c r="Y559" s="4">
        <v>45018</v>
      </c>
      <c r="Z559" s="1" t="s">
        <v>32</v>
      </c>
      <c r="AA559" s="1" t="s">
        <v>31</v>
      </c>
      <c r="AB559" s="36" t="str" cm="1">
        <f t="array" ref="AB559">_xlfn.IFS(K559&gt;650,"LOW",K559&gt;=550,"MEDIUM",K559&lt;550,"HIGH")</f>
        <v>LOW</v>
      </c>
    </row>
    <row r="560" spans="3:28" x14ac:dyDescent="0.3">
      <c r="C560" s="35" t="s">
        <v>2279</v>
      </c>
      <c r="D560" s="1" t="s">
        <v>310</v>
      </c>
      <c r="E560" s="1">
        <v>52</v>
      </c>
      <c r="F560" s="1" t="s">
        <v>44</v>
      </c>
      <c r="G560" s="1" t="s">
        <v>27</v>
      </c>
      <c r="H560" s="1" t="s">
        <v>28</v>
      </c>
      <c r="I560" s="1" t="s">
        <v>57</v>
      </c>
      <c r="J560" s="7">
        <v>112906</v>
      </c>
      <c r="K560" s="1">
        <v>701</v>
      </c>
      <c r="L560" s="7">
        <v>47045</v>
      </c>
      <c r="M560" s="1">
        <v>60</v>
      </c>
      <c r="N560" s="6">
        <v>0.18280000000000002</v>
      </c>
      <c r="O560" s="1" t="s">
        <v>41</v>
      </c>
      <c r="P560" s="1" t="s">
        <v>47</v>
      </c>
      <c r="Q560" s="1">
        <v>5</v>
      </c>
      <c r="R560" s="1">
        <v>0</v>
      </c>
      <c r="S560" s="1" t="s">
        <v>33</v>
      </c>
      <c r="T560" s="1" t="s">
        <v>33</v>
      </c>
      <c r="U560" s="1">
        <v>3</v>
      </c>
      <c r="V560" s="1">
        <v>192830</v>
      </c>
      <c r="W560" s="7">
        <v>1796.58</v>
      </c>
      <c r="X560" s="1">
        <v>0.6</v>
      </c>
      <c r="Y560" s="4">
        <v>44225</v>
      </c>
      <c r="Z560" s="1" t="s">
        <v>32</v>
      </c>
      <c r="AA560" s="1" t="s">
        <v>33</v>
      </c>
      <c r="AB560" s="36" t="str" cm="1">
        <f t="array" ref="AB560">_xlfn.IFS(K560&gt;650,"LOW",K560&gt;=550,"MEDIUM",K560&lt;550,"HIGH")</f>
        <v>LOW</v>
      </c>
    </row>
    <row r="561" spans="3:28" x14ac:dyDescent="0.3">
      <c r="C561" s="35" t="s">
        <v>2579</v>
      </c>
      <c r="D561" s="1" t="s">
        <v>609</v>
      </c>
      <c r="E561" s="1">
        <v>51</v>
      </c>
      <c r="F561" s="1" t="s">
        <v>26</v>
      </c>
      <c r="G561" s="1" t="s">
        <v>45</v>
      </c>
      <c r="H561" s="1" t="s">
        <v>54</v>
      </c>
      <c r="I561" s="1" t="s">
        <v>57</v>
      </c>
      <c r="J561" s="7">
        <v>94233</v>
      </c>
      <c r="K561" s="1">
        <v>701</v>
      </c>
      <c r="L561" s="7">
        <v>34333</v>
      </c>
      <c r="M561" s="1">
        <v>60</v>
      </c>
      <c r="N561" s="6">
        <v>8.9200000000000002E-2</v>
      </c>
      <c r="O561" s="1" t="s">
        <v>5</v>
      </c>
      <c r="P561" s="1" t="s">
        <v>47</v>
      </c>
      <c r="Q561" s="1">
        <v>9</v>
      </c>
      <c r="R561" s="1">
        <v>1</v>
      </c>
      <c r="S561" s="1" t="s">
        <v>31</v>
      </c>
      <c r="T561" s="1" t="s">
        <v>33</v>
      </c>
      <c r="U561" s="1">
        <v>4</v>
      </c>
      <c r="V561" s="1">
        <v>144446</v>
      </c>
      <c r="W561" s="7">
        <v>1331.85</v>
      </c>
      <c r="X561" s="1">
        <v>0.51</v>
      </c>
      <c r="Y561" s="4">
        <v>44144</v>
      </c>
      <c r="Z561" s="1" t="s">
        <v>32</v>
      </c>
      <c r="AA561" s="1" t="s">
        <v>31</v>
      </c>
      <c r="AB561" s="36" t="str" cm="1">
        <f t="array" ref="AB561">_xlfn.IFS(K561&gt;650,"LOW",K561&gt;=550,"MEDIUM",K561&lt;550,"HIGH")</f>
        <v>LOW</v>
      </c>
    </row>
    <row r="562" spans="3:28" x14ac:dyDescent="0.3">
      <c r="C562" s="35" t="s">
        <v>2592</v>
      </c>
      <c r="D562" s="1" t="s">
        <v>622</v>
      </c>
      <c r="E562" s="1">
        <v>58</v>
      </c>
      <c r="F562" s="1" t="s">
        <v>44</v>
      </c>
      <c r="G562" s="1" t="s">
        <v>45</v>
      </c>
      <c r="H562" s="1" t="s">
        <v>28</v>
      </c>
      <c r="I562" s="1" t="s">
        <v>59</v>
      </c>
      <c r="J562" s="7">
        <v>122499</v>
      </c>
      <c r="K562" s="1">
        <v>701</v>
      </c>
      <c r="L562" s="7">
        <v>2245</v>
      </c>
      <c r="M562" s="1">
        <v>60</v>
      </c>
      <c r="N562" s="6">
        <v>9.9399999999999988E-2</v>
      </c>
      <c r="O562" s="1" t="s">
        <v>46</v>
      </c>
      <c r="P562" s="1" t="s">
        <v>47</v>
      </c>
      <c r="Q562" s="1">
        <v>22</v>
      </c>
      <c r="R562" s="1">
        <v>3</v>
      </c>
      <c r="S562" s="1" t="s">
        <v>31</v>
      </c>
      <c r="T562" s="1" t="s">
        <v>31</v>
      </c>
      <c r="U562" s="1">
        <v>2</v>
      </c>
      <c r="V562" s="1">
        <v>137482</v>
      </c>
      <c r="W562" s="7">
        <v>1428.88</v>
      </c>
      <c r="X562" s="1">
        <v>0.94</v>
      </c>
      <c r="Y562" s="4">
        <v>45596</v>
      </c>
      <c r="Z562" s="1" t="s">
        <v>38</v>
      </c>
      <c r="AA562" s="1" t="s">
        <v>33</v>
      </c>
      <c r="AB562" s="36" t="str" cm="1">
        <f t="array" ref="AB562">_xlfn.IFS(K562&gt;650,"LOW",K562&gt;=550,"MEDIUM",K562&lt;550,"HIGH")</f>
        <v>LOW</v>
      </c>
    </row>
    <row r="563" spans="3:28" x14ac:dyDescent="0.3">
      <c r="C563" s="35" t="s">
        <v>3412</v>
      </c>
      <c r="D563" s="1" t="s">
        <v>1432</v>
      </c>
      <c r="E563" s="1">
        <v>23</v>
      </c>
      <c r="F563" s="1" t="s">
        <v>44</v>
      </c>
      <c r="G563" s="1" t="s">
        <v>45</v>
      </c>
      <c r="H563" s="1" t="s">
        <v>61</v>
      </c>
      <c r="I563" s="1" t="s">
        <v>40</v>
      </c>
      <c r="J563" s="7">
        <v>123579</v>
      </c>
      <c r="K563" s="1">
        <v>701</v>
      </c>
      <c r="L563" s="7">
        <v>33911</v>
      </c>
      <c r="M563" s="1">
        <v>36</v>
      </c>
      <c r="N563" s="6">
        <v>7.980000000000001E-2</v>
      </c>
      <c r="O563" s="1" t="s">
        <v>63</v>
      </c>
      <c r="P563" s="1" t="s">
        <v>50</v>
      </c>
      <c r="Q563" s="1">
        <v>16</v>
      </c>
      <c r="R563" s="1">
        <v>2</v>
      </c>
      <c r="S563" s="1" t="s">
        <v>31</v>
      </c>
      <c r="T563" s="1" t="s">
        <v>31</v>
      </c>
      <c r="U563" s="1">
        <v>3</v>
      </c>
      <c r="V563" s="1">
        <v>142178</v>
      </c>
      <c r="W563" s="7">
        <v>647.70000000000005</v>
      </c>
      <c r="X563" s="1">
        <v>0.84</v>
      </c>
      <c r="Y563" s="4">
        <v>44805</v>
      </c>
      <c r="Z563" s="1" t="s">
        <v>38</v>
      </c>
      <c r="AA563" s="1" t="s">
        <v>33</v>
      </c>
      <c r="AB563" s="36" t="str" cm="1">
        <f t="array" ref="AB563">_xlfn.IFS(K563&gt;650,"LOW",K563&gt;=550,"MEDIUM",K563&lt;550,"HIGH")</f>
        <v>LOW</v>
      </c>
    </row>
    <row r="564" spans="3:28" x14ac:dyDescent="0.3">
      <c r="C564" s="35" t="s">
        <v>2087</v>
      </c>
      <c r="D564" s="1" t="s">
        <v>118</v>
      </c>
      <c r="E564" s="1">
        <v>54</v>
      </c>
      <c r="F564" s="1" t="s">
        <v>26</v>
      </c>
      <c r="G564" s="1" t="s">
        <v>27</v>
      </c>
      <c r="H564" s="1" t="s">
        <v>54</v>
      </c>
      <c r="I564" s="1" t="s">
        <v>29</v>
      </c>
      <c r="J564" s="7">
        <v>60828</v>
      </c>
      <c r="K564" s="1">
        <v>700</v>
      </c>
      <c r="L564" s="7">
        <v>6914</v>
      </c>
      <c r="M564" s="1">
        <v>36</v>
      </c>
      <c r="N564" s="6">
        <v>9.01E-2</v>
      </c>
      <c r="O564" s="1" t="s">
        <v>52</v>
      </c>
      <c r="P564" s="1" t="s">
        <v>47</v>
      </c>
      <c r="Q564" s="1">
        <v>4</v>
      </c>
      <c r="R564" s="1">
        <v>2</v>
      </c>
      <c r="S564" s="1" t="s">
        <v>33</v>
      </c>
      <c r="T564" s="1" t="s">
        <v>33</v>
      </c>
      <c r="U564" s="1">
        <v>1</v>
      </c>
      <c r="V564" s="1">
        <v>50217</v>
      </c>
      <c r="W564" s="7">
        <v>1360.47</v>
      </c>
      <c r="X564" s="1">
        <v>0.14000000000000001</v>
      </c>
      <c r="Y564" s="4">
        <v>45454</v>
      </c>
      <c r="Z564" s="1" t="s">
        <v>32</v>
      </c>
      <c r="AA564" s="1" t="s">
        <v>33</v>
      </c>
      <c r="AB564" s="36" t="str" cm="1">
        <f t="array" ref="AB564">_xlfn.IFS(K564&gt;650,"LOW",K564&gt;=550,"MEDIUM",K564&lt;550,"HIGH")</f>
        <v>LOW</v>
      </c>
    </row>
    <row r="565" spans="3:28" x14ac:dyDescent="0.3">
      <c r="C565" s="35" t="s">
        <v>2130</v>
      </c>
      <c r="D565" s="1" t="s">
        <v>161</v>
      </c>
      <c r="E565" s="1">
        <v>54</v>
      </c>
      <c r="F565" s="1" t="s">
        <v>44</v>
      </c>
      <c r="G565" s="1" t="s">
        <v>27</v>
      </c>
      <c r="H565" s="1" t="s">
        <v>28</v>
      </c>
      <c r="I565" s="1" t="s">
        <v>40</v>
      </c>
      <c r="J565" s="7">
        <v>46639</v>
      </c>
      <c r="K565" s="1">
        <v>700</v>
      </c>
      <c r="L565" s="7">
        <v>17498</v>
      </c>
      <c r="M565" s="1">
        <v>12</v>
      </c>
      <c r="N565" s="6">
        <v>7.0499999999999993E-2</v>
      </c>
      <c r="O565" s="1" t="s">
        <v>5</v>
      </c>
      <c r="P565" s="1" t="s">
        <v>50</v>
      </c>
      <c r="Q565" s="1">
        <v>1</v>
      </c>
      <c r="R565" s="1">
        <v>0</v>
      </c>
      <c r="S565" s="1" t="s">
        <v>33</v>
      </c>
      <c r="T565" s="1" t="s">
        <v>31</v>
      </c>
      <c r="U565" s="1">
        <v>3</v>
      </c>
      <c r="V565" s="1">
        <v>32905</v>
      </c>
      <c r="W565" s="7">
        <v>1108.6300000000001</v>
      </c>
      <c r="X565" s="1">
        <v>0.32</v>
      </c>
      <c r="Y565" s="4">
        <v>45743</v>
      </c>
      <c r="Z565" s="1" t="s">
        <v>38</v>
      </c>
      <c r="AA565" s="1" t="s">
        <v>31</v>
      </c>
      <c r="AB565" s="36" t="str" cm="1">
        <f t="array" ref="AB565">_xlfn.IFS(K565&gt;650,"LOW",K565&gt;=550,"MEDIUM",K565&lt;550,"HIGH")</f>
        <v>LOW</v>
      </c>
    </row>
    <row r="566" spans="3:28" x14ac:dyDescent="0.3">
      <c r="C566" s="35" t="s">
        <v>3439</v>
      </c>
      <c r="D566" s="1" t="s">
        <v>1458</v>
      </c>
      <c r="E566" s="1">
        <v>52</v>
      </c>
      <c r="F566" s="1" t="s">
        <v>44</v>
      </c>
      <c r="G566" s="1" t="s">
        <v>35</v>
      </c>
      <c r="H566" s="1" t="s">
        <v>54</v>
      </c>
      <c r="I566" s="1" t="s">
        <v>59</v>
      </c>
      <c r="J566" s="7">
        <v>38705</v>
      </c>
      <c r="K566" s="1">
        <v>700</v>
      </c>
      <c r="L566" s="7">
        <v>10751</v>
      </c>
      <c r="M566" s="1">
        <v>48</v>
      </c>
      <c r="N566" s="6">
        <v>0.16159999999999999</v>
      </c>
      <c r="O566" s="1" t="s">
        <v>41</v>
      </c>
      <c r="P566" s="1" t="s">
        <v>47</v>
      </c>
      <c r="Q566" s="1">
        <v>19</v>
      </c>
      <c r="R566" s="1">
        <v>1</v>
      </c>
      <c r="S566" s="1" t="s">
        <v>31</v>
      </c>
      <c r="T566" s="1" t="s">
        <v>33</v>
      </c>
      <c r="U566" s="1">
        <v>4</v>
      </c>
      <c r="V566" s="1">
        <v>38095</v>
      </c>
      <c r="W566" s="7">
        <v>1596.98</v>
      </c>
      <c r="X566" s="1">
        <v>0.82</v>
      </c>
      <c r="Y566" s="4">
        <v>44095</v>
      </c>
      <c r="Z566" s="1" t="s">
        <v>38</v>
      </c>
      <c r="AA566" s="1" t="s">
        <v>33</v>
      </c>
      <c r="AB566" s="36" t="str" cm="1">
        <f t="array" ref="AB566">_xlfn.IFS(K566&gt;650,"LOW",K566&gt;=550,"MEDIUM",K566&lt;550,"HIGH")</f>
        <v>LOW</v>
      </c>
    </row>
    <row r="567" spans="3:28" x14ac:dyDescent="0.3">
      <c r="C567" s="35" t="s">
        <v>3840</v>
      </c>
      <c r="D567" s="1" t="s">
        <v>1846</v>
      </c>
      <c r="E567" s="1">
        <v>48</v>
      </c>
      <c r="F567" s="1" t="s">
        <v>26</v>
      </c>
      <c r="G567" s="1" t="s">
        <v>45</v>
      </c>
      <c r="H567" s="1" t="s">
        <v>28</v>
      </c>
      <c r="I567" s="1" t="s">
        <v>59</v>
      </c>
      <c r="J567" s="7">
        <v>43932</v>
      </c>
      <c r="K567" s="1">
        <v>700</v>
      </c>
      <c r="L567" s="7">
        <v>10814</v>
      </c>
      <c r="M567" s="1">
        <v>60</v>
      </c>
      <c r="N567" s="6">
        <v>0.12509999999999999</v>
      </c>
      <c r="O567" s="1" t="s">
        <v>37</v>
      </c>
      <c r="P567" s="1" t="s">
        <v>30</v>
      </c>
      <c r="Q567" s="1">
        <v>3</v>
      </c>
      <c r="R567" s="1">
        <v>4</v>
      </c>
      <c r="S567" s="1" t="s">
        <v>33</v>
      </c>
      <c r="T567" s="1" t="s">
        <v>33</v>
      </c>
      <c r="U567" s="1">
        <v>4</v>
      </c>
      <c r="V567" s="1">
        <v>114200</v>
      </c>
      <c r="W567" s="7">
        <v>1865.32</v>
      </c>
      <c r="X567" s="1">
        <v>0.97</v>
      </c>
      <c r="Y567" s="4">
        <v>45449</v>
      </c>
      <c r="Z567" s="1" t="s">
        <v>32</v>
      </c>
      <c r="AA567" s="1" t="s">
        <v>33</v>
      </c>
      <c r="AB567" s="36" t="str" cm="1">
        <f t="array" ref="AB567">_xlfn.IFS(K567&gt;650,"LOW",K567&gt;=550,"MEDIUM",K567&lt;550,"HIGH")</f>
        <v>LOW</v>
      </c>
    </row>
    <row r="568" spans="3:28" x14ac:dyDescent="0.3">
      <c r="C568" s="35" t="s">
        <v>2573</v>
      </c>
      <c r="D568" s="1" t="s">
        <v>603</v>
      </c>
      <c r="E568" s="1">
        <v>43</v>
      </c>
      <c r="F568" s="1" t="s">
        <v>26</v>
      </c>
      <c r="G568" s="1" t="s">
        <v>45</v>
      </c>
      <c r="H568" s="1" t="s">
        <v>28</v>
      </c>
      <c r="I568" s="1" t="s">
        <v>59</v>
      </c>
      <c r="J568" s="7">
        <v>44845</v>
      </c>
      <c r="K568" s="1">
        <v>699</v>
      </c>
      <c r="L568" s="7">
        <v>17788</v>
      </c>
      <c r="M568" s="1">
        <v>36</v>
      </c>
      <c r="N568" s="6">
        <v>0.12770000000000001</v>
      </c>
      <c r="O568" s="1" t="s">
        <v>52</v>
      </c>
      <c r="P568" s="1" t="s">
        <v>30</v>
      </c>
      <c r="Q568" s="1">
        <v>2</v>
      </c>
      <c r="R568" s="1">
        <v>4</v>
      </c>
      <c r="S568" s="1" t="s">
        <v>31</v>
      </c>
      <c r="T568" s="1" t="s">
        <v>31</v>
      </c>
      <c r="U568" s="1">
        <v>1</v>
      </c>
      <c r="V568" s="1">
        <v>95948</v>
      </c>
      <c r="W568" s="7">
        <v>325.64</v>
      </c>
      <c r="X568" s="1">
        <v>0.74</v>
      </c>
      <c r="Y568" s="4">
        <v>44330</v>
      </c>
      <c r="Z568" s="1" t="s">
        <v>38</v>
      </c>
      <c r="AA568" s="1" t="s">
        <v>33</v>
      </c>
      <c r="AB568" s="36" t="str" cm="1">
        <f t="array" ref="AB568">_xlfn.IFS(K568&gt;650,"LOW",K568&gt;=550,"MEDIUM",K568&lt;550,"HIGH")</f>
        <v>LOW</v>
      </c>
    </row>
    <row r="569" spans="3:28" x14ac:dyDescent="0.3">
      <c r="C569" s="35" t="s">
        <v>2624</v>
      </c>
      <c r="D569" s="1" t="s">
        <v>654</v>
      </c>
      <c r="E569" s="1">
        <v>33</v>
      </c>
      <c r="F569" s="1" t="s">
        <v>44</v>
      </c>
      <c r="G569" s="1" t="s">
        <v>27</v>
      </c>
      <c r="H569" s="1" t="s">
        <v>36</v>
      </c>
      <c r="I569" s="1" t="s">
        <v>29</v>
      </c>
      <c r="J569" s="7">
        <v>120453</v>
      </c>
      <c r="K569" s="1">
        <v>699</v>
      </c>
      <c r="L569" s="7">
        <v>22101</v>
      </c>
      <c r="M569" s="1">
        <v>36</v>
      </c>
      <c r="N569" s="6">
        <v>0.1118</v>
      </c>
      <c r="O569" s="1" t="s">
        <v>5</v>
      </c>
      <c r="P569" s="1" t="s">
        <v>47</v>
      </c>
      <c r="Q569" s="1">
        <v>13</v>
      </c>
      <c r="R569" s="1">
        <v>0</v>
      </c>
      <c r="S569" s="1" t="s">
        <v>33</v>
      </c>
      <c r="T569" s="1" t="s">
        <v>31</v>
      </c>
      <c r="U569" s="1">
        <v>0</v>
      </c>
      <c r="V569" s="1">
        <v>149417</v>
      </c>
      <c r="W569" s="7">
        <v>1478.84</v>
      </c>
      <c r="X569" s="1">
        <v>0.39</v>
      </c>
      <c r="Y569" s="4">
        <v>44184</v>
      </c>
      <c r="Z569" s="1" t="s">
        <v>38</v>
      </c>
      <c r="AA569" s="1" t="s">
        <v>33</v>
      </c>
      <c r="AB569" s="36" t="str" cm="1">
        <f t="array" ref="AB569">_xlfn.IFS(K569&gt;650,"LOW",K569&gt;=550,"MEDIUM",K569&lt;550,"HIGH")</f>
        <v>LOW</v>
      </c>
    </row>
    <row r="570" spans="3:28" x14ac:dyDescent="0.3">
      <c r="C570" s="35" t="s">
        <v>3491</v>
      </c>
      <c r="D570" s="1" t="s">
        <v>1509</v>
      </c>
      <c r="E570" s="1">
        <v>26</v>
      </c>
      <c r="F570" s="1" t="s">
        <v>26</v>
      </c>
      <c r="G570" s="1" t="s">
        <v>35</v>
      </c>
      <c r="H570" s="1" t="s">
        <v>28</v>
      </c>
      <c r="I570" s="1" t="s">
        <v>40</v>
      </c>
      <c r="J570" s="7">
        <v>117469</v>
      </c>
      <c r="K570" s="1">
        <v>699</v>
      </c>
      <c r="L570" s="7">
        <v>34405</v>
      </c>
      <c r="M570" s="1">
        <v>24</v>
      </c>
      <c r="N570" s="6">
        <v>0.1009</v>
      </c>
      <c r="O570" s="1" t="s">
        <v>63</v>
      </c>
      <c r="P570" s="1" t="s">
        <v>30</v>
      </c>
      <c r="Q570" s="1">
        <v>28</v>
      </c>
      <c r="R570" s="1">
        <v>0</v>
      </c>
      <c r="S570" s="1" t="s">
        <v>33</v>
      </c>
      <c r="T570" s="1" t="s">
        <v>33</v>
      </c>
      <c r="U570" s="1">
        <v>2</v>
      </c>
      <c r="V570" s="1">
        <v>102733</v>
      </c>
      <c r="W570" s="7">
        <v>308.60000000000002</v>
      </c>
      <c r="X570" s="1">
        <v>0.83</v>
      </c>
      <c r="Y570" s="4">
        <v>44639</v>
      </c>
      <c r="Z570" s="1" t="s">
        <v>38</v>
      </c>
      <c r="AA570" s="1" t="s">
        <v>33</v>
      </c>
      <c r="AB570" s="36" t="str" cm="1">
        <f t="array" ref="AB570">_xlfn.IFS(K570&gt;650,"LOW",K570&gt;=550,"MEDIUM",K570&lt;550,"HIGH")</f>
        <v>LOW</v>
      </c>
    </row>
    <row r="571" spans="3:28" x14ac:dyDescent="0.3">
      <c r="C571" s="35" t="s">
        <v>3982</v>
      </c>
      <c r="D571" s="1" t="s">
        <v>1982</v>
      </c>
      <c r="E571" s="1">
        <v>47</v>
      </c>
      <c r="F571" s="1" t="s">
        <v>26</v>
      </c>
      <c r="G571" s="1" t="s">
        <v>45</v>
      </c>
      <c r="H571" s="1" t="s">
        <v>36</v>
      </c>
      <c r="I571" s="1" t="s">
        <v>29</v>
      </c>
      <c r="J571" s="7">
        <v>93994</v>
      </c>
      <c r="K571" s="1">
        <v>699</v>
      </c>
      <c r="L571" s="7">
        <v>18131</v>
      </c>
      <c r="M571" s="1">
        <v>36</v>
      </c>
      <c r="N571" s="6">
        <v>0.13320000000000001</v>
      </c>
      <c r="O571" s="1" t="s">
        <v>5</v>
      </c>
      <c r="P571" s="1" t="s">
        <v>47</v>
      </c>
      <c r="Q571" s="1">
        <v>12</v>
      </c>
      <c r="R571" s="1">
        <v>3</v>
      </c>
      <c r="S571" s="1" t="s">
        <v>31</v>
      </c>
      <c r="T571" s="1" t="s">
        <v>33</v>
      </c>
      <c r="U571" s="1">
        <v>3</v>
      </c>
      <c r="V571" s="1">
        <v>113214</v>
      </c>
      <c r="W571" s="7">
        <v>139.69999999999999</v>
      </c>
      <c r="X571" s="1">
        <v>0.5</v>
      </c>
      <c r="Y571" s="4">
        <v>44228</v>
      </c>
      <c r="Z571" s="1" t="s">
        <v>32</v>
      </c>
      <c r="AA571" s="1" t="s">
        <v>33</v>
      </c>
      <c r="AB571" s="36" t="str" cm="1">
        <f t="array" ref="AB571">_xlfn.IFS(K571&gt;650,"LOW",K571&gt;=550,"MEDIUM",K571&lt;550,"HIGH")</f>
        <v>LOW</v>
      </c>
    </row>
    <row r="572" spans="3:28" x14ac:dyDescent="0.3">
      <c r="C572" s="35" t="s">
        <v>2632</v>
      </c>
      <c r="D572" s="1" t="s">
        <v>662</v>
      </c>
      <c r="E572" s="1">
        <v>23</v>
      </c>
      <c r="F572" s="1" t="s">
        <v>26</v>
      </c>
      <c r="G572" s="1" t="s">
        <v>35</v>
      </c>
      <c r="H572" s="1" t="s">
        <v>36</v>
      </c>
      <c r="I572" s="1" t="s">
        <v>59</v>
      </c>
      <c r="J572" s="7">
        <v>122511</v>
      </c>
      <c r="K572" s="1">
        <v>698</v>
      </c>
      <c r="L572" s="7">
        <v>8035</v>
      </c>
      <c r="M572" s="1">
        <v>12</v>
      </c>
      <c r="N572" s="6">
        <v>0.19510000000000002</v>
      </c>
      <c r="O572" s="1" t="s">
        <v>37</v>
      </c>
      <c r="P572" s="1" t="s">
        <v>30</v>
      </c>
      <c r="Q572" s="1">
        <v>4</v>
      </c>
      <c r="R572" s="1">
        <v>3</v>
      </c>
      <c r="S572" s="1" t="s">
        <v>33</v>
      </c>
      <c r="T572" s="1" t="s">
        <v>33</v>
      </c>
      <c r="U572" s="1">
        <v>3</v>
      </c>
      <c r="V572" s="1">
        <v>19628</v>
      </c>
      <c r="W572" s="7">
        <v>1863.3</v>
      </c>
      <c r="X572" s="1">
        <v>0.33</v>
      </c>
      <c r="Y572" s="4">
        <v>45146</v>
      </c>
      <c r="Z572" s="1" t="s">
        <v>38</v>
      </c>
      <c r="AA572" s="1" t="s">
        <v>33</v>
      </c>
      <c r="AB572" s="36" t="str" cm="1">
        <f t="array" ref="AB572">_xlfn.IFS(K572&gt;650,"LOW",K572&gt;=550,"MEDIUM",K572&lt;550,"HIGH")</f>
        <v>LOW</v>
      </c>
    </row>
    <row r="573" spans="3:28" x14ac:dyDescent="0.3">
      <c r="C573" s="35" t="s">
        <v>3873</v>
      </c>
      <c r="D573" s="1" t="s">
        <v>1879</v>
      </c>
      <c r="E573" s="1">
        <v>22</v>
      </c>
      <c r="F573" s="1" t="s">
        <v>44</v>
      </c>
      <c r="G573" s="1" t="s">
        <v>27</v>
      </c>
      <c r="H573" s="1" t="s">
        <v>36</v>
      </c>
      <c r="I573" s="1" t="s">
        <v>29</v>
      </c>
      <c r="J573" s="7">
        <v>122795</v>
      </c>
      <c r="K573" s="1">
        <v>698</v>
      </c>
      <c r="L573" s="7">
        <v>5841</v>
      </c>
      <c r="M573" s="1">
        <v>48</v>
      </c>
      <c r="N573" s="6">
        <v>9.0800000000000006E-2</v>
      </c>
      <c r="O573" s="1" t="s">
        <v>63</v>
      </c>
      <c r="P573" s="1" t="s">
        <v>50</v>
      </c>
      <c r="Q573" s="1">
        <v>8</v>
      </c>
      <c r="R573" s="1">
        <v>1</v>
      </c>
      <c r="S573" s="1" t="s">
        <v>33</v>
      </c>
      <c r="T573" s="1" t="s">
        <v>31</v>
      </c>
      <c r="U573" s="1">
        <v>3</v>
      </c>
      <c r="V573" s="1">
        <v>25592</v>
      </c>
      <c r="W573" s="7">
        <v>945.35</v>
      </c>
      <c r="X573" s="1">
        <v>0.56999999999999995</v>
      </c>
      <c r="Y573" s="4">
        <v>44446</v>
      </c>
      <c r="Z573" s="1" t="s">
        <v>38</v>
      </c>
      <c r="AA573" s="1" t="s">
        <v>33</v>
      </c>
      <c r="AB573" s="36" t="str" cm="1">
        <f t="array" ref="AB573">_xlfn.IFS(K573&gt;650,"LOW",K573&gt;=550,"MEDIUM",K573&lt;550,"HIGH")</f>
        <v>LOW</v>
      </c>
    </row>
    <row r="574" spans="3:28" x14ac:dyDescent="0.3">
      <c r="C574" s="35" t="s">
        <v>3718</v>
      </c>
      <c r="D574" s="1" t="s">
        <v>1728</v>
      </c>
      <c r="E574" s="1">
        <v>42</v>
      </c>
      <c r="F574" s="1" t="s">
        <v>26</v>
      </c>
      <c r="G574" s="1" t="s">
        <v>27</v>
      </c>
      <c r="H574" s="1" t="s">
        <v>36</v>
      </c>
      <c r="I574" s="1" t="s">
        <v>29</v>
      </c>
      <c r="J574" s="7">
        <v>100771</v>
      </c>
      <c r="K574" s="1">
        <v>697</v>
      </c>
      <c r="L574" s="7">
        <v>8965</v>
      </c>
      <c r="M574" s="1">
        <v>36</v>
      </c>
      <c r="N574" s="6">
        <v>0.1784</v>
      </c>
      <c r="O574" s="1" t="s">
        <v>46</v>
      </c>
      <c r="P574" s="1" t="s">
        <v>30</v>
      </c>
      <c r="Q574" s="1">
        <v>14</v>
      </c>
      <c r="R574" s="1">
        <v>3</v>
      </c>
      <c r="S574" s="1" t="s">
        <v>31</v>
      </c>
      <c r="T574" s="1" t="s">
        <v>31</v>
      </c>
      <c r="U574" s="1">
        <v>0</v>
      </c>
      <c r="V574" s="1">
        <v>74838</v>
      </c>
      <c r="W574" s="7">
        <v>937.3</v>
      </c>
      <c r="X574" s="1">
        <v>0.14000000000000001</v>
      </c>
      <c r="Y574" s="4">
        <v>44773</v>
      </c>
      <c r="Z574" s="1" t="s">
        <v>32</v>
      </c>
      <c r="AA574" s="1" t="s">
        <v>31</v>
      </c>
      <c r="AB574" s="36" t="str" cm="1">
        <f t="array" ref="AB574">_xlfn.IFS(K574&gt;650,"LOW",K574&gt;=550,"MEDIUM",K574&lt;550,"HIGH")</f>
        <v>LOW</v>
      </c>
    </row>
    <row r="575" spans="3:28" x14ac:dyDescent="0.3">
      <c r="C575" s="35" t="s">
        <v>3953</v>
      </c>
      <c r="D575" s="1" t="s">
        <v>1955</v>
      </c>
      <c r="E575" s="1">
        <v>63</v>
      </c>
      <c r="F575" s="1" t="s">
        <v>44</v>
      </c>
      <c r="G575" s="1" t="s">
        <v>45</v>
      </c>
      <c r="H575" s="1" t="s">
        <v>28</v>
      </c>
      <c r="I575" s="1" t="s">
        <v>40</v>
      </c>
      <c r="J575" s="7">
        <v>79010</v>
      </c>
      <c r="K575" s="1">
        <v>697</v>
      </c>
      <c r="L575" s="7">
        <v>17101</v>
      </c>
      <c r="M575" s="1">
        <v>12</v>
      </c>
      <c r="N575" s="6">
        <v>6.8900000000000003E-2</v>
      </c>
      <c r="O575" s="1" t="s">
        <v>46</v>
      </c>
      <c r="P575" s="1" t="s">
        <v>50</v>
      </c>
      <c r="Q575" s="1">
        <v>3</v>
      </c>
      <c r="R575" s="1">
        <v>4</v>
      </c>
      <c r="S575" s="1" t="s">
        <v>31</v>
      </c>
      <c r="T575" s="1" t="s">
        <v>33</v>
      </c>
      <c r="U575" s="1">
        <v>0</v>
      </c>
      <c r="V575" s="1">
        <v>175874</v>
      </c>
      <c r="W575" s="7">
        <v>1319.23</v>
      </c>
      <c r="X575" s="1">
        <v>0.33</v>
      </c>
      <c r="Y575" s="4">
        <v>44498</v>
      </c>
      <c r="Z575" s="1" t="s">
        <v>38</v>
      </c>
      <c r="AA575" s="1" t="s">
        <v>33</v>
      </c>
      <c r="AB575" s="36" t="str" cm="1">
        <f t="array" ref="AB575">_xlfn.IFS(K575&gt;650,"LOW",K575&gt;=550,"MEDIUM",K575&lt;550,"HIGH")</f>
        <v>LOW</v>
      </c>
    </row>
    <row r="576" spans="3:28" x14ac:dyDescent="0.3">
      <c r="C576" s="35" t="s">
        <v>3970</v>
      </c>
      <c r="D576" s="1" t="s">
        <v>1971</v>
      </c>
      <c r="E576" s="1">
        <v>54</v>
      </c>
      <c r="F576" s="1" t="s">
        <v>44</v>
      </c>
      <c r="G576" s="1" t="s">
        <v>56</v>
      </c>
      <c r="H576" s="1" t="s">
        <v>36</v>
      </c>
      <c r="I576" s="1" t="s">
        <v>59</v>
      </c>
      <c r="J576" s="7">
        <v>63052</v>
      </c>
      <c r="K576" s="1">
        <v>697</v>
      </c>
      <c r="L576" s="7">
        <v>18156</v>
      </c>
      <c r="M576" s="1">
        <v>36</v>
      </c>
      <c r="N576" s="6">
        <v>7.7499999999999999E-2</v>
      </c>
      <c r="O576" s="1" t="s">
        <v>63</v>
      </c>
      <c r="P576" s="1" t="s">
        <v>50</v>
      </c>
      <c r="Q576" s="1">
        <v>20</v>
      </c>
      <c r="R576" s="1">
        <v>4</v>
      </c>
      <c r="S576" s="1" t="s">
        <v>33</v>
      </c>
      <c r="T576" s="1" t="s">
        <v>33</v>
      </c>
      <c r="U576" s="1">
        <v>1</v>
      </c>
      <c r="V576" s="1">
        <v>162227</v>
      </c>
      <c r="W576" s="7">
        <v>1140.5999999999999</v>
      </c>
      <c r="X576" s="1">
        <v>0.67</v>
      </c>
      <c r="Y576" s="4">
        <v>44903</v>
      </c>
      <c r="Z576" s="1" t="s">
        <v>32</v>
      </c>
      <c r="AA576" s="1" t="s">
        <v>33</v>
      </c>
      <c r="AB576" s="36" t="str" cm="1">
        <f t="array" ref="AB576">_xlfn.IFS(K576&gt;650,"LOW",K576&gt;=550,"MEDIUM",K576&lt;550,"HIGH")</f>
        <v>LOW</v>
      </c>
    </row>
    <row r="577" spans="3:28" x14ac:dyDescent="0.3">
      <c r="C577" s="35" t="s">
        <v>3990</v>
      </c>
      <c r="D577" s="1" t="s">
        <v>1990</v>
      </c>
      <c r="E577" s="1">
        <v>36</v>
      </c>
      <c r="F577" s="1" t="s">
        <v>44</v>
      </c>
      <c r="G577" s="1" t="s">
        <v>56</v>
      </c>
      <c r="H577" s="1" t="s">
        <v>54</v>
      </c>
      <c r="I577" s="1" t="s">
        <v>29</v>
      </c>
      <c r="J577" s="7">
        <v>82435</v>
      </c>
      <c r="K577" s="1">
        <v>697</v>
      </c>
      <c r="L577" s="7">
        <v>21138</v>
      </c>
      <c r="M577" s="1">
        <v>36</v>
      </c>
      <c r="N577" s="6">
        <v>6.54E-2</v>
      </c>
      <c r="O577" s="1" t="s">
        <v>52</v>
      </c>
      <c r="P577" s="1" t="s">
        <v>50</v>
      </c>
      <c r="Q577" s="1">
        <v>10</v>
      </c>
      <c r="R577" s="1">
        <v>2</v>
      </c>
      <c r="S577" s="1" t="s">
        <v>31</v>
      </c>
      <c r="T577" s="1" t="s">
        <v>31</v>
      </c>
      <c r="U577" s="1">
        <v>3</v>
      </c>
      <c r="V577" s="1">
        <v>168292</v>
      </c>
      <c r="W577" s="7">
        <v>279.73</v>
      </c>
      <c r="X577" s="1">
        <v>0.94</v>
      </c>
      <c r="Y577" s="4">
        <v>45533</v>
      </c>
      <c r="Z577" s="1" t="s">
        <v>32</v>
      </c>
      <c r="AA577" s="1" t="s">
        <v>33</v>
      </c>
      <c r="AB577" s="36" t="str" cm="1">
        <f t="array" ref="AB577">_xlfn.IFS(K577&gt;650,"LOW",K577&gt;=550,"MEDIUM",K577&lt;550,"HIGH")</f>
        <v>LOW</v>
      </c>
    </row>
    <row r="578" spans="3:28" x14ac:dyDescent="0.3">
      <c r="C578" s="35" t="s">
        <v>2851</v>
      </c>
      <c r="D578" s="1" t="s">
        <v>879</v>
      </c>
      <c r="E578" s="1">
        <v>23</v>
      </c>
      <c r="F578" s="1" t="s">
        <v>26</v>
      </c>
      <c r="G578" s="1" t="s">
        <v>45</v>
      </c>
      <c r="H578" s="1" t="s">
        <v>28</v>
      </c>
      <c r="I578" s="1" t="s">
        <v>40</v>
      </c>
      <c r="J578" s="7">
        <v>35605</v>
      </c>
      <c r="K578" s="1">
        <v>696</v>
      </c>
      <c r="L578" s="7">
        <v>8145</v>
      </c>
      <c r="M578" s="1">
        <v>36</v>
      </c>
      <c r="N578" s="6">
        <v>0.12380000000000001</v>
      </c>
      <c r="O578" s="1" t="s">
        <v>5</v>
      </c>
      <c r="P578" s="1" t="s">
        <v>30</v>
      </c>
      <c r="Q578" s="1">
        <v>18</v>
      </c>
      <c r="R578" s="1">
        <v>2</v>
      </c>
      <c r="S578" s="1" t="s">
        <v>33</v>
      </c>
      <c r="T578" s="1" t="s">
        <v>33</v>
      </c>
      <c r="U578" s="1">
        <v>3</v>
      </c>
      <c r="V578" s="1">
        <v>199979</v>
      </c>
      <c r="W578" s="7">
        <v>623.62</v>
      </c>
      <c r="X578" s="1">
        <v>0.36</v>
      </c>
      <c r="Y578" s="4">
        <v>45573</v>
      </c>
      <c r="Z578" s="1" t="s">
        <v>38</v>
      </c>
      <c r="AA578" s="1" t="s">
        <v>33</v>
      </c>
      <c r="AB578" s="36" t="str" cm="1">
        <f t="array" ref="AB578">_xlfn.IFS(K578&gt;650,"LOW",K578&gt;=550,"MEDIUM",K578&lt;550,"HIGH")</f>
        <v>LOW</v>
      </c>
    </row>
    <row r="579" spans="3:28" x14ac:dyDescent="0.3">
      <c r="C579" s="35" t="s">
        <v>3387</v>
      </c>
      <c r="D579" s="1" t="s">
        <v>1407</v>
      </c>
      <c r="E579" s="1">
        <v>41</v>
      </c>
      <c r="F579" s="1" t="s">
        <v>26</v>
      </c>
      <c r="G579" s="1" t="s">
        <v>45</v>
      </c>
      <c r="H579" s="1" t="s">
        <v>61</v>
      </c>
      <c r="I579" s="1" t="s">
        <v>40</v>
      </c>
      <c r="J579" s="7">
        <v>109031</v>
      </c>
      <c r="K579" s="1">
        <v>696</v>
      </c>
      <c r="L579" s="7">
        <v>29287</v>
      </c>
      <c r="M579" s="1">
        <v>24</v>
      </c>
      <c r="N579" s="6">
        <v>0.17180000000000001</v>
      </c>
      <c r="O579" s="1" t="s">
        <v>5</v>
      </c>
      <c r="P579" s="1" t="s">
        <v>50</v>
      </c>
      <c r="Q579" s="1">
        <v>16</v>
      </c>
      <c r="R579" s="1">
        <v>2</v>
      </c>
      <c r="S579" s="1" t="s">
        <v>33</v>
      </c>
      <c r="T579" s="1" t="s">
        <v>33</v>
      </c>
      <c r="U579" s="1">
        <v>1</v>
      </c>
      <c r="V579" s="1">
        <v>131603</v>
      </c>
      <c r="W579" s="7">
        <v>1819.67</v>
      </c>
      <c r="X579" s="1">
        <v>0.4</v>
      </c>
      <c r="Y579" s="4">
        <v>45275</v>
      </c>
      <c r="Z579" s="1" t="s">
        <v>38</v>
      </c>
      <c r="AA579" s="1" t="s">
        <v>33</v>
      </c>
      <c r="AB579" s="36" t="str" cm="1">
        <f t="array" ref="AB579">_xlfn.IFS(K579&gt;650,"LOW",K579&gt;=550,"MEDIUM",K579&lt;550,"HIGH")</f>
        <v>LOW</v>
      </c>
    </row>
    <row r="580" spans="3:28" x14ac:dyDescent="0.3">
      <c r="C580" s="35" t="s">
        <v>2045</v>
      </c>
      <c r="D580" s="1" t="s">
        <v>76</v>
      </c>
      <c r="E580" s="1">
        <v>32</v>
      </c>
      <c r="F580" s="1" t="s">
        <v>26</v>
      </c>
      <c r="G580" s="1" t="s">
        <v>45</v>
      </c>
      <c r="H580" s="1" t="s">
        <v>54</v>
      </c>
      <c r="I580" s="1" t="s">
        <v>40</v>
      </c>
      <c r="J580" s="7">
        <v>23407</v>
      </c>
      <c r="K580" s="1">
        <v>695</v>
      </c>
      <c r="L580" s="7">
        <v>48650</v>
      </c>
      <c r="M580" s="1">
        <v>36</v>
      </c>
      <c r="N580" s="6">
        <v>0.17679999999999998</v>
      </c>
      <c r="O580" s="1" t="s">
        <v>37</v>
      </c>
      <c r="P580" s="1" t="s">
        <v>50</v>
      </c>
      <c r="Q580" s="1">
        <v>18</v>
      </c>
      <c r="R580" s="1">
        <v>1</v>
      </c>
      <c r="S580" s="1" t="s">
        <v>33</v>
      </c>
      <c r="T580" s="1" t="s">
        <v>31</v>
      </c>
      <c r="U580" s="1">
        <v>4</v>
      </c>
      <c r="V580" s="1">
        <v>65121</v>
      </c>
      <c r="W580" s="7">
        <v>1847.41</v>
      </c>
      <c r="X580" s="1">
        <v>0.5</v>
      </c>
      <c r="Y580" s="4">
        <v>45356</v>
      </c>
      <c r="Z580" s="1" t="s">
        <v>38</v>
      </c>
      <c r="AA580" s="1" t="s">
        <v>33</v>
      </c>
      <c r="AB580" s="36" t="str" cm="1">
        <f t="array" ref="AB580">_xlfn.IFS(K580&gt;650,"LOW",K580&gt;=550,"MEDIUM",K580&lt;550,"HIGH")</f>
        <v>LOW</v>
      </c>
    </row>
    <row r="581" spans="3:28" x14ac:dyDescent="0.3">
      <c r="C581" s="35" t="s">
        <v>2202</v>
      </c>
      <c r="D581" s="1" t="s">
        <v>233</v>
      </c>
      <c r="E581" s="1">
        <v>64</v>
      </c>
      <c r="F581" s="1" t="s">
        <v>44</v>
      </c>
      <c r="G581" s="1" t="s">
        <v>45</v>
      </c>
      <c r="H581" s="1" t="s">
        <v>61</v>
      </c>
      <c r="I581" s="1" t="s">
        <v>57</v>
      </c>
      <c r="J581" s="7">
        <v>149626</v>
      </c>
      <c r="K581" s="1">
        <v>695</v>
      </c>
      <c r="L581" s="7">
        <v>4598</v>
      </c>
      <c r="M581" s="1">
        <v>24</v>
      </c>
      <c r="N581" s="6">
        <v>0.1016</v>
      </c>
      <c r="O581" s="1" t="s">
        <v>46</v>
      </c>
      <c r="P581" s="1" t="s">
        <v>47</v>
      </c>
      <c r="Q581" s="1">
        <v>26</v>
      </c>
      <c r="R581" s="1">
        <v>3</v>
      </c>
      <c r="S581" s="1" t="s">
        <v>33</v>
      </c>
      <c r="T581" s="1" t="s">
        <v>33</v>
      </c>
      <c r="U581" s="1">
        <v>0</v>
      </c>
      <c r="V581" s="1">
        <v>128500</v>
      </c>
      <c r="W581" s="7">
        <v>1559.31</v>
      </c>
      <c r="X581" s="1">
        <v>0.88</v>
      </c>
      <c r="Y581" s="4">
        <v>45084</v>
      </c>
      <c r="Z581" s="1" t="s">
        <v>38</v>
      </c>
      <c r="AA581" s="1" t="s">
        <v>33</v>
      </c>
      <c r="AB581" s="36" t="str" cm="1">
        <f t="array" ref="AB581">_xlfn.IFS(K581&gt;650,"LOW",K581&gt;=550,"MEDIUM",K581&lt;550,"HIGH")</f>
        <v>LOW</v>
      </c>
    </row>
    <row r="582" spans="3:28" x14ac:dyDescent="0.3">
      <c r="C582" s="35" t="s">
        <v>2435</v>
      </c>
      <c r="D582" s="1" t="s">
        <v>465</v>
      </c>
      <c r="E582" s="1">
        <v>21</v>
      </c>
      <c r="F582" s="1" t="s">
        <v>26</v>
      </c>
      <c r="G582" s="1" t="s">
        <v>45</v>
      </c>
      <c r="H582" s="1" t="s">
        <v>54</v>
      </c>
      <c r="I582" s="1" t="s">
        <v>57</v>
      </c>
      <c r="J582" s="7">
        <v>54831</v>
      </c>
      <c r="K582" s="1">
        <v>695</v>
      </c>
      <c r="L582" s="7">
        <v>43832</v>
      </c>
      <c r="M582" s="1">
        <v>36</v>
      </c>
      <c r="N582" s="6">
        <v>0.1996</v>
      </c>
      <c r="O582" s="1" t="s">
        <v>5</v>
      </c>
      <c r="P582" s="1" t="s">
        <v>47</v>
      </c>
      <c r="Q582" s="1">
        <v>3</v>
      </c>
      <c r="R582" s="1">
        <v>1</v>
      </c>
      <c r="S582" s="1" t="s">
        <v>31</v>
      </c>
      <c r="T582" s="1" t="s">
        <v>31</v>
      </c>
      <c r="U582" s="1">
        <v>3</v>
      </c>
      <c r="V582" s="1">
        <v>106094</v>
      </c>
      <c r="W582" s="7">
        <v>1076.08</v>
      </c>
      <c r="X582" s="1">
        <v>0.4</v>
      </c>
      <c r="Y582" s="4">
        <v>44453</v>
      </c>
      <c r="Z582" s="1" t="s">
        <v>38</v>
      </c>
      <c r="AA582" s="1" t="s">
        <v>33</v>
      </c>
      <c r="AB582" s="36" t="str" cm="1">
        <f t="array" ref="AB582">_xlfn.IFS(K582&gt;650,"LOW",K582&gt;=550,"MEDIUM",K582&lt;550,"HIGH")</f>
        <v>LOW</v>
      </c>
    </row>
    <row r="583" spans="3:28" x14ac:dyDescent="0.3">
      <c r="C583" s="35" t="s">
        <v>3045</v>
      </c>
      <c r="D583" s="1" t="s">
        <v>1072</v>
      </c>
      <c r="E583" s="1">
        <v>30</v>
      </c>
      <c r="F583" s="1" t="s">
        <v>44</v>
      </c>
      <c r="G583" s="1" t="s">
        <v>45</v>
      </c>
      <c r="H583" s="1" t="s">
        <v>28</v>
      </c>
      <c r="I583" s="1" t="s">
        <v>29</v>
      </c>
      <c r="J583" s="7">
        <v>62616</v>
      </c>
      <c r="K583" s="1">
        <v>695</v>
      </c>
      <c r="L583" s="7">
        <v>39515</v>
      </c>
      <c r="M583" s="1">
        <v>60</v>
      </c>
      <c r="N583" s="6">
        <v>6.8099999999999994E-2</v>
      </c>
      <c r="O583" s="1" t="s">
        <v>63</v>
      </c>
      <c r="P583" s="1" t="s">
        <v>47</v>
      </c>
      <c r="Q583" s="1">
        <v>22</v>
      </c>
      <c r="R583" s="1">
        <v>4</v>
      </c>
      <c r="S583" s="1" t="s">
        <v>31</v>
      </c>
      <c r="T583" s="1" t="s">
        <v>31</v>
      </c>
      <c r="U583" s="1">
        <v>0</v>
      </c>
      <c r="V583" s="1">
        <v>22943</v>
      </c>
      <c r="W583" s="7">
        <v>834.21</v>
      </c>
      <c r="X583" s="1">
        <v>0.37</v>
      </c>
      <c r="Y583" s="4">
        <v>45345</v>
      </c>
      <c r="Z583" s="1" t="s">
        <v>38</v>
      </c>
      <c r="AA583" s="1" t="s">
        <v>33</v>
      </c>
      <c r="AB583" s="36" t="str" cm="1">
        <f t="array" ref="AB583">_xlfn.IFS(K583&gt;650,"LOW",K583&gt;=550,"MEDIUM",K583&lt;550,"HIGH")</f>
        <v>LOW</v>
      </c>
    </row>
    <row r="584" spans="3:28" x14ac:dyDescent="0.3">
      <c r="C584" s="35" t="s">
        <v>3528</v>
      </c>
      <c r="D584" s="1" t="s">
        <v>1545</v>
      </c>
      <c r="E584" s="1">
        <v>45</v>
      </c>
      <c r="F584" s="1" t="s">
        <v>44</v>
      </c>
      <c r="G584" s="1" t="s">
        <v>56</v>
      </c>
      <c r="H584" s="1" t="s">
        <v>36</v>
      </c>
      <c r="I584" s="1" t="s">
        <v>40</v>
      </c>
      <c r="J584" s="7">
        <v>29505</v>
      </c>
      <c r="K584" s="1">
        <v>695</v>
      </c>
      <c r="L584" s="7">
        <v>10759</v>
      </c>
      <c r="M584" s="1">
        <v>12</v>
      </c>
      <c r="N584" s="6">
        <v>0.11169999999999999</v>
      </c>
      <c r="O584" s="1" t="s">
        <v>41</v>
      </c>
      <c r="P584" s="1" t="s">
        <v>50</v>
      </c>
      <c r="Q584" s="1">
        <v>13</v>
      </c>
      <c r="R584" s="1">
        <v>1</v>
      </c>
      <c r="S584" s="1" t="s">
        <v>33</v>
      </c>
      <c r="T584" s="1" t="s">
        <v>33</v>
      </c>
      <c r="U584" s="1">
        <v>0</v>
      </c>
      <c r="V584" s="1">
        <v>112898</v>
      </c>
      <c r="W584" s="7">
        <v>1708.37</v>
      </c>
      <c r="X584" s="1">
        <v>0.24</v>
      </c>
      <c r="Y584" s="4">
        <v>45088</v>
      </c>
      <c r="Z584" s="1" t="s">
        <v>32</v>
      </c>
      <c r="AA584" s="1" t="s">
        <v>33</v>
      </c>
      <c r="AB584" s="36" t="str" cm="1">
        <f t="array" ref="AB584">_xlfn.IFS(K584&gt;650,"LOW",K584&gt;=550,"MEDIUM",K584&lt;550,"HIGH")</f>
        <v>LOW</v>
      </c>
    </row>
    <row r="585" spans="3:28" x14ac:dyDescent="0.3">
      <c r="C585" s="35" t="s">
        <v>2191</v>
      </c>
      <c r="D585" s="1" t="s">
        <v>222</v>
      </c>
      <c r="E585" s="1">
        <v>33</v>
      </c>
      <c r="F585" s="1" t="s">
        <v>44</v>
      </c>
      <c r="G585" s="1" t="s">
        <v>35</v>
      </c>
      <c r="H585" s="1" t="s">
        <v>28</v>
      </c>
      <c r="I585" s="1" t="s">
        <v>57</v>
      </c>
      <c r="J585" s="7">
        <v>21893</v>
      </c>
      <c r="K585" s="1">
        <v>694</v>
      </c>
      <c r="L585" s="7">
        <v>32921</v>
      </c>
      <c r="M585" s="1">
        <v>60</v>
      </c>
      <c r="N585" s="6">
        <v>0.12869999999999998</v>
      </c>
      <c r="O585" s="1" t="s">
        <v>37</v>
      </c>
      <c r="P585" s="1" t="s">
        <v>47</v>
      </c>
      <c r="Q585" s="1">
        <v>6</v>
      </c>
      <c r="R585" s="1">
        <v>2</v>
      </c>
      <c r="S585" s="1" t="s">
        <v>31</v>
      </c>
      <c r="T585" s="1" t="s">
        <v>33</v>
      </c>
      <c r="U585" s="1">
        <v>0</v>
      </c>
      <c r="V585" s="1">
        <v>35495</v>
      </c>
      <c r="W585" s="7">
        <v>230.93</v>
      </c>
      <c r="X585" s="1">
        <v>0.73</v>
      </c>
      <c r="Y585" s="4">
        <v>45714</v>
      </c>
      <c r="Z585" s="1" t="s">
        <v>38</v>
      </c>
      <c r="AA585" s="1" t="s">
        <v>33</v>
      </c>
      <c r="AB585" s="36" t="str" cm="1">
        <f t="array" ref="AB585">_xlfn.IFS(K585&gt;650,"LOW",K585&gt;=550,"MEDIUM",K585&lt;550,"HIGH")</f>
        <v>LOW</v>
      </c>
    </row>
    <row r="586" spans="3:28" x14ac:dyDescent="0.3">
      <c r="C586" s="35" t="s">
        <v>2829</v>
      </c>
      <c r="D586" s="1" t="s">
        <v>857</v>
      </c>
      <c r="E586" s="1">
        <v>46</v>
      </c>
      <c r="F586" s="1" t="s">
        <v>26</v>
      </c>
      <c r="G586" s="1" t="s">
        <v>56</v>
      </c>
      <c r="H586" s="1" t="s">
        <v>28</v>
      </c>
      <c r="I586" s="1" t="s">
        <v>29</v>
      </c>
      <c r="J586" s="7">
        <v>81313</v>
      </c>
      <c r="K586" s="1">
        <v>694</v>
      </c>
      <c r="L586" s="7">
        <v>4093</v>
      </c>
      <c r="M586" s="1">
        <v>48</v>
      </c>
      <c r="N586" s="6">
        <v>5.7999999999999996E-2</v>
      </c>
      <c r="O586" s="1" t="s">
        <v>46</v>
      </c>
      <c r="P586" s="1" t="s">
        <v>47</v>
      </c>
      <c r="Q586" s="1">
        <v>22</v>
      </c>
      <c r="R586" s="1">
        <v>2</v>
      </c>
      <c r="S586" s="1" t="s">
        <v>31</v>
      </c>
      <c r="T586" s="1" t="s">
        <v>31</v>
      </c>
      <c r="U586" s="1">
        <v>0</v>
      </c>
      <c r="V586" s="1">
        <v>80214</v>
      </c>
      <c r="W586" s="7">
        <v>1607.03</v>
      </c>
      <c r="X586" s="1">
        <v>0.2</v>
      </c>
      <c r="Y586" s="4">
        <v>44064</v>
      </c>
      <c r="Z586" s="1" t="s">
        <v>38</v>
      </c>
      <c r="AA586" s="1" t="s">
        <v>33</v>
      </c>
      <c r="AB586" s="36" t="str" cm="1">
        <f t="array" ref="AB586">_xlfn.IFS(K586&gt;650,"LOW",K586&gt;=550,"MEDIUM",K586&lt;550,"HIGH")</f>
        <v>LOW</v>
      </c>
    </row>
    <row r="587" spans="3:28" x14ac:dyDescent="0.3">
      <c r="C587" s="35" t="s">
        <v>3483</v>
      </c>
      <c r="D587" s="1" t="s">
        <v>1501</v>
      </c>
      <c r="E587" s="1">
        <v>40</v>
      </c>
      <c r="F587" s="1" t="s">
        <v>26</v>
      </c>
      <c r="G587" s="1" t="s">
        <v>56</v>
      </c>
      <c r="H587" s="1" t="s">
        <v>61</v>
      </c>
      <c r="I587" s="1" t="s">
        <v>59</v>
      </c>
      <c r="J587" s="7">
        <v>74712</v>
      </c>
      <c r="K587" s="1">
        <v>694</v>
      </c>
      <c r="L587" s="7">
        <v>26188</v>
      </c>
      <c r="M587" s="1">
        <v>12</v>
      </c>
      <c r="N587" s="6">
        <v>7.3099999999999998E-2</v>
      </c>
      <c r="O587" s="1" t="s">
        <v>5</v>
      </c>
      <c r="P587" s="1" t="s">
        <v>47</v>
      </c>
      <c r="Q587" s="1">
        <v>11</v>
      </c>
      <c r="R587" s="1">
        <v>2</v>
      </c>
      <c r="S587" s="1" t="s">
        <v>33</v>
      </c>
      <c r="T587" s="1" t="s">
        <v>33</v>
      </c>
      <c r="U587" s="1">
        <v>0</v>
      </c>
      <c r="V587" s="1">
        <v>166537</v>
      </c>
      <c r="W587" s="7">
        <v>1325.55</v>
      </c>
      <c r="X587" s="1">
        <v>0.15</v>
      </c>
      <c r="Y587" s="4">
        <v>45381</v>
      </c>
      <c r="Z587" s="1" t="s">
        <v>38</v>
      </c>
      <c r="AA587" s="1" t="s">
        <v>31</v>
      </c>
      <c r="AB587" s="36" t="str" cm="1">
        <f t="array" ref="AB587">_xlfn.IFS(K587&gt;650,"LOW",K587&gt;=550,"MEDIUM",K587&lt;550,"HIGH")</f>
        <v>LOW</v>
      </c>
    </row>
    <row r="588" spans="3:28" x14ac:dyDescent="0.3">
      <c r="C588" s="35" t="s">
        <v>2286</v>
      </c>
      <c r="D588" s="1" t="s">
        <v>317</v>
      </c>
      <c r="E588" s="1">
        <v>40</v>
      </c>
      <c r="F588" s="1" t="s">
        <v>44</v>
      </c>
      <c r="G588" s="1" t="s">
        <v>27</v>
      </c>
      <c r="H588" s="1" t="s">
        <v>28</v>
      </c>
      <c r="I588" s="1" t="s">
        <v>29</v>
      </c>
      <c r="J588" s="7">
        <v>132313</v>
      </c>
      <c r="K588" s="1">
        <v>693</v>
      </c>
      <c r="L588" s="7">
        <v>27309</v>
      </c>
      <c r="M588" s="1">
        <v>36</v>
      </c>
      <c r="N588" s="6">
        <v>8.7799999999999989E-2</v>
      </c>
      <c r="O588" s="1" t="s">
        <v>5</v>
      </c>
      <c r="P588" s="1" t="s">
        <v>47</v>
      </c>
      <c r="Q588" s="1">
        <v>24</v>
      </c>
      <c r="R588" s="1">
        <v>4</v>
      </c>
      <c r="S588" s="1" t="s">
        <v>31</v>
      </c>
      <c r="T588" s="1" t="s">
        <v>33</v>
      </c>
      <c r="U588" s="1">
        <v>1</v>
      </c>
      <c r="V588" s="1">
        <v>85731</v>
      </c>
      <c r="W588" s="7">
        <v>480.51</v>
      </c>
      <c r="X588" s="1">
        <v>0.33</v>
      </c>
      <c r="Y588" s="4">
        <v>44851</v>
      </c>
      <c r="Z588" s="1" t="s">
        <v>32</v>
      </c>
      <c r="AA588" s="1" t="s">
        <v>33</v>
      </c>
      <c r="AB588" s="36" t="str" cm="1">
        <f t="array" ref="AB588">_xlfn.IFS(K588&gt;650,"LOW",K588&gt;=550,"MEDIUM",K588&lt;550,"HIGH")</f>
        <v>LOW</v>
      </c>
    </row>
    <row r="589" spans="3:28" x14ac:dyDescent="0.3">
      <c r="C589" s="35" t="s">
        <v>3598</v>
      </c>
      <c r="D589" s="1" t="s">
        <v>1612</v>
      </c>
      <c r="E589" s="1">
        <v>51</v>
      </c>
      <c r="F589" s="1" t="s">
        <v>44</v>
      </c>
      <c r="G589" s="1" t="s">
        <v>27</v>
      </c>
      <c r="H589" s="1" t="s">
        <v>61</v>
      </c>
      <c r="I589" s="1" t="s">
        <v>40</v>
      </c>
      <c r="J589" s="7">
        <v>101653</v>
      </c>
      <c r="K589" s="1">
        <v>693</v>
      </c>
      <c r="L589" s="7">
        <v>3016</v>
      </c>
      <c r="M589" s="1">
        <v>36</v>
      </c>
      <c r="N589" s="6">
        <v>5.7500000000000002E-2</v>
      </c>
      <c r="O589" s="1" t="s">
        <v>5</v>
      </c>
      <c r="P589" s="1" t="s">
        <v>47</v>
      </c>
      <c r="Q589" s="1">
        <v>25</v>
      </c>
      <c r="R589" s="1">
        <v>1</v>
      </c>
      <c r="S589" s="1" t="s">
        <v>33</v>
      </c>
      <c r="T589" s="1" t="s">
        <v>31</v>
      </c>
      <c r="U589" s="1">
        <v>3</v>
      </c>
      <c r="V589" s="1">
        <v>44956</v>
      </c>
      <c r="W589" s="7">
        <v>660.32</v>
      </c>
      <c r="X589" s="1">
        <v>0.85</v>
      </c>
      <c r="Y589" s="4">
        <v>44464</v>
      </c>
      <c r="Z589" s="1" t="s">
        <v>32</v>
      </c>
      <c r="AA589" s="1" t="s">
        <v>33</v>
      </c>
      <c r="AB589" s="36" t="str" cm="1">
        <f t="array" ref="AB589">_xlfn.IFS(K589&gt;650,"LOW",K589&gt;=550,"MEDIUM",K589&lt;550,"HIGH")</f>
        <v>LOW</v>
      </c>
    </row>
    <row r="590" spans="3:28" x14ac:dyDescent="0.3">
      <c r="C590" s="35" t="s">
        <v>3807</v>
      </c>
      <c r="D590" s="1" t="s">
        <v>1813</v>
      </c>
      <c r="E590" s="1">
        <v>32</v>
      </c>
      <c r="F590" s="1" t="s">
        <v>26</v>
      </c>
      <c r="G590" s="1" t="s">
        <v>45</v>
      </c>
      <c r="H590" s="1" t="s">
        <v>54</v>
      </c>
      <c r="I590" s="1" t="s">
        <v>40</v>
      </c>
      <c r="J590" s="7">
        <v>136082</v>
      </c>
      <c r="K590" s="1">
        <v>693</v>
      </c>
      <c r="L590" s="7">
        <v>20830</v>
      </c>
      <c r="M590" s="1">
        <v>48</v>
      </c>
      <c r="N590" s="6">
        <v>0.14910000000000001</v>
      </c>
      <c r="O590" s="1" t="s">
        <v>52</v>
      </c>
      <c r="P590" s="1" t="s">
        <v>30</v>
      </c>
      <c r="Q590" s="1">
        <v>7</v>
      </c>
      <c r="R590" s="1">
        <v>1</v>
      </c>
      <c r="S590" s="1" t="s">
        <v>31</v>
      </c>
      <c r="T590" s="1" t="s">
        <v>31</v>
      </c>
      <c r="U590" s="1">
        <v>4</v>
      </c>
      <c r="V590" s="1">
        <v>141724</v>
      </c>
      <c r="W590" s="7">
        <v>1365.87</v>
      </c>
      <c r="X590" s="1">
        <v>0.53</v>
      </c>
      <c r="Y590" s="4">
        <v>45157</v>
      </c>
      <c r="Z590" s="1" t="s">
        <v>32</v>
      </c>
      <c r="AA590" s="1" t="s">
        <v>33</v>
      </c>
      <c r="AB590" s="36" t="str" cm="1">
        <f t="array" ref="AB590">_xlfn.IFS(K590&gt;650,"LOW",K590&gt;=550,"MEDIUM",K590&lt;550,"HIGH")</f>
        <v>LOW</v>
      </c>
    </row>
    <row r="591" spans="3:28" x14ac:dyDescent="0.3">
      <c r="C591" s="35" t="s">
        <v>2243</v>
      </c>
      <c r="D591" s="1" t="s">
        <v>274</v>
      </c>
      <c r="E591" s="1">
        <v>26</v>
      </c>
      <c r="F591" s="1" t="s">
        <v>26</v>
      </c>
      <c r="G591" s="1" t="s">
        <v>27</v>
      </c>
      <c r="H591" s="1" t="s">
        <v>36</v>
      </c>
      <c r="I591" s="1" t="s">
        <v>57</v>
      </c>
      <c r="J591" s="7">
        <v>112244</v>
      </c>
      <c r="K591" s="1">
        <v>692</v>
      </c>
      <c r="L591" s="7">
        <v>14454</v>
      </c>
      <c r="M591" s="1">
        <v>12</v>
      </c>
      <c r="N591" s="6">
        <v>0.19070000000000001</v>
      </c>
      <c r="O591" s="1" t="s">
        <v>41</v>
      </c>
      <c r="P591" s="1" t="s">
        <v>47</v>
      </c>
      <c r="Q591" s="1">
        <v>11</v>
      </c>
      <c r="R591" s="1">
        <v>3</v>
      </c>
      <c r="S591" s="1" t="s">
        <v>33</v>
      </c>
      <c r="T591" s="1" t="s">
        <v>33</v>
      </c>
      <c r="U591" s="1">
        <v>4</v>
      </c>
      <c r="V591" s="1">
        <v>65881</v>
      </c>
      <c r="W591" s="7">
        <v>1639.41</v>
      </c>
      <c r="X591" s="1">
        <v>0.69</v>
      </c>
      <c r="Y591" s="4">
        <v>44413</v>
      </c>
      <c r="Z591" s="1" t="s">
        <v>38</v>
      </c>
      <c r="AA591" s="1" t="s">
        <v>31</v>
      </c>
      <c r="AB591" s="36" t="str" cm="1">
        <f t="array" ref="AB591">_xlfn.IFS(K591&gt;650,"LOW",K591&gt;=550,"MEDIUM",K591&lt;550,"HIGH")</f>
        <v>LOW</v>
      </c>
    </row>
    <row r="592" spans="3:28" x14ac:dyDescent="0.3">
      <c r="C592" s="35" t="s">
        <v>2288</v>
      </c>
      <c r="D592" s="1" t="s">
        <v>319</v>
      </c>
      <c r="E592" s="1">
        <v>53</v>
      </c>
      <c r="F592" s="1" t="s">
        <v>26</v>
      </c>
      <c r="G592" s="1" t="s">
        <v>27</v>
      </c>
      <c r="H592" s="1" t="s">
        <v>61</v>
      </c>
      <c r="I592" s="1" t="s">
        <v>57</v>
      </c>
      <c r="J592" s="7">
        <v>44570</v>
      </c>
      <c r="K592" s="1">
        <v>692</v>
      </c>
      <c r="L592" s="7">
        <v>48723</v>
      </c>
      <c r="M592" s="1">
        <v>24</v>
      </c>
      <c r="N592" s="6">
        <v>0.12509999999999999</v>
      </c>
      <c r="O592" s="1" t="s">
        <v>37</v>
      </c>
      <c r="P592" s="1" t="s">
        <v>47</v>
      </c>
      <c r="Q592" s="1">
        <v>13</v>
      </c>
      <c r="R592" s="1">
        <v>1</v>
      </c>
      <c r="S592" s="1" t="s">
        <v>31</v>
      </c>
      <c r="T592" s="1" t="s">
        <v>33</v>
      </c>
      <c r="U592" s="1">
        <v>4</v>
      </c>
      <c r="V592" s="1">
        <v>141483</v>
      </c>
      <c r="W592" s="7">
        <v>1959.75</v>
      </c>
      <c r="X592" s="1">
        <v>0.86</v>
      </c>
      <c r="Y592" s="4">
        <v>45199</v>
      </c>
      <c r="Z592" s="1" t="s">
        <v>38</v>
      </c>
      <c r="AA592" s="1" t="s">
        <v>31</v>
      </c>
      <c r="AB592" s="36" t="str" cm="1">
        <f t="array" ref="AB592">_xlfn.IFS(K592&gt;650,"LOW",K592&gt;=550,"MEDIUM",K592&lt;550,"HIGH")</f>
        <v>LOW</v>
      </c>
    </row>
    <row r="593" spans="3:28" x14ac:dyDescent="0.3">
      <c r="C593" s="35" t="s">
        <v>2582</v>
      </c>
      <c r="D593" s="1" t="s">
        <v>612</v>
      </c>
      <c r="E593" s="1">
        <v>43</v>
      </c>
      <c r="F593" s="1" t="s">
        <v>26</v>
      </c>
      <c r="G593" s="1" t="s">
        <v>27</v>
      </c>
      <c r="H593" s="1" t="s">
        <v>28</v>
      </c>
      <c r="I593" s="1" t="s">
        <v>57</v>
      </c>
      <c r="J593" s="7">
        <v>88681</v>
      </c>
      <c r="K593" s="1">
        <v>692</v>
      </c>
      <c r="L593" s="7">
        <v>22183</v>
      </c>
      <c r="M593" s="1">
        <v>60</v>
      </c>
      <c r="N593" s="6">
        <v>7.5999999999999998E-2</v>
      </c>
      <c r="O593" s="1" t="s">
        <v>41</v>
      </c>
      <c r="P593" s="1" t="s">
        <v>30</v>
      </c>
      <c r="Q593" s="1">
        <v>6</v>
      </c>
      <c r="R593" s="1">
        <v>4</v>
      </c>
      <c r="S593" s="1" t="s">
        <v>31</v>
      </c>
      <c r="T593" s="1" t="s">
        <v>33</v>
      </c>
      <c r="U593" s="1">
        <v>0</v>
      </c>
      <c r="V593" s="1">
        <v>59133</v>
      </c>
      <c r="W593" s="7">
        <v>375.39</v>
      </c>
      <c r="X593" s="1">
        <v>0.15</v>
      </c>
      <c r="Y593" s="4">
        <v>45198</v>
      </c>
      <c r="Z593" s="1" t="s">
        <v>32</v>
      </c>
      <c r="AA593" s="1" t="s">
        <v>33</v>
      </c>
      <c r="AB593" s="36" t="str" cm="1">
        <f t="array" ref="AB593">_xlfn.IFS(K593&gt;650,"LOW",K593&gt;=550,"MEDIUM",K593&lt;550,"HIGH")</f>
        <v>LOW</v>
      </c>
    </row>
    <row r="594" spans="3:28" x14ac:dyDescent="0.3">
      <c r="C594" s="35" t="s">
        <v>2693</v>
      </c>
      <c r="D594" s="1" t="s">
        <v>723</v>
      </c>
      <c r="E594" s="1">
        <v>22</v>
      </c>
      <c r="F594" s="1" t="s">
        <v>26</v>
      </c>
      <c r="G594" s="1" t="s">
        <v>27</v>
      </c>
      <c r="H594" s="1" t="s">
        <v>28</v>
      </c>
      <c r="I594" s="1" t="s">
        <v>57</v>
      </c>
      <c r="J594" s="7">
        <v>114337</v>
      </c>
      <c r="K594" s="1">
        <v>692</v>
      </c>
      <c r="L594" s="7">
        <v>15456</v>
      </c>
      <c r="M594" s="1">
        <v>48</v>
      </c>
      <c r="N594" s="6">
        <v>0.11070000000000001</v>
      </c>
      <c r="O594" s="1" t="s">
        <v>63</v>
      </c>
      <c r="P594" s="1" t="s">
        <v>30</v>
      </c>
      <c r="Q594" s="1">
        <v>15</v>
      </c>
      <c r="R594" s="1">
        <v>1</v>
      </c>
      <c r="S594" s="1" t="s">
        <v>31</v>
      </c>
      <c r="T594" s="1" t="s">
        <v>33</v>
      </c>
      <c r="U594" s="1">
        <v>2</v>
      </c>
      <c r="V594" s="1">
        <v>177429</v>
      </c>
      <c r="W594" s="7">
        <v>797.08</v>
      </c>
      <c r="X594" s="1">
        <v>0.32</v>
      </c>
      <c r="Y594" s="4">
        <v>44946</v>
      </c>
      <c r="Z594" s="1" t="s">
        <v>32</v>
      </c>
      <c r="AA594" s="1" t="s">
        <v>31</v>
      </c>
      <c r="AB594" s="36" t="str" cm="1">
        <f t="array" ref="AB594">_xlfn.IFS(K594&gt;650,"LOW",K594&gt;=550,"MEDIUM",K594&lt;550,"HIGH")</f>
        <v>LOW</v>
      </c>
    </row>
    <row r="595" spans="3:28" x14ac:dyDescent="0.3">
      <c r="C595" s="35" t="s">
        <v>3210</v>
      </c>
      <c r="D595" s="1" t="s">
        <v>1234</v>
      </c>
      <c r="E595" s="1">
        <v>63</v>
      </c>
      <c r="F595" s="1" t="s">
        <v>44</v>
      </c>
      <c r="G595" s="1" t="s">
        <v>35</v>
      </c>
      <c r="H595" s="1" t="s">
        <v>54</v>
      </c>
      <c r="I595" s="1" t="s">
        <v>57</v>
      </c>
      <c r="J595" s="7">
        <v>48400</v>
      </c>
      <c r="K595" s="1">
        <v>692</v>
      </c>
      <c r="L595" s="7">
        <v>48842</v>
      </c>
      <c r="M595" s="1">
        <v>12</v>
      </c>
      <c r="N595" s="6">
        <v>0.12560000000000002</v>
      </c>
      <c r="O595" s="1" t="s">
        <v>41</v>
      </c>
      <c r="P595" s="1" t="s">
        <v>30</v>
      </c>
      <c r="Q595" s="1">
        <v>22</v>
      </c>
      <c r="R595" s="1">
        <v>1</v>
      </c>
      <c r="S595" s="1" t="s">
        <v>31</v>
      </c>
      <c r="T595" s="1" t="s">
        <v>33</v>
      </c>
      <c r="U595" s="1">
        <v>1</v>
      </c>
      <c r="V595" s="1">
        <v>190779</v>
      </c>
      <c r="W595" s="7">
        <v>977.05</v>
      </c>
      <c r="X595" s="1">
        <v>0.13</v>
      </c>
      <c r="Y595" s="4">
        <v>45135</v>
      </c>
      <c r="Z595" s="1" t="s">
        <v>38</v>
      </c>
      <c r="AA595" s="1" t="s">
        <v>33</v>
      </c>
      <c r="AB595" s="36" t="str" cm="1">
        <f t="array" ref="AB595">_xlfn.IFS(K595&gt;650,"LOW",K595&gt;=550,"MEDIUM",K595&lt;550,"HIGH")</f>
        <v>LOW</v>
      </c>
    </row>
    <row r="596" spans="3:28" x14ac:dyDescent="0.3">
      <c r="C596" s="35" t="s">
        <v>3748</v>
      </c>
      <c r="D596" s="1" t="s">
        <v>1756</v>
      </c>
      <c r="E596" s="1">
        <v>42</v>
      </c>
      <c r="F596" s="1" t="s">
        <v>26</v>
      </c>
      <c r="G596" s="1" t="s">
        <v>45</v>
      </c>
      <c r="H596" s="1" t="s">
        <v>54</v>
      </c>
      <c r="I596" s="1" t="s">
        <v>29</v>
      </c>
      <c r="J596" s="7">
        <v>90198</v>
      </c>
      <c r="K596" s="1">
        <v>692</v>
      </c>
      <c r="L596" s="7">
        <v>17350</v>
      </c>
      <c r="M596" s="1">
        <v>48</v>
      </c>
      <c r="N596" s="6">
        <v>0.1017</v>
      </c>
      <c r="O596" s="1" t="s">
        <v>63</v>
      </c>
      <c r="P596" s="1" t="s">
        <v>47</v>
      </c>
      <c r="Q596" s="1">
        <v>21</v>
      </c>
      <c r="R596" s="1">
        <v>2</v>
      </c>
      <c r="S596" s="1" t="s">
        <v>33</v>
      </c>
      <c r="T596" s="1" t="s">
        <v>31</v>
      </c>
      <c r="U596" s="1">
        <v>3</v>
      </c>
      <c r="V596" s="1">
        <v>59962</v>
      </c>
      <c r="W596" s="7">
        <v>1538.01</v>
      </c>
      <c r="X596" s="1">
        <v>0.44</v>
      </c>
      <c r="Y596" s="4">
        <v>45814</v>
      </c>
      <c r="Z596" s="1" t="s">
        <v>38</v>
      </c>
      <c r="AA596" s="1" t="s">
        <v>33</v>
      </c>
      <c r="AB596" s="36" t="str" cm="1">
        <f t="array" ref="AB596">_xlfn.IFS(K596&gt;650,"LOW",K596&gt;=550,"MEDIUM",K596&lt;550,"HIGH")</f>
        <v>LOW</v>
      </c>
    </row>
    <row r="597" spans="3:28" x14ac:dyDescent="0.3">
      <c r="C597" s="35" t="s">
        <v>2969</v>
      </c>
      <c r="D597" s="1" t="s">
        <v>997</v>
      </c>
      <c r="E597" s="1">
        <v>50</v>
      </c>
      <c r="F597" s="1" t="s">
        <v>26</v>
      </c>
      <c r="G597" s="1" t="s">
        <v>45</v>
      </c>
      <c r="H597" s="1" t="s">
        <v>36</v>
      </c>
      <c r="I597" s="1" t="s">
        <v>57</v>
      </c>
      <c r="J597" s="7">
        <v>70568</v>
      </c>
      <c r="K597" s="1">
        <v>690</v>
      </c>
      <c r="L597" s="7">
        <v>17020</v>
      </c>
      <c r="M597" s="1">
        <v>36</v>
      </c>
      <c r="N597" s="6">
        <v>6.3700000000000007E-2</v>
      </c>
      <c r="O597" s="1" t="s">
        <v>5</v>
      </c>
      <c r="P597" s="1" t="s">
        <v>30</v>
      </c>
      <c r="Q597" s="1">
        <v>6</v>
      </c>
      <c r="R597" s="1">
        <v>4</v>
      </c>
      <c r="S597" s="1" t="s">
        <v>33</v>
      </c>
      <c r="T597" s="1" t="s">
        <v>33</v>
      </c>
      <c r="U597" s="1">
        <v>1</v>
      </c>
      <c r="V597" s="1">
        <v>139993</v>
      </c>
      <c r="W597" s="7">
        <v>1985.6</v>
      </c>
      <c r="X597" s="1">
        <v>0.7</v>
      </c>
      <c r="Y597" s="4">
        <v>44177</v>
      </c>
      <c r="Z597" s="1" t="s">
        <v>38</v>
      </c>
      <c r="AA597" s="1" t="s">
        <v>33</v>
      </c>
      <c r="AB597" s="36" t="str" cm="1">
        <f t="array" ref="AB597">_xlfn.IFS(K597&gt;650,"LOW",K597&gt;=550,"MEDIUM",K597&lt;550,"HIGH")</f>
        <v>LOW</v>
      </c>
    </row>
    <row r="598" spans="3:28" x14ac:dyDescent="0.3">
      <c r="C598" s="35" t="s">
        <v>3447</v>
      </c>
      <c r="D598" s="1" t="s">
        <v>1465</v>
      </c>
      <c r="E598" s="1">
        <v>64</v>
      </c>
      <c r="F598" s="1" t="s">
        <v>26</v>
      </c>
      <c r="G598" s="1" t="s">
        <v>27</v>
      </c>
      <c r="H598" s="1" t="s">
        <v>61</v>
      </c>
      <c r="I598" s="1" t="s">
        <v>40</v>
      </c>
      <c r="J598" s="7">
        <v>92390</v>
      </c>
      <c r="K598" s="1">
        <v>690</v>
      </c>
      <c r="L598" s="7">
        <v>40017</v>
      </c>
      <c r="M598" s="1">
        <v>12</v>
      </c>
      <c r="N598" s="6">
        <v>0.14169999999999999</v>
      </c>
      <c r="O598" s="1" t="s">
        <v>52</v>
      </c>
      <c r="P598" s="1" t="s">
        <v>50</v>
      </c>
      <c r="Q598" s="1">
        <v>6</v>
      </c>
      <c r="R598" s="1">
        <v>4</v>
      </c>
      <c r="S598" s="1" t="s">
        <v>31</v>
      </c>
      <c r="T598" s="1" t="s">
        <v>31</v>
      </c>
      <c r="U598" s="1">
        <v>2</v>
      </c>
      <c r="V598" s="1">
        <v>16684</v>
      </c>
      <c r="W598" s="7">
        <v>1997.14</v>
      </c>
      <c r="X598" s="1">
        <v>0.54</v>
      </c>
      <c r="Y598" s="4">
        <v>44941</v>
      </c>
      <c r="Z598" s="1" t="s">
        <v>32</v>
      </c>
      <c r="AA598" s="1" t="s">
        <v>33</v>
      </c>
      <c r="AB598" s="36" t="str" cm="1">
        <f t="array" ref="AB598">_xlfn.IFS(K598&gt;650,"LOW",K598&gt;=550,"MEDIUM",K598&lt;550,"HIGH")</f>
        <v>LOW</v>
      </c>
    </row>
    <row r="599" spans="3:28" x14ac:dyDescent="0.3">
      <c r="C599" s="35" t="s">
        <v>2148</v>
      </c>
      <c r="D599" s="1" t="s">
        <v>179</v>
      </c>
      <c r="E599" s="1">
        <v>46</v>
      </c>
      <c r="F599" s="1" t="s">
        <v>44</v>
      </c>
      <c r="G599" s="1" t="s">
        <v>45</v>
      </c>
      <c r="H599" s="1" t="s">
        <v>54</v>
      </c>
      <c r="I599" s="1" t="s">
        <v>57</v>
      </c>
      <c r="J599" s="7">
        <v>93495</v>
      </c>
      <c r="K599" s="1">
        <v>689</v>
      </c>
      <c r="L599" s="7">
        <v>17924</v>
      </c>
      <c r="M599" s="1">
        <v>12</v>
      </c>
      <c r="N599" s="6">
        <v>0.18969999999999998</v>
      </c>
      <c r="O599" s="1" t="s">
        <v>37</v>
      </c>
      <c r="P599" s="1" t="s">
        <v>30</v>
      </c>
      <c r="Q599" s="1">
        <v>9</v>
      </c>
      <c r="R599" s="1">
        <v>1</v>
      </c>
      <c r="S599" s="1" t="s">
        <v>33</v>
      </c>
      <c r="T599" s="1" t="s">
        <v>33</v>
      </c>
      <c r="U599" s="1">
        <v>1</v>
      </c>
      <c r="V599" s="1">
        <v>100286</v>
      </c>
      <c r="W599" s="7">
        <v>1902.2</v>
      </c>
      <c r="X599" s="1">
        <v>0.86</v>
      </c>
      <c r="Y599" s="4">
        <v>45147</v>
      </c>
      <c r="Z599" s="1" t="s">
        <v>32</v>
      </c>
      <c r="AA599" s="1" t="s">
        <v>31</v>
      </c>
      <c r="AB599" s="36" t="str" cm="1">
        <f t="array" ref="AB599">_xlfn.IFS(K599&gt;650,"LOW",K599&gt;=550,"MEDIUM",K599&lt;550,"HIGH")</f>
        <v>LOW</v>
      </c>
    </row>
    <row r="600" spans="3:28" x14ac:dyDescent="0.3">
      <c r="C600" s="35" t="s">
        <v>2733</v>
      </c>
      <c r="D600" s="1" t="s">
        <v>763</v>
      </c>
      <c r="E600" s="1">
        <v>33</v>
      </c>
      <c r="F600" s="1" t="s">
        <v>44</v>
      </c>
      <c r="G600" s="1" t="s">
        <v>45</v>
      </c>
      <c r="H600" s="1" t="s">
        <v>54</v>
      </c>
      <c r="I600" s="1" t="s">
        <v>29</v>
      </c>
      <c r="J600" s="7">
        <v>96298</v>
      </c>
      <c r="K600" s="1">
        <v>689</v>
      </c>
      <c r="L600" s="7">
        <v>47468</v>
      </c>
      <c r="M600" s="1">
        <v>12</v>
      </c>
      <c r="N600" s="6">
        <v>0.10099999999999999</v>
      </c>
      <c r="O600" s="1" t="s">
        <v>5</v>
      </c>
      <c r="P600" s="1" t="s">
        <v>30</v>
      </c>
      <c r="Q600" s="1">
        <v>19</v>
      </c>
      <c r="R600" s="1">
        <v>3</v>
      </c>
      <c r="S600" s="1" t="s">
        <v>31</v>
      </c>
      <c r="T600" s="1" t="s">
        <v>33</v>
      </c>
      <c r="U600" s="1">
        <v>4</v>
      </c>
      <c r="V600" s="1">
        <v>58450</v>
      </c>
      <c r="W600" s="7">
        <v>1755.05</v>
      </c>
      <c r="X600" s="1">
        <v>0.76</v>
      </c>
      <c r="Y600" s="4">
        <v>44195</v>
      </c>
      <c r="Z600" s="1" t="s">
        <v>32</v>
      </c>
      <c r="AA600" s="1" t="s">
        <v>33</v>
      </c>
      <c r="AB600" s="36" t="str" cm="1">
        <f t="array" ref="AB600">_xlfn.IFS(K600&gt;650,"LOW",K600&gt;=550,"MEDIUM",K600&lt;550,"HIGH")</f>
        <v>LOW</v>
      </c>
    </row>
    <row r="601" spans="3:28" x14ac:dyDescent="0.3">
      <c r="C601" s="35" t="s">
        <v>3858</v>
      </c>
      <c r="D601" s="1" t="s">
        <v>1864</v>
      </c>
      <c r="E601" s="1">
        <v>38</v>
      </c>
      <c r="F601" s="1" t="s">
        <v>44</v>
      </c>
      <c r="G601" s="1" t="s">
        <v>56</v>
      </c>
      <c r="H601" s="1" t="s">
        <v>54</v>
      </c>
      <c r="I601" s="1" t="s">
        <v>29</v>
      </c>
      <c r="J601" s="7">
        <v>121212</v>
      </c>
      <c r="K601" s="1">
        <v>689</v>
      </c>
      <c r="L601" s="7">
        <v>18776</v>
      </c>
      <c r="M601" s="1">
        <v>36</v>
      </c>
      <c r="N601" s="6">
        <v>6.7799999999999999E-2</v>
      </c>
      <c r="O601" s="1" t="s">
        <v>63</v>
      </c>
      <c r="P601" s="1" t="s">
        <v>47</v>
      </c>
      <c r="Q601" s="1">
        <v>28</v>
      </c>
      <c r="R601" s="1">
        <v>1</v>
      </c>
      <c r="S601" s="1" t="s">
        <v>33</v>
      </c>
      <c r="T601" s="1" t="s">
        <v>31</v>
      </c>
      <c r="U601" s="1">
        <v>2</v>
      </c>
      <c r="V601" s="1">
        <v>123107</v>
      </c>
      <c r="W601" s="7">
        <v>1789.15</v>
      </c>
      <c r="X601" s="1">
        <v>0.98</v>
      </c>
      <c r="Y601" s="4">
        <v>45790</v>
      </c>
      <c r="Z601" s="1" t="s">
        <v>38</v>
      </c>
      <c r="AA601" s="1" t="s">
        <v>33</v>
      </c>
      <c r="AB601" s="36" t="str" cm="1">
        <f t="array" ref="AB601">_xlfn.IFS(K601&gt;650,"LOW",K601&gt;=550,"MEDIUM",K601&lt;550,"HIGH")</f>
        <v>LOW</v>
      </c>
    </row>
    <row r="602" spans="3:28" x14ac:dyDescent="0.3">
      <c r="C602" s="35" t="s">
        <v>2611</v>
      </c>
      <c r="D602" s="1" t="s">
        <v>641</v>
      </c>
      <c r="E602" s="1">
        <v>24</v>
      </c>
      <c r="F602" s="1" t="s">
        <v>44</v>
      </c>
      <c r="G602" s="1" t="s">
        <v>45</v>
      </c>
      <c r="H602" s="1" t="s">
        <v>61</v>
      </c>
      <c r="I602" s="1" t="s">
        <v>57</v>
      </c>
      <c r="J602" s="7">
        <v>58328</v>
      </c>
      <c r="K602" s="1">
        <v>688</v>
      </c>
      <c r="L602" s="7">
        <v>13511</v>
      </c>
      <c r="M602" s="1">
        <v>48</v>
      </c>
      <c r="N602" s="6">
        <v>0.11470000000000001</v>
      </c>
      <c r="O602" s="1" t="s">
        <v>52</v>
      </c>
      <c r="P602" s="1" t="s">
        <v>30</v>
      </c>
      <c r="Q602" s="1">
        <v>13</v>
      </c>
      <c r="R602" s="1">
        <v>0</v>
      </c>
      <c r="S602" s="1" t="s">
        <v>33</v>
      </c>
      <c r="T602" s="1" t="s">
        <v>31</v>
      </c>
      <c r="U602" s="1">
        <v>2</v>
      </c>
      <c r="V602" s="1">
        <v>43639</v>
      </c>
      <c r="W602" s="7">
        <v>753.46</v>
      </c>
      <c r="X602" s="1">
        <v>0.62</v>
      </c>
      <c r="Y602" s="4">
        <v>44872</v>
      </c>
      <c r="Z602" s="1" t="s">
        <v>38</v>
      </c>
      <c r="AA602" s="1" t="s">
        <v>31</v>
      </c>
      <c r="AB602" s="36" t="str" cm="1">
        <f t="array" ref="AB602">_xlfn.IFS(K602&gt;650,"LOW",K602&gt;=550,"MEDIUM",K602&lt;550,"HIGH")</f>
        <v>LOW</v>
      </c>
    </row>
    <row r="603" spans="3:28" x14ac:dyDescent="0.3">
      <c r="C603" s="35" t="s">
        <v>3015</v>
      </c>
      <c r="D603" s="1" t="s">
        <v>1042</v>
      </c>
      <c r="E603" s="1">
        <v>53</v>
      </c>
      <c r="F603" s="1" t="s">
        <v>26</v>
      </c>
      <c r="G603" s="1" t="s">
        <v>56</v>
      </c>
      <c r="H603" s="1" t="s">
        <v>61</v>
      </c>
      <c r="I603" s="1" t="s">
        <v>40</v>
      </c>
      <c r="J603" s="7">
        <v>56445</v>
      </c>
      <c r="K603" s="1">
        <v>687</v>
      </c>
      <c r="L603" s="7">
        <v>20095</v>
      </c>
      <c r="M603" s="1">
        <v>12</v>
      </c>
      <c r="N603" s="6">
        <v>0.14369999999999999</v>
      </c>
      <c r="O603" s="1" t="s">
        <v>37</v>
      </c>
      <c r="P603" s="1" t="s">
        <v>50</v>
      </c>
      <c r="Q603" s="1">
        <v>25</v>
      </c>
      <c r="R603" s="1">
        <v>2</v>
      </c>
      <c r="S603" s="1" t="s">
        <v>31</v>
      </c>
      <c r="T603" s="1" t="s">
        <v>31</v>
      </c>
      <c r="U603" s="1">
        <v>1</v>
      </c>
      <c r="V603" s="1">
        <v>73012</v>
      </c>
      <c r="W603" s="7">
        <v>687.3</v>
      </c>
      <c r="X603" s="1">
        <v>0.93</v>
      </c>
      <c r="Y603" s="4">
        <v>45697</v>
      </c>
      <c r="Z603" s="1" t="s">
        <v>38</v>
      </c>
      <c r="AA603" s="1" t="s">
        <v>33</v>
      </c>
      <c r="AB603" s="36" t="str" cm="1">
        <f t="array" ref="AB603">_xlfn.IFS(K603&gt;650,"LOW",K603&gt;=550,"MEDIUM",K603&lt;550,"HIGH")</f>
        <v>LOW</v>
      </c>
    </row>
    <row r="604" spans="3:28" x14ac:dyDescent="0.3">
      <c r="C604" s="35" t="s">
        <v>3867</v>
      </c>
      <c r="D604" s="1" t="s">
        <v>1873</v>
      </c>
      <c r="E604" s="1">
        <v>50</v>
      </c>
      <c r="F604" s="1" t="s">
        <v>26</v>
      </c>
      <c r="G604" s="1" t="s">
        <v>35</v>
      </c>
      <c r="H604" s="1" t="s">
        <v>54</v>
      </c>
      <c r="I604" s="1" t="s">
        <v>59</v>
      </c>
      <c r="J604" s="7">
        <v>139696</v>
      </c>
      <c r="K604" s="1">
        <v>687</v>
      </c>
      <c r="L604" s="7">
        <v>12785</v>
      </c>
      <c r="M604" s="1">
        <v>60</v>
      </c>
      <c r="N604" s="6">
        <v>0.14050000000000001</v>
      </c>
      <c r="O604" s="1" t="s">
        <v>46</v>
      </c>
      <c r="P604" s="1" t="s">
        <v>47</v>
      </c>
      <c r="Q604" s="1">
        <v>19</v>
      </c>
      <c r="R604" s="1">
        <v>4</v>
      </c>
      <c r="S604" s="1" t="s">
        <v>31</v>
      </c>
      <c r="T604" s="1" t="s">
        <v>31</v>
      </c>
      <c r="U604" s="1">
        <v>3</v>
      </c>
      <c r="V604" s="1">
        <v>109086</v>
      </c>
      <c r="W604" s="7">
        <v>1268.96</v>
      </c>
      <c r="X604" s="1">
        <v>0.36</v>
      </c>
      <c r="Y604" s="4">
        <v>45176</v>
      </c>
      <c r="Z604" s="1" t="s">
        <v>38</v>
      </c>
      <c r="AA604" s="1" t="s">
        <v>33</v>
      </c>
      <c r="AB604" s="36" t="str" cm="1">
        <f t="array" ref="AB604">_xlfn.IFS(K604&gt;650,"LOW",K604&gt;=550,"MEDIUM",K604&lt;550,"HIGH")</f>
        <v>LOW</v>
      </c>
    </row>
    <row r="605" spans="3:28" x14ac:dyDescent="0.3">
      <c r="C605" s="35" t="s">
        <v>2109</v>
      </c>
      <c r="D605" s="1" t="s">
        <v>140</v>
      </c>
      <c r="E605" s="1">
        <v>29</v>
      </c>
      <c r="F605" s="1" t="s">
        <v>44</v>
      </c>
      <c r="G605" s="1" t="s">
        <v>35</v>
      </c>
      <c r="H605" s="1" t="s">
        <v>54</v>
      </c>
      <c r="I605" s="1" t="s">
        <v>40</v>
      </c>
      <c r="J605" s="7">
        <v>109326</v>
      </c>
      <c r="K605" s="1">
        <v>686</v>
      </c>
      <c r="L605" s="7">
        <v>49268</v>
      </c>
      <c r="M605" s="1">
        <v>48</v>
      </c>
      <c r="N605" s="6">
        <v>0.1734</v>
      </c>
      <c r="O605" s="1" t="s">
        <v>63</v>
      </c>
      <c r="P605" s="1" t="s">
        <v>50</v>
      </c>
      <c r="Q605" s="1">
        <v>22</v>
      </c>
      <c r="R605" s="1">
        <v>2</v>
      </c>
      <c r="S605" s="1" t="s">
        <v>33</v>
      </c>
      <c r="T605" s="1" t="s">
        <v>31</v>
      </c>
      <c r="U605" s="1">
        <v>1</v>
      </c>
      <c r="V605" s="1">
        <v>170581</v>
      </c>
      <c r="W605" s="7">
        <v>916.45</v>
      </c>
      <c r="X605" s="1">
        <v>0.13</v>
      </c>
      <c r="Y605" s="4">
        <v>45760</v>
      </c>
      <c r="Z605" s="1" t="s">
        <v>32</v>
      </c>
      <c r="AA605" s="1" t="s">
        <v>33</v>
      </c>
      <c r="AB605" s="36" t="str" cm="1">
        <f t="array" ref="AB605">_xlfn.IFS(K605&gt;650,"LOW",K605&gt;=550,"MEDIUM",K605&lt;550,"HIGH")</f>
        <v>LOW</v>
      </c>
    </row>
    <row r="606" spans="3:28" x14ac:dyDescent="0.3">
      <c r="C606" s="35" t="s">
        <v>2226</v>
      </c>
      <c r="D606" s="1" t="s">
        <v>257</v>
      </c>
      <c r="E606" s="1">
        <v>46</v>
      </c>
      <c r="F606" s="1" t="s">
        <v>26</v>
      </c>
      <c r="G606" s="1" t="s">
        <v>56</v>
      </c>
      <c r="H606" s="1" t="s">
        <v>61</v>
      </c>
      <c r="I606" s="1" t="s">
        <v>29</v>
      </c>
      <c r="J606" s="7">
        <v>114699</v>
      </c>
      <c r="K606" s="1">
        <v>686</v>
      </c>
      <c r="L606" s="7">
        <v>22827</v>
      </c>
      <c r="M606" s="1">
        <v>24</v>
      </c>
      <c r="N606" s="6">
        <v>0.1293</v>
      </c>
      <c r="O606" s="1" t="s">
        <v>37</v>
      </c>
      <c r="P606" s="1" t="s">
        <v>30</v>
      </c>
      <c r="Q606" s="1">
        <v>29</v>
      </c>
      <c r="R606" s="1">
        <v>3</v>
      </c>
      <c r="S606" s="1" t="s">
        <v>33</v>
      </c>
      <c r="T606" s="1" t="s">
        <v>33</v>
      </c>
      <c r="U606" s="1">
        <v>3</v>
      </c>
      <c r="V606" s="1">
        <v>113417</v>
      </c>
      <c r="W606" s="7">
        <v>219.08</v>
      </c>
      <c r="X606" s="1">
        <v>0.82</v>
      </c>
      <c r="Y606" s="4">
        <v>44398</v>
      </c>
      <c r="Z606" s="1" t="s">
        <v>32</v>
      </c>
      <c r="AA606" s="1" t="s">
        <v>33</v>
      </c>
      <c r="AB606" s="36" t="str" cm="1">
        <f t="array" ref="AB606">_xlfn.IFS(K606&gt;650,"LOW",K606&gt;=550,"MEDIUM",K606&lt;550,"HIGH")</f>
        <v>LOW</v>
      </c>
    </row>
    <row r="607" spans="3:28" x14ac:dyDescent="0.3">
      <c r="C607" s="35" t="s">
        <v>2360</v>
      </c>
      <c r="D607" s="1" t="s">
        <v>390</v>
      </c>
      <c r="E607" s="1">
        <v>51</v>
      </c>
      <c r="F607" s="1" t="s">
        <v>44</v>
      </c>
      <c r="G607" s="1" t="s">
        <v>56</v>
      </c>
      <c r="H607" s="1" t="s">
        <v>61</v>
      </c>
      <c r="I607" s="1" t="s">
        <v>59</v>
      </c>
      <c r="J607" s="7">
        <v>111356</v>
      </c>
      <c r="K607" s="1">
        <v>686</v>
      </c>
      <c r="L607" s="7">
        <v>44118</v>
      </c>
      <c r="M607" s="1">
        <v>36</v>
      </c>
      <c r="N607" s="6">
        <v>5.28E-2</v>
      </c>
      <c r="O607" s="1" t="s">
        <v>46</v>
      </c>
      <c r="P607" s="1" t="s">
        <v>50</v>
      </c>
      <c r="Q607" s="1">
        <v>16</v>
      </c>
      <c r="R607" s="1">
        <v>3</v>
      </c>
      <c r="S607" s="1" t="s">
        <v>31</v>
      </c>
      <c r="T607" s="1" t="s">
        <v>31</v>
      </c>
      <c r="U607" s="1">
        <v>0</v>
      </c>
      <c r="V607" s="1">
        <v>38635</v>
      </c>
      <c r="W607" s="7">
        <v>752.33</v>
      </c>
      <c r="X607" s="1">
        <v>0.9</v>
      </c>
      <c r="Y607" s="4">
        <v>45465</v>
      </c>
      <c r="Z607" s="1" t="s">
        <v>38</v>
      </c>
      <c r="AA607" s="1" t="s">
        <v>33</v>
      </c>
      <c r="AB607" s="36" t="str" cm="1">
        <f t="array" ref="AB607">_xlfn.IFS(K607&gt;650,"LOW",K607&gt;=550,"MEDIUM",K607&lt;550,"HIGH")</f>
        <v>LOW</v>
      </c>
    </row>
    <row r="608" spans="3:28" x14ac:dyDescent="0.3">
      <c r="C608" s="35" t="s">
        <v>3019</v>
      </c>
      <c r="D608" s="1" t="s">
        <v>1046</v>
      </c>
      <c r="E608" s="1">
        <v>60</v>
      </c>
      <c r="F608" s="1" t="s">
        <v>26</v>
      </c>
      <c r="G608" s="1" t="s">
        <v>27</v>
      </c>
      <c r="H608" s="1" t="s">
        <v>54</v>
      </c>
      <c r="I608" s="1" t="s">
        <v>57</v>
      </c>
      <c r="J608" s="7">
        <v>28123</v>
      </c>
      <c r="K608" s="1">
        <v>686</v>
      </c>
      <c r="L608" s="7">
        <v>44158</v>
      </c>
      <c r="M608" s="1">
        <v>24</v>
      </c>
      <c r="N608" s="6">
        <v>8.900000000000001E-2</v>
      </c>
      <c r="O608" s="1" t="s">
        <v>41</v>
      </c>
      <c r="P608" s="1" t="s">
        <v>50</v>
      </c>
      <c r="Q608" s="1">
        <v>4</v>
      </c>
      <c r="R608" s="1">
        <v>0</v>
      </c>
      <c r="S608" s="1" t="s">
        <v>31</v>
      </c>
      <c r="T608" s="1" t="s">
        <v>33</v>
      </c>
      <c r="U608" s="1">
        <v>3</v>
      </c>
      <c r="V608" s="1">
        <v>185668</v>
      </c>
      <c r="W608" s="7">
        <v>1640.12</v>
      </c>
      <c r="X608" s="1">
        <v>0.81</v>
      </c>
      <c r="Y608" s="4">
        <v>44708</v>
      </c>
      <c r="Z608" s="1" t="s">
        <v>32</v>
      </c>
      <c r="AA608" s="1" t="s">
        <v>31</v>
      </c>
      <c r="AB608" s="36" t="str" cm="1">
        <f t="array" ref="AB608">_xlfn.IFS(K608&gt;650,"LOW",K608&gt;=550,"MEDIUM",K608&lt;550,"HIGH")</f>
        <v>LOW</v>
      </c>
    </row>
    <row r="609" spans="3:28" x14ac:dyDescent="0.3">
      <c r="C609" s="35" t="s">
        <v>3057</v>
      </c>
      <c r="D609" s="1" t="s">
        <v>847</v>
      </c>
      <c r="E609" s="1">
        <v>24</v>
      </c>
      <c r="F609" s="1" t="s">
        <v>44</v>
      </c>
      <c r="G609" s="1" t="s">
        <v>35</v>
      </c>
      <c r="H609" s="1" t="s">
        <v>61</v>
      </c>
      <c r="I609" s="1" t="s">
        <v>57</v>
      </c>
      <c r="J609" s="7">
        <v>117170</v>
      </c>
      <c r="K609" s="1">
        <v>686</v>
      </c>
      <c r="L609" s="7">
        <v>37649</v>
      </c>
      <c r="M609" s="1">
        <v>48</v>
      </c>
      <c r="N609" s="6">
        <v>0.15509999999999999</v>
      </c>
      <c r="O609" s="1" t="s">
        <v>5</v>
      </c>
      <c r="P609" s="1" t="s">
        <v>50</v>
      </c>
      <c r="Q609" s="1">
        <v>29</v>
      </c>
      <c r="R609" s="1">
        <v>1</v>
      </c>
      <c r="S609" s="1" t="s">
        <v>31</v>
      </c>
      <c r="T609" s="1" t="s">
        <v>31</v>
      </c>
      <c r="U609" s="1">
        <v>3</v>
      </c>
      <c r="V609" s="1">
        <v>190581</v>
      </c>
      <c r="W609" s="7">
        <v>1700.49</v>
      </c>
      <c r="X609" s="1">
        <v>0.27</v>
      </c>
      <c r="Y609" s="4">
        <v>45733</v>
      </c>
      <c r="Z609" s="1" t="s">
        <v>38</v>
      </c>
      <c r="AA609" s="1" t="s">
        <v>33</v>
      </c>
      <c r="AB609" s="36" t="str" cm="1">
        <f t="array" ref="AB609">_xlfn.IFS(K609&gt;650,"LOW",K609&gt;=550,"MEDIUM",K609&lt;550,"HIGH")</f>
        <v>LOW</v>
      </c>
    </row>
    <row r="610" spans="3:28" x14ac:dyDescent="0.3">
      <c r="C610" s="35" t="s">
        <v>3100</v>
      </c>
      <c r="D610" s="1" t="s">
        <v>1125</v>
      </c>
      <c r="E610" s="1">
        <v>60</v>
      </c>
      <c r="F610" s="1" t="s">
        <v>44</v>
      </c>
      <c r="G610" s="1" t="s">
        <v>56</v>
      </c>
      <c r="H610" s="1" t="s">
        <v>61</v>
      </c>
      <c r="I610" s="1" t="s">
        <v>57</v>
      </c>
      <c r="J610" s="7">
        <v>117247</v>
      </c>
      <c r="K610" s="1">
        <v>686</v>
      </c>
      <c r="L610" s="7">
        <v>47253</v>
      </c>
      <c r="M610" s="1">
        <v>48</v>
      </c>
      <c r="N610" s="6">
        <v>0.16719999999999999</v>
      </c>
      <c r="O610" s="1" t="s">
        <v>52</v>
      </c>
      <c r="P610" s="1" t="s">
        <v>50</v>
      </c>
      <c r="Q610" s="1">
        <v>14</v>
      </c>
      <c r="R610" s="1">
        <v>1</v>
      </c>
      <c r="S610" s="1" t="s">
        <v>33</v>
      </c>
      <c r="T610" s="1" t="s">
        <v>33</v>
      </c>
      <c r="U610" s="1">
        <v>1</v>
      </c>
      <c r="V610" s="1">
        <v>132915</v>
      </c>
      <c r="W610" s="7">
        <v>1751.84</v>
      </c>
      <c r="X610" s="1">
        <v>0.66</v>
      </c>
      <c r="Y610" s="4">
        <v>45236</v>
      </c>
      <c r="Z610" s="1" t="s">
        <v>32</v>
      </c>
      <c r="AA610" s="1" t="s">
        <v>31</v>
      </c>
      <c r="AB610" s="36" t="str" cm="1">
        <f t="array" ref="AB610">_xlfn.IFS(K610&gt;650,"LOW",K610&gt;=550,"MEDIUM",K610&lt;550,"HIGH")</f>
        <v>LOW</v>
      </c>
    </row>
    <row r="611" spans="3:28" x14ac:dyDescent="0.3">
      <c r="C611" s="35" t="s">
        <v>3129</v>
      </c>
      <c r="D611" s="1" t="s">
        <v>1154</v>
      </c>
      <c r="E611" s="1">
        <v>54</v>
      </c>
      <c r="F611" s="1" t="s">
        <v>26</v>
      </c>
      <c r="G611" s="1" t="s">
        <v>35</v>
      </c>
      <c r="H611" s="1" t="s">
        <v>36</v>
      </c>
      <c r="I611" s="1" t="s">
        <v>59</v>
      </c>
      <c r="J611" s="7">
        <v>99622</v>
      </c>
      <c r="K611" s="1">
        <v>686</v>
      </c>
      <c r="L611" s="7">
        <v>17363</v>
      </c>
      <c r="M611" s="1">
        <v>60</v>
      </c>
      <c r="N611" s="6">
        <v>6.4100000000000004E-2</v>
      </c>
      <c r="O611" s="1" t="s">
        <v>37</v>
      </c>
      <c r="P611" s="1" t="s">
        <v>30</v>
      </c>
      <c r="Q611" s="1">
        <v>14</v>
      </c>
      <c r="R611" s="1">
        <v>4</v>
      </c>
      <c r="S611" s="1" t="s">
        <v>31</v>
      </c>
      <c r="T611" s="1" t="s">
        <v>33</v>
      </c>
      <c r="U611" s="1">
        <v>4</v>
      </c>
      <c r="V611" s="1">
        <v>127441</v>
      </c>
      <c r="W611" s="7">
        <v>980.2</v>
      </c>
      <c r="X611" s="1">
        <v>0.39</v>
      </c>
      <c r="Y611" s="4">
        <v>45528</v>
      </c>
      <c r="Z611" s="1" t="s">
        <v>38</v>
      </c>
      <c r="AA611" s="1" t="s">
        <v>31</v>
      </c>
      <c r="AB611" s="36" t="str" cm="1">
        <f t="array" ref="AB611">_xlfn.IFS(K611&gt;650,"LOW",K611&gt;=550,"MEDIUM",K611&lt;550,"HIGH")</f>
        <v>LOW</v>
      </c>
    </row>
    <row r="612" spans="3:28" x14ac:dyDescent="0.3">
      <c r="C612" s="35" t="s">
        <v>3182</v>
      </c>
      <c r="D612" s="1" t="s">
        <v>1206</v>
      </c>
      <c r="E612" s="1">
        <v>52</v>
      </c>
      <c r="F612" s="1" t="s">
        <v>44</v>
      </c>
      <c r="G612" s="1" t="s">
        <v>56</v>
      </c>
      <c r="H612" s="1" t="s">
        <v>36</v>
      </c>
      <c r="I612" s="1" t="s">
        <v>29</v>
      </c>
      <c r="J612" s="7">
        <v>28804</v>
      </c>
      <c r="K612" s="1">
        <v>686</v>
      </c>
      <c r="L612" s="7">
        <v>23574</v>
      </c>
      <c r="M612" s="1">
        <v>36</v>
      </c>
      <c r="N612" s="6">
        <v>0.1699</v>
      </c>
      <c r="O612" s="1" t="s">
        <v>5</v>
      </c>
      <c r="P612" s="1" t="s">
        <v>47</v>
      </c>
      <c r="Q612" s="1">
        <v>19</v>
      </c>
      <c r="R612" s="1">
        <v>4</v>
      </c>
      <c r="S612" s="1" t="s">
        <v>31</v>
      </c>
      <c r="T612" s="1" t="s">
        <v>31</v>
      </c>
      <c r="U612" s="1">
        <v>4</v>
      </c>
      <c r="V612" s="1">
        <v>63105</v>
      </c>
      <c r="W612" s="7">
        <v>1715.22</v>
      </c>
      <c r="X612" s="1">
        <v>0.79</v>
      </c>
      <c r="Y612" s="4">
        <v>45593</v>
      </c>
      <c r="Z612" s="1" t="s">
        <v>38</v>
      </c>
      <c r="AA612" s="1" t="s">
        <v>33</v>
      </c>
      <c r="AB612" s="36" t="str" cm="1">
        <f t="array" ref="AB612">_xlfn.IFS(K612&gt;650,"LOW",K612&gt;=550,"MEDIUM",K612&lt;550,"HIGH")</f>
        <v>LOW</v>
      </c>
    </row>
    <row r="613" spans="3:28" x14ac:dyDescent="0.3">
      <c r="C613" s="35" t="s">
        <v>2174</v>
      </c>
      <c r="D613" s="1" t="s">
        <v>205</v>
      </c>
      <c r="E613" s="1">
        <v>48</v>
      </c>
      <c r="F613" s="1" t="s">
        <v>44</v>
      </c>
      <c r="G613" s="1" t="s">
        <v>56</v>
      </c>
      <c r="H613" s="1" t="s">
        <v>54</v>
      </c>
      <c r="I613" s="1" t="s">
        <v>59</v>
      </c>
      <c r="J613" s="7">
        <v>103848</v>
      </c>
      <c r="K613" s="1">
        <v>685</v>
      </c>
      <c r="L613" s="7">
        <v>17360</v>
      </c>
      <c r="M613" s="1">
        <v>24</v>
      </c>
      <c r="N613" s="6">
        <v>0.13200000000000001</v>
      </c>
      <c r="O613" s="1" t="s">
        <v>41</v>
      </c>
      <c r="P613" s="1" t="s">
        <v>30</v>
      </c>
      <c r="Q613" s="1">
        <v>26</v>
      </c>
      <c r="R613" s="1">
        <v>0</v>
      </c>
      <c r="S613" s="1" t="s">
        <v>31</v>
      </c>
      <c r="T613" s="1" t="s">
        <v>31</v>
      </c>
      <c r="U613" s="1">
        <v>3</v>
      </c>
      <c r="V613" s="1">
        <v>89169</v>
      </c>
      <c r="W613" s="7">
        <v>688.49</v>
      </c>
      <c r="X613" s="1">
        <v>0.91</v>
      </c>
      <c r="Y613" s="4">
        <v>45521</v>
      </c>
      <c r="Z613" s="1" t="s">
        <v>32</v>
      </c>
      <c r="AA613" s="1" t="s">
        <v>33</v>
      </c>
      <c r="AB613" s="36" t="str" cm="1">
        <f t="array" ref="AB613">_xlfn.IFS(K613&gt;650,"LOW",K613&gt;=550,"MEDIUM",K613&lt;550,"HIGH")</f>
        <v>LOW</v>
      </c>
    </row>
    <row r="614" spans="3:28" x14ac:dyDescent="0.3">
      <c r="C614" s="35" t="s">
        <v>2619</v>
      </c>
      <c r="D614" s="1" t="s">
        <v>649</v>
      </c>
      <c r="E614" s="1">
        <v>30</v>
      </c>
      <c r="F614" s="1" t="s">
        <v>26</v>
      </c>
      <c r="G614" s="1" t="s">
        <v>35</v>
      </c>
      <c r="H614" s="1" t="s">
        <v>54</v>
      </c>
      <c r="I614" s="1" t="s">
        <v>40</v>
      </c>
      <c r="J614" s="7">
        <v>85522</v>
      </c>
      <c r="K614" s="1">
        <v>685</v>
      </c>
      <c r="L614" s="7">
        <v>49348</v>
      </c>
      <c r="M614" s="1">
        <v>24</v>
      </c>
      <c r="N614" s="6">
        <v>0.13589999999999999</v>
      </c>
      <c r="O614" s="1" t="s">
        <v>63</v>
      </c>
      <c r="P614" s="1" t="s">
        <v>50</v>
      </c>
      <c r="Q614" s="1">
        <v>13</v>
      </c>
      <c r="R614" s="1">
        <v>2</v>
      </c>
      <c r="S614" s="1" t="s">
        <v>31</v>
      </c>
      <c r="T614" s="1" t="s">
        <v>31</v>
      </c>
      <c r="U614" s="1">
        <v>1</v>
      </c>
      <c r="V614" s="1">
        <v>149980</v>
      </c>
      <c r="W614" s="7">
        <v>625.82000000000005</v>
      </c>
      <c r="X614" s="1">
        <v>0.68</v>
      </c>
      <c r="Y614" s="4">
        <v>45345</v>
      </c>
      <c r="Z614" s="1" t="s">
        <v>38</v>
      </c>
      <c r="AA614" s="1" t="s">
        <v>33</v>
      </c>
      <c r="AB614" s="36" t="str" cm="1">
        <f t="array" ref="AB614">_xlfn.IFS(K614&gt;650,"LOW",K614&gt;=550,"MEDIUM",K614&lt;550,"HIGH")</f>
        <v>LOW</v>
      </c>
    </row>
    <row r="615" spans="3:28" x14ac:dyDescent="0.3">
      <c r="C615" s="35" t="s">
        <v>2235</v>
      </c>
      <c r="D615" s="1" t="s">
        <v>266</v>
      </c>
      <c r="E615" s="1">
        <v>25</v>
      </c>
      <c r="F615" s="1" t="s">
        <v>44</v>
      </c>
      <c r="G615" s="1" t="s">
        <v>35</v>
      </c>
      <c r="H615" s="1" t="s">
        <v>61</v>
      </c>
      <c r="I615" s="1" t="s">
        <v>29</v>
      </c>
      <c r="J615" s="7">
        <v>20229</v>
      </c>
      <c r="K615" s="1">
        <v>684</v>
      </c>
      <c r="L615" s="7">
        <v>8971</v>
      </c>
      <c r="M615" s="1">
        <v>12</v>
      </c>
      <c r="N615" s="6">
        <v>8.8599999999999998E-2</v>
      </c>
      <c r="O615" s="1" t="s">
        <v>52</v>
      </c>
      <c r="P615" s="1" t="s">
        <v>30</v>
      </c>
      <c r="Q615" s="1">
        <v>1</v>
      </c>
      <c r="R615" s="1">
        <v>1</v>
      </c>
      <c r="S615" s="1" t="s">
        <v>33</v>
      </c>
      <c r="T615" s="1" t="s">
        <v>33</v>
      </c>
      <c r="U615" s="1">
        <v>0</v>
      </c>
      <c r="V615" s="1">
        <v>126230</v>
      </c>
      <c r="W615" s="7">
        <v>454.89</v>
      </c>
      <c r="X615" s="1">
        <v>0.47</v>
      </c>
      <c r="Y615" s="4">
        <v>45614</v>
      </c>
      <c r="Z615" s="1" t="s">
        <v>38</v>
      </c>
      <c r="AA615" s="1" t="s">
        <v>33</v>
      </c>
      <c r="AB615" s="36" t="str" cm="1">
        <f t="array" ref="AB615">_xlfn.IFS(K615&gt;650,"LOW",K615&gt;=550,"MEDIUM",K615&lt;550,"HIGH")</f>
        <v>LOW</v>
      </c>
    </row>
    <row r="616" spans="3:28" x14ac:dyDescent="0.3">
      <c r="C616" s="35" t="s">
        <v>2840</v>
      </c>
      <c r="D616" s="1" t="s">
        <v>868</v>
      </c>
      <c r="E616" s="1">
        <v>42</v>
      </c>
      <c r="F616" s="1" t="s">
        <v>26</v>
      </c>
      <c r="G616" s="1" t="s">
        <v>35</v>
      </c>
      <c r="H616" s="1" t="s">
        <v>61</v>
      </c>
      <c r="I616" s="1" t="s">
        <v>29</v>
      </c>
      <c r="J616" s="7">
        <v>135783</v>
      </c>
      <c r="K616" s="1">
        <v>684</v>
      </c>
      <c r="L616" s="7">
        <v>28453</v>
      </c>
      <c r="M616" s="1">
        <v>24</v>
      </c>
      <c r="N616" s="6">
        <v>0.1963</v>
      </c>
      <c r="O616" s="1" t="s">
        <v>5</v>
      </c>
      <c r="P616" s="1" t="s">
        <v>30</v>
      </c>
      <c r="Q616" s="1">
        <v>9</v>
      </c>
      <c r="R616" s="1">
        <v>0</v>
      </c>
      <c r="S616" s="1" t="s">
        <v>31</v>
      </c>
      <c r="T616" s="1" t="s">
        <v>31</v>
      </c>
      <c r="U616" s="1">
        <v>4</v>
      </c>
      <c r="V616" s="1">
        <v>162326</v>
      </c>
      <c r="W616" s="7">
        <v>861.39</v>
      </c>
      <c r="X616" s="1">
        <v>0.74</v>
      </c>
      <c r="Y616" s="4">
        <v>45576</v>
      </c>
      <c r="Z616" s="1" t="s">
        <v>38</v>
      </c>
      <c r="AA616" s="1" t="s">
        <v>33</v>
      </c>
      <c r="AB616" s="36" t="str" cm="1">
        <f t="array" ref="AB616">_xlfn.IFS(K616&gt;650,"LOW",K616&gt;=550,"MEDIUM",K616&lt;550,"HIGH")</f>
        <v>LOW</v>
      </c>
    </row>
    <row r="617" spans="3:28" x14ac:dyDescent="0.3">
      <c r="C617" s="35" t="s">
        <v>2122</v>
      </c>
      <c r="D617" s="1" t="s">
        <v>153</v>
      </c>
      <c r="E617" s="1">
        <v>62</v>
      </c>
      <c r="F617" s="1" t="s">
        <v>44</v>
      </c>
      <c r="G617" s="1" t="s">
        <v>35</v>
      </c>
      <c r="H617" s="1" t="s">
        <v>54</v>
      </c>
      <c r="I617" s="1" t="s">
        <v>59</v>
      </c>
      <c r="J617" s="7">
        <v>50286</v>
      </c>
      <c r="K617" s="1">
        <v>683</v>
      </c>
      <c r="L617" s="7">
        <v>36367</v>
      </c>
      <c r="M617" s="1">
        <v>36</v>
      </c>
      <c r="N617" s="6">
        <v>0.15130000000000002</v>
      </c>
      <c r="O617" s="1" t="s">
        <v>52</v>
      </c>
      <c r="P617" s="1" t="s">
        <v>47</v>
      </c>
      <c r="Q617" s="1">
        <v>26</v>
      </c>
      <c r="R617" s="1">
        <v>1</v>
      </c>
      <c r="S617" s="1" t="s">
        <v>31</v>
      </c>
      <c r="T617" s="1" t="s">
        <v>33</v>
      </c>
      <c r="U617" s="1">
        <v>1</v>
      </c>
      <c r="V617" s="1">
        <v>159506</v>
      </c>
      <c r="W617" s="7">
        <v>1374.35</v>
      </c>
      <c r="X617" s="1">
        <v>0.8</v>
      </c>
      <c r="Y617" s="4">
        <v>44648</v>
      </c>
      <c r="Z617" s="1" t="s">
        <v>32</v>
      </c>
      <c r="AA617" s="1" t="s">
        <v>33</v>
      </c>
      <c r="AB617" s="36" t="str" cm="1">
        <f t="array" ref="AB617">_xlfn.IFS(K617&gt;650,"LOW",K617&gt;=550,"MEDIUM",K617&lt;550,"HIGH")</f>
        <v>LOW</v>
      </c>
    </row>
    <row r="618" spans="3:28" x14ac:dyDescent="0.3">
      <c r="C618" s="35" t="s">
        <v>2647</v>
      </c>
      <c r="D618" s="1" t="s">
        <v>677</v>
      </c>
      <c r="E618" s="1">
        <v>55</v>
      </c>
      <c r="F618" s="1" t="s">
        <v>26</v>
      </c>
      <c r="G618" s="1" t="s">
        <v>35</v>
      </c>
      <c r="H618" s="1" t="s">
        <v>28</v>
      </c>
      <c r="I618" s="1" t="s">
        <v>59</v>
      </c>
      <c r="J618" s="7">
        <v>42763</v>
      </c>
      <c r="K618" s="1">
        <v>683</v>
      </c>
      <c r="L618" s="7">
        <v>48042</v>
      </c>
      <c r="M618" s="1">
        <v>48</v>
      </c>
      <c r="N618" s="6">
        <v>0.18909999999999999</v>
      </c>
      <c r="O618" s="1" t="s">
        <v>41</v>
      </c>
      <c r="P618" s="1" t="s">
        <v>50</v>
      </c>
      <c r="Q618" s="1">
        <v>29</v>
      </c>
      <c r="R618" s="1">
        <v>2</v>
      </c>
      <c r="S618" s="1" t="s">
        <v>33</v>
      </c>
      <c r="T618" s="1" t="s">
        <v>33</v>
      </c>
      <c r="U618" s="1">
        <v>3</v>
      </c>
      <c r="V618" s="1">
        <v>65708</v>
      </c>
      <c r="W618" s="7">
        <v>155.16999999999999</v>
      </c>
      <c r="X618" s="1">
        <v>0.56999999999999995</v>
      </c>
      <c r="Y618" s="4">
        <v>44974</v>
      </c>
      <c r="Z618" s="1" t="s">
        <v>32</v>
      </c>
      <c r="AA618" s="1" t="s">
        <v>33</v>
      </c>
      <c r="AB618" s="36" t="str" cm="1">
        <f t="array" ref="AB618">_xlfn.IFS(K618&gt;650,"LOW",K618&gt;=550,"MEDIUM",K618&lt;550,"HIGH")</f>
        <v>LOW</v>
      </c>
    </row>
    <row r="619" spans="3:28" x14ac:dyDescent="0.3">
      <c r="C619" s="35" t="s">
        <v>2968</v>
      </c>
      <c r="D619" s="1" t="s">
        <v>996</v>
      </c>
      <c r="E619" s="1">
        <v>55</v>
      </c>
      <c r="F619" s="1" t="s">
        <v>26</v>
      </c>
      <c r="G619" s="1" t="s">
        <v>56</v>
      </c>
      <c r="H619" s="1" t="s">
        <v>61</v>
      </c>
      <c r="I619" s="1" t="s">
        <v>57</v>
      </c>
      <c r="J619" s="7">
        <v>48561</v>
      </c>
      <c r="K619" s="1">
        <v>683</v>
      </c>
      <c r="L619" s="7">
        <v>36079</v>
      </c>
      <c r="M619" s="1">
        <v>48</v>
      </c>
      <c r="N619" s="6">
        <v>6.93E-2</v>
      </c>
      <c r="O619" s="1" t="s">
        <v>46</v>
      </c>
      <c r="P619" s="1" t="s">
        <v>50</v>
      </c>
      <c r="Q619" s="1">
        <v>23</v>
      </c>
      <c r="R619" s="1">
        <v>0</v>
      </c>
      <c r="S619" s="1" t="s">
        <v>33</v>
      </c>
      <c r="T619" s="1" t="s">
        <v>31</v>
      </c>
      <c r="U619" s="1">
        <v>0</v>
      </c>
      <c r="V619" s="1">
        <v>144906</v>
      </c>
      <c r="W619" s="7">
        <v>1164.58</v>
      </c>
      <c r="X619" s="1">
        <v>0.68</v>
      </c>
      <c r="Y619" s="4">
        <v>44996</v>
      </c>
      <c r="Z619" s="1" t="s">
        <v>38</v>
      </c>
      <c r="AA619" s="1" t="s">
        <v>33</v>
      </c>
      <c r="AB619" s="36" t="str" cm="1">
        <f t="array" ref="AB619">_xlfn.IFS(K619&gt;650,"LOW",K619&gt;=550,"MEDIUM",K619&lt;550,"HIGH")</f>
        <v>LOW</v>
      </c>
    </row>
    <row r="620" spans="3:28" x14ac:dyDescent="0.3">
      <c r="C620" s="35" t="s">
        <v>3113</v>
      </c>
      <c r="D620" s="1" t="s">
        <v>1138</v>
      </c>
      <c r="E620" s="1">
        <v>35</v>
      </c>
      <c r="F620" s="1" t="s">
        <v>44</v>
      </c>
      <c r="G620" s="1" t="s">
        <v>56</v>
      </c>
      <c r="H620" s="1" t="s">
        <v>28</v>
      </c>
      <c r="I620" s="1" t="s">
        <v>29</v>
      </c>
      <c r="J620" s="7">
        <v>100378</v>
      </c>
      <c r="K620" s="1">
        <v>683</v>
      </c>
      <c r="L620" s="7">
        <v>21425</v>
      </c>
      <c r="M620" s="1">
        <v>12</v>
      </c>
      <c r="N620" s="6">
        <v>0.11460000000000001</v>
      </c>
      <c r="O620" s="1" t="s">
        <v>63</v>
      </c>
      <c r="P620" s="1" t="s">
        <v>47</v>
      </c>
      <c r="Q620" s="1">
        <v>7</v>
      </c>
      <c r="R620" s="1">
        <v>4</v>
      </c>
      <c r="S620" s="1" t="s">
        <v>33</v>
      </c>
      <c r="T620" s="1" t="s">
        <v>31</v>
      </c>
      <c r="U620" s="1">
        <v>1</v>
      </c>
      <c r="V620" s="1">
        <v>32150</v>
      </c>
      <c r="W620" s="7">
        <v>851.25</v>
      </c>
      <c r="X620" s="1">
        <v>0.14000000000000001</v>
      </c>
      <c r="Y620" s="4">
        <v>44893</v>
      </c>
      <c r="Z620" s="1" t="s">
        <v>32</v>
      </c>
      <c r="AA620" s="1" t="s">
        <v>33</v>
      </c>
      <c r="AB620" s="36" t="str" cm="1">
        <f t="array" ref="AB620">_xlfn.IFS(K620&gt;650,"LOW",K620&gt;=550,"MEDIUM",K620&lt;550,"HIGH")</f>
        <v>LOW</v>
      </c>
    </row>
    <row r="621" spans="3:28" x14ac:dyDescent="0.3">
      <c r="C621" s="35" t="s">
        <v>2860</v>
      </c>
      <c r="D621" s="1" t="s">
        <v>888</v>
      </c>
      <c r="E621" s="1">
        <v>48</v>
      </c>
      <c r="F621" s="1" t="s">
        <v>26</v>
      </c>
      <c r="G621" s="1" t="s">
        <v>27</v>
      </c>
      <c r="H621" s="1" t="s">
        <v>28</v>
      </c>
      <c r="I621" s="1" t="s">
        <v>40</v>
      </c>
      <c r="J621" s="7">
        <v>91318</v>
      </c>
      <c r="K621" s="1">
        <v>682</v>
      </c>
      <c r="L621" s="7">
        <v>33692</v>
      </c>
      <c r="M621" s="1">
        <v>12</v>
      </c>
      <c r="N621" s="6">
        <v>0.10039999999999999</v>
      </c>
      <c r="O621" s="1" t="s">
        <v>37</v>
      </c>
      <c r="P621" s="1" t="s">
        <v>30</v>
      </c>
      <c r="Q621" s="1">
        <v>25</v>
      </c>
      <c r="R621" s="1">
        <v>4</v>
      </c>
      <c r="S621" s="1" t="s">
        <v>33</v>
      </c>
      <c r="T621" s="1" t="s">
        <v>31</v>
      </c>
      <c r="U621" s="1">
        <v>1</v>
      </c>
      <c r="V621" s="1">
        <v>7649</v>
      </c>
      <c r="W621" s="7">
        <v>1328.81</v>
      </c>
      <c r="X621" s="1">
        <v>0.78</v>
      </c>
      <c r="Y621" s="4">
        <v>44175</v>
      </c>
      <c r="Z621" s="1" t="s">
        <v>32</v>
      </c>
      <c r="AA621" s="1" t="s">
        <v>33</v>
      </c>
      <c r="AB621" s="36" t="str" cm="1">
        <f t="array" ref="AB621">_xlfn.IFS(K621&gt;650,"LOW",K621&gt;=550,"MEDIUM",K621&lt;550,"HIGH")</f>
        <v>LOW</v>
      </c>
    </row>
    <row r="622" spans="3:28" x14ac:dyDescent="0.3">
      <c r="C622" s="35" t="s">
        <v>2920</v>
      </c>
      <c r="D622" s="1" t="s">
        <v>948</v>
      </c>
      <c r="E622" s="1">
        <v>50</v>
      </c>
      <c r="F622" s="1" t="s">
        <v>44</v>
      </c>
      <c r="G622" s="1" t="s">
        <v>27</v>
      </c>
      <c r="H622" s="1" t="s">
        <v>36</v>
      </c>
      <c r="I622" s="1" t="s">
        <v>57</v>
      </c>
      <c r="J622" s="7">
        <v>52463</v>
      </c>
      <c r="K622" s="1">
        <v>682</v>
      </c>
      <c r="L622" s="7">
        <v>33470</v>
      </c>
      <c r="M622" s="1">
        <v>48</v>
      </c>
      <c r="N622" s="6">
        <v>0.19789999999999999</v>
      </c>
      <c r="O622" s="1" t="s">
        <v>5</v>
      </c>
      <c r="P622" s="1" t="s">
        <v>47</v>
      </c>
      <c r="Q622" s="1">
        <v>11</v>
      </c>
      <c r="R622" s="1">
        <v>1</v>
      </c>
      <c r="S622" s="1" t="s">
        <v>31</v>
      </c>
      <c r="T622" s="1" t="s">
        <v>33</v>
      </c>
      <c r="U622" s="1">
        <v>3</v>
      </c>
      <c r="V622" s="1">
        <v>112421</v>
      </c>
      <c r="W622" s="7">
        <v>775.06</v>
      </c>
      <c r="X622" s="1">
        <v>0.4</v>
      </c>
      <c r="Y622" s="4">
        <v>44290</v>
      </c>
      <c r="Z622" s="1" t="s">
        <v>32</v>
      </c>
      <c r="AA622" s="1" t="s">
        <v>33</v>
      </c>
      <c r="AB622" s="36" t="str" cm="1">
        <f t="array" ref="AB622">_xlfn.IFS(K622&gt;650,"LOW",K622&gt;=550,"MEDIUM",K622&lt;550,"HIGH")</f>
        <v>LOW</v>
      </c>
    </row>
    <row r="623" spans="3:28" x14ac:dyDescent="0.3">
      <c r="C623" s="35" t="s">
        <v>3087</v>
      </c>
      <c r="D623" s="1" t="s">
        <v>1113</v>
      </c>
      <c r="E623" s="1">
        <v>32</v>
      </c>
      <c r="F623" s="1" t="s">
        <v>26</v>
      </c>
      <c r="G623" s="1" t="s">
        <v>27</v>
      </c>
      <c r="H623" s="1" t="s">
        <v>28</v>
      </c>
      <c r="I623" s="1" t="s">
        <v>40</v>
      </c>
      <c r="J623" s="7">
        <v>85747</v>
      </c>
      <c r="K623" s="1">
        <v>682</v>
      </c>
      <c r="L623" s="7">
        <v>4338</v>
      </c>
      <c r="M623" s="1">
        <v>24</v>
      </c>
      <c r="N623" s="6">
        <v>0.16870000000000002</v>
      </c>
      <c r="O623" s="1" t="s">
        <v>41</v>
      </c>
      <c r="P623" s="1" t="s">
        <v>47</v>
      </c>
      <c r="Q623" s="1">
        <v>24</v>
      </c>
      <c r="R623" s="1">
        <v>2</v>
      </c>
      <c r="S623" s="1" t="s">
        <v>33</v>
      </c>
      <c r="T623" s="1" t="s">
        <v>31</v>
      </c>
      <c r="U623" s="1">
        <v>0</v>
      </c>
      <c r="V623" s="1">
        <v>134802</v>
      </c>
      <c r="W623" s="7">
        <v>988.13</v>
      </c>
      <c r="X623" s="1">
        <v>0.62</v>
      </c>
      <c r="Y623" s="4">
        <v>45299</v>
      </c>
      <c r="Z623" s="1" t="s">
        <v>32</v>
      </c>
      <c r="AA623" s="1" t="s">
        <v>33</v>
      </c>
      <c r="AB623" s="36" t="str" cm="1">
        <f t="array" ref="AB623">_xlfn.IFS(K623&gt;650,"LOW",K623&gt;=550,"MEDIUM",K623&lt;550,"HIGH")</f>
        <v>LOW</v>
      </c>
    </row>
    <row r="624" spans="3:28" x14ac:dyDescent="0.3">
      <c r="C624" s="35" t="s">
        <v>2206</v>
      </c>
      <c r="D624" s="1" t="s">
        <v>237</v>
      </c>
      <c r="E624" s="1">
        <v>52</v>
      </c>
      <c r="F624" s="1" t="s">
        <v>26</v>
      </c>
      <c r="G624" s="1" t="s">
        <v>27</v>
      </c>
      <c r="H624" s="1" t="s">
        <v>61</v>
      </c>
      <c r="I624" s="1" t="s">
        <v>59</v>
      </c>
      <c r="J624" s="7">
        <v>57201</v>
      </c>
      <c r="K624" s="1">
        <v>681</v>
      </c>
      <c r="L624" s="7">
        <v>21598</v>
      </c>
      <c r="M624" s="1">
        <v>48</v>
      </c>
      <c r="N624" s="6">
        <v>0.17129999999999998</v>
      </c>
      <c r="O624" s="1" t="s">
        <v>5</v>
      </c>
      <c r="P624" s="1" t="s">
        <v>50</v>
      </c>
      <c r="Q624" s="1">
        <v>22</v>
      </c>
      <c r="R624" s="1">
        <v>1</v>
      </c>
      <c r="S624" s="1" t="s">
        <v>31</v>
      </c>
      <c r="T624" s="1" t="s">
        <v>31</v>
      </c>
      <c r="U624" s="1">
        <v>2</v>
      </c>
      <c r="V624" s="1">
        <v>115891</v>
      </c>
      <c r="W624" s="7">
        <v>1555.69</v>
      </c>
      <c r="X624" s="1">
        <v>0.81</v>
      </c>
      <c r="Y624" s="4">
        <v>44399</v>
      </c>
      <c r="Z624" s="1" t="s">
        <v>38</v>
      </c>
      <c r="AA624" s="1" t="s">
        <v>33</v>
      </c>
      <c r="AB624" s="36" t="str" cm="1">
        <f t="array" ref="AB624">_xlfn.IFS(K624&gt;650,"LOW",K624&gt;=550,"MEDIUM",K624&lt;550,"HIGH")</f>
        <v>LOW</v>
      </c>
    </row>
    <row r="625" spans="3:28" x14ac:dyDescent="0.3">
      <c r="C625" s="35" t="s">
        <v>2431</v>
      </c>
      <c r="D625" s="1" t="s">
        <v>461</v>
      </c>
      <c r="E625" s="1">
        <v>46</v>
      </c>
      <c r="F625" s="1" t="s">
        <v>26</v>
      </c>
      <c r="G625" s="1" t="s">
        <v>45</v>
      </c>
      <c r="H625" s="1" t="s">
        <v>36</v>
      </c>
      <c r="I625" s="1" t="s">
        <v>57</v>
      </c>
      <c r="J625" s="7">
        <v>59451</v>
      </c>
      <c r="K625" s="1">
        <v>681</v>
      </c>
      <c r="L625" s="7">
        <v>47622</v>
      </c>
      <c r="M625" s="1">
        <v>48</v>
      </c>
      <c r="N625" s="6">
        <v>0.1174</v>
      </c>
      <c r="O625" s="1" t="s">
        <v>37</v>
      </c>
      <c r="P625" s="1" t="s">
        <v>30</v>
      </c>
      <c r="Q625" s="1">
        <v>23</v>
      </c>
      <c r="R625" s="1">
        <v>3</v>
      </c>
      <c r="S625" s="1" t="s">
        <v>33</v>
      </c>
      <c r="T625" s="1" t="s">
        <v>33</v>
      </c>
      <c r="U625" s="1">
        <v>2</v>
      </c>
      <c r="V625" s="1">
        <v>189838</v>
      </c>
      <c r="W625" s="7">
        <v>1623.96</v>
      </c>
      <c r="X625" s="1">
        <v>0.97</v>
      </c>
      <c r="Y625" s="4">
        <v>45593</v>
      </c>
      <c r="Z625" s="1" t="s">
        <v>32</v>
      </c>
      <c r="AA625" s="1" t="s">
        <v>33</v>
      </c>
      <c r="AB625" s="36" t="str" cm="1">
        <f t="array" ref="AB625">_xlfn.IFS(K625&gt;650,"LOW",K625&gt;=550,"MEDIUM",K625&lt;550,"HIGH")</f>
        <v>LOW</v>
      </c>
    </row>
    <row r="626" spans="3:28" x14ac:dyDescent="0.3">
      <c r="C626" s="35" t="s">
        <v>2491</v>
      </c>
      <c r="D626" s="1" t="s">
        <v>521</v>
      </c>
      <c r="E626" s="1">
        <v>55</v>
      </c>
      <c r="F626" s="1" t="s">
        <v>44</v>
      </c>
      <c r="G626" s="1" t="s">
        <v>35</v>
      </c>
      <c r="H626" s="1" t="s">
        <v>61</v>
      </c>
      <c r="I626" s="1" t="s">
        <v>29</v>
      </c>
      <c r="J626" s="7">
        <v>58967</v>
      </c>
      <c r="K626" s="1">
        <v>681</v>
      </c>
      <c r="L626" s="7">
        <v>22353</v>
      </c>
      <c r="M626" s="1">
        <v>60</v>
      </c>
      <c r="N626" s="6">
        <v>0.16850000000000001</v>
      </c>
      <c r="O626" s="1" t="s">
        <v>63</v>
      </c>
      <c r="P626" s="1" t="s">
        <v>30</v>
      </c>
      <c r="Q626" s="1">
        <v>2</v>
      </c>
      <c r="R626" s="1">
        <v>3</v>
      </c>
      <c r="S626" s="1" t="s">
        <v>33</v>
      </c>
      <c r="T626" s="1" t="s">
        <v>31</v>
      </c>
      <c r="U626" s="1">
        <v>2</v>
      </c>
      <c r="V626" s="1">
        <v>56536</v>
      </c>
      <c r="W626" s="7">
        <v>963.36</v>
      </c>
      <c r="X626" s="1">
        <v>0.22</v>
      </c>
      <c r="Y626" s="4">
        <v>44580</v>
      </c>
      <c r="Z626" s="1" t="s">
        <v>38</v>
      </c>
      <c r="AA626" s="1" t="s">
        <v>33</v>
      </c>
      <c r="AB626" s="36" t="str" cm="1">
        <f t="array" ref="AB626">_xlfn.IFS(K626&gt;650,"LOW",K626&gt;=550,"MEDIUM",K626&lt;550,"HIGH")</f>
        <v>LOW</v>
      </c>
    </row>
    <row r="627" spans="3:28" x14ac:dyDescent="0.3">
      <c r="C627" s="35" t="s">
        <v>2732</v>
      </c>
      <c r="D627" s="1" t="s">
        <v>762</v>
      </c>
      <c r="E627" s="1">
        <v>21</v>
      </c>
      <c r="F627" s="1" t="s">
        <v>44</v>
      </c>
      <c r="G627" s="1" t="s">
        <v>56</v>
      </c>
      <c r="H627" s="1" t="s">
        <v>36</v>
      </c>
      <c r="I627" s="1" t="s">
        <v>59</v>
      </c>
      <c r="J627" s="7">
        <v>131041</v>
      </c>
      <c r="K627" s="1">
        <v>681</v>
      </c>
      <c r="L627" s="7">
        <v>2137</v>
      </c>
      <c r="M627" s="1">
        <v>24</v>
      </c>
      <c r="N627" s="6">
        <v>0.1018</v>
      </c>
      <c r="O627" s="1" t="s">
        <v>52</v>
      </c>
      <c r="P627" s="1" t="s">
        <v>50</v>
      </c>
      <c r="Q627" s="1">
        <v>26</v>
      </c>
      <c r="R627" s="1">
        <v>3</v>
      </c>
      <c r="S627" s="1" t="s">
        <v>33</v>
      </c>
      <c r="T627" s="1" t="s">
        <v>33</v>
      </c>
      <c r="U627" s="1">
        <v>2</v>
      </c>
      <c r="V627" s="1">
        <v>126845</v>
      </c>
      <c r="W627" s="7">
        <v>1839.6</v>
      </c>
      <c r="X627" s="1">
        <v>0.82</v>
      </c>
      <c r="Y627" s="4">
        <v>45362</v>
      </c>
      <c r="Z627" s="1" t="s">
        <v>32</v>
      </c>
      <c r="AA627" s="1" t="s">
        <v>33</v>
      </c>
      <c r="AB627" s="36" t="str" cm="1">
        <f t="array" ref="AB627">_xlfn.IFS(K627&gt;650,"LOW",K627&gt;=550,"MEDIUM",K627&lt;550,"HIGH")</f>
        <v>LOW</v>
      </c>
    </row>
    <row r="628" spans="3:28" x14ac:dyDescent="0.3">
      <c r="C628" s="35" t="s">
        <v>2900</v>
      </c>
      <c r="D628" s="1" t="s">
        <v>928</v>
      </c>
      <c r="E628" s="1">
        <v>31</v>
      </c>
      <c r="F628" s="1" t="s">
        <v>26</v>
      </c>
      <c r="G628" s="1" t="s">
        <v>45</v>
      </c>
      <c r="H628" s="1" t="s">
        <v>28</v>
      </c>
      <c r="I628" s="1" t="s">
        <v>29</v>
      </c>
      <c r="J628" s="7">
        <v>123883</v>
      </c>
      <c r="K628" s="1">
        <v>681</v>
      </c>
      <c r="L628" s="7">
        <v>31204</v>
      </c>
      <c r="M628" s="1">
        <v>36</v>
      </c>
      <c r="N628" s="6">
        <v>0.16109999999999999</v>
      </c>
      <c r="O628" s="1" t="s">
        <v>52</v>
      </c>
      <c r="P628" s="1" t="s">
        <v>30</v>
      </c>
      <c r="Q628" s="1">
        <v>14</v>
      </c>
      <c r="R628" s="1">
        <v>3</v>
      </c>
      <c r="S628" s="1" t="s">
        <v>33</v>
      </c>
      <c r="T628" s="1" t="s">
        <v>31</v>
      </c>
      <c r="U628" s="1">
        <v>0</v>
      </c>
      <c r="V628" s="1">
        <v>29227</v>
      </c>
      <c r="W628" s="7">
        <v>1531.35</v>
      </c>
      <c r="X628" s="1">
        <v>0.23</v>
      </c>
      <c r="Y628" s="4">
        <v>45250</v>
      </c>
      <c r="Z628" s="1" t="s">
        <v>32</v>
      </c>
      <c r="AA628" s="1" t="s">
        <v>33</v>
      </c>
      <c r="AB628" s="36" t="str" cm="1">
        <f t="array" ref="AB628">_xlfn.IFS(K628&gt;650,"LOW",K628&gt;=550,"MEDIUM",K628&lt;550,"HIGH")</f>
        <v>LOW</v>
      </c>
    </row>
    <row r="629" spans="3:28" x14ac:dyDescent="0.3">
      <c r="C629" s="35" t="s">
        <v>3440</v>
      </c>
      <c r="D629" s="1" t="s">
        <v>864</v>
      </c>
      <c r="E629" s="1">
        <v>52</v>
      </c>
      <c r="F629" s="1" t="s">
        <v>26</v>
      </c>
      <c r="G629" s="1" t="s">
        <v>27</v>
      </c>
      <c r="H629" s="1" t="s">
        <v>36</v>
      </c>
      <c r="I629" s="1" t="s">
        <v>57</v>
      </c>
      <c r="J629" s="7">
        <v>20555</v>
      </c>
      <c r="K629" s="1">
        <v>681</v>
      </c>
      <c r="L629" s="7">
        <v>7907</v>
      </c>
      <c r="M629" s="1">
        <v>60</v>
      </c>
      <c r="N629" s="6">
        <v>0.1648</v>
      </c>
      <c r="O629" s="1" t="s">
        <v>5</v>
      </c>
      <c r="P629" s="1" t="s">
        <v>30</v>
      </c>
      <c r="Q629" s="1">
        <v>1</v>
      </c>
      <c r="R629" s="1">
        <v>1</v>
      </c>
      <c r="S629" s="1" t="s">
        <v>33</v>
      </c>
      <c r="T629" s="1" t="s">
        <v>33</v>
      </c>
      <c r="U629" s="1">
        <v>2</v>
      </c>
      <c r="V629" s="1">
        <v>93159</v>
      </c>
      <c r="W629" s="7">
        <v>1082.95</v>
      </c>
      <c r="X629" s="1">
        <v>0.4</v>
      </c>
      <c r="Y629" s="4">
        <v>44613</v>
      </c>
      <c r="Z629" s="1" t="s">
        <v>38</v>
      </c>
      <c r="AA629" s="1" t="s">
        <v>33</v>
      </c>
      <c r="AB629" s="36" t="str" cm="1">
        <f t="array" ref="AB629">_xlfn.IFS(K629&gt;650,"LOW",K629&gt;=550,"MEDIUM",K629&lt;550,"HIGH")</f>
        <v>LOW</v>
      </c>
    </row>
    <row r="630" spans="3:28" x14ac:dyDescent="0.3">
      <c r="C630" s="35" t="s">
        <v>3939</v>
      </c>
      <c r="D630" s="1" t="s">
        <v>916</v>
      </c>
      <c r="E630" s="1">
        <v>57</v>
      </c>
      <c r="F630" s="1" t="s">
        <v>26</v>
      </c>
      <c r="G630" s="1" t="s">
        <v>56</v>
      </c>
      <c r="H630" s="1" t="s">
        <v>61</v>
      </c>
      <c r="I630" s="1" t="s">
        <v>59</v>
      </c>
      <c r="J630" s="7">
        <v>25153</v>
      </c>
      <c r="K630" s="1">
        <v>681</v>
      </c>
      <c r="L630" s="7">
        <v>46197</v>
      </c>
      <c r="M630" s="1">
        <v>12</v>
      </c>
      <c r="N630" s="6">
        <v>0.18239999999999998</v>
      </c>
      <c r="O630" s="1" t="s">
        <v>63</v>
      </c>
      <c r="P630" s="1" t="s">
        <v>50</v>
      </c>
      <c r="Q630" s="1">
        <v>15</v>
      </c>
      <c r="R630" s="1">
        <v>3</v>
      </c>
      <c r="S630" s="1" t="s">
        <v>31</v>
      </c>
      <c r="T630" s="1" t="s">
        <v>31</v>
      </c>
      <c r="U630" s="1">
        <v>0</v>
      </c>
      <c r="V630" s="1">
        <v>46972</v>
      </c>
      <c r="W630" s="7">
        <v>907.84</v>
      </c>
      <c r="X630" s="1">
        <v>0.8</v>
      </c>
      <c r="Y630" s="4">
        <v>45356</v>
      </c>
      <c r="Z630" s="1" t="s">
        <v>38</v>
      </c>
      <c r="AA630" s="1" t="s">
        <v>33</v>
      </c>
      <c r="AB630" s="36" t="str" cm="1">
        <f t="array" ref="AB630">_xlfn.IFS(K630&gt;650,"LOW",K630&gt;=550,"MEDIUM",K630&lt;550,"HIGH")</f>
        <v>LOW</v>
      </c>
    </row>
    <row r="631" spans="3:28" x14ac:dyDescent="0.3">
      <c r="C631" s="35" t="s">
        <v>2270</v>
      </c>
      <c r="D631" s="1" t="s">
        <v>301</v>
      </c>
      <c r="E631" s="1">
        <v>55</v>
      </c>
      <c r="F631" s="1" t="s">
        <v>44</v>
      </c>
      <c r="G631" s="1" t="s">
        <v>56</v>
      </c>
      <c r="H631" s="1" t="s">
        <v>54</v>
      </c>
      <c r="I631" s="1" t="s">
        <v>40</v>
      </c>
      <c r="J631" s="7">
        <v>132036</v>
      </c>
      <c r="K631" s="1">
        <v>680</v>
      </c>
      <c r="L631" s="7">
        <v>37724</v>
      </c>
      <c r="M631" s="1">
        <v>24</v>
      </c>
      <c r="N631" s="6">
        <v>0.15490000000000001</v>
      </c>
      <c r="O631" s="1" t="s">
        <v>41</v>
      </c>
      <c r="P631" s="1" t="s">
        <v>30</v>
      </c>
      <c r="Q631" s="1">
        <v>12</v>
      </c>
      <c r="R631" s="1">
        <v>4</v>
      </c>
      <c r="S631" s="1" t="s">
        <v>33</v>
      </c>
      <c r="T631" s="1" t="s">
        <v>31</v>
      </c>
      <c r="U631" s="1">
        <v>3</v>
      </c>
      <c r="V631" s="1">
        <v>120603</v>
      </c>
      <c r="W631" s="7">
        <v>812.8</v>
      </c>
      <c r="X631" s="1">
        <v>0.36</v>
      </c>
      <c r="Y631" s="4">
        <v>44273</v>
      </c>
      <c r="Z631" s="1" t="s">
        <v>38</v>
      </c>
      <c r="AA631" s="1" t="s">
        <v>33</v>
      </c>
      <c r="AB631" s="36" t="str" cm="1">
        <f t="array" ref="AB631">_xlfn.IFS(K631&gt;650,"LOW",K631&gt;=550,"MEDIUM",K631&lt;550,"HIGH")</f>
        <v>LOW</v>
      </c>
    </row>
    <row r="632" spans="3:28" x14ac:dyDescent="0.3">
      <c r="C632" s="35" t="s">
        <v>2476</v>
      </c>
      <c r="D632" s="1" t="s">
        <v>506</v>
      </c>
      <c r="E632" s="1">
        <v>39</v>
      </c>
      <c r="F632" s="1" t="s">
        <v>26</v>
      </c>
      <c r="G632" s="1" t="s">
        <v>45</v>
      </c>
      <c r="H632" s="1" t="s">
        <v>28</v>
      </c>
      <c r="I632" s="1" t="s">
        <v>29</v>
      </c>
      <c r="J632" s="7">
        <v>125473</v>
      </c>
      <c r="K632" s="1">
        <v>680</v>
      </c>
      <c r="L632" s="7">
        <v>49292</v>
      </c>
      <c r="M632" s="1">
        <v>36</v>
      </c>
      <c r="N632" s="6">
        <v>6.4699999999999994E-2</v>
      </c>
      <c r="O632" s="1" t="s">
        <v>46</v>
      </c>
      <c r="P632" s="1" t="s">
        <v>30</v>
      </c>
      <c r="Q632" s="1">
        <v>21</v>
      </c>
      <c r="R632" s="1">
        <v>1</v>
      </c>
      <c r="S632" s="1" t="s">
        <v>31</v>
      </c>
      <c r="T632" s="1" t="s">
        <v>33</v>
      </c>
      <c r="U632" s="1">
        <v>2</v>
      </c>
      <c r="V632" s="1">
        <v>160451</v>
      </c>
      <c r="W632" s="7">
        <v>345.04</v>
      </c>
      <c r="X632" s="1">
        <v>0.68</v>
      </c>
      <c r="Y632" s="4">
        <v>44630</v>
      </c>
      <c r="Z632" s="1" t="s">
        <v>38</v>
      </c>
      <c r="AA632" s="1" t="s">
        <v>33</v>
      </c>
      <c r="AB632" s="36" t="str" cm="1">
        <f t="array" ref="AB632">_xlfn.IFS(K632&gt;650,"LOW",K632&gt;=550,"MEDIUM",K632&lt;550,"HIGH")</f>
        <v>LOW</v>
      </c>
    </row>
    <row r="633" spans="3:28" x14ac:dyDescent="0.3">
      <c r="C633" s="35" t="s">
        <v>2694</v>
      </c>
      <c r="D633" s="1" t="s">
        <v>724</v>
      </c>
      <c r="E633" s="1">
        <v>30</v>
      </c>
      <c r="F633" s="1" t="s">
        <v>26</v>
      </c>
      <c r="G633" s="1" t="s">
        <v>45</v>
      </c>
      <c r="H633" s="1" t="s">
        <v>28</v>
      </c>
      <c r="I633" s="1" t="s">
        <v>29</v>
      </c>
      <c r="J633" s="7">
        <v>128895</v>
      </c>
      <c r="K633" s="1">
        <v>680</v>
      </c>
      <c r="L633" s="7">
        <v>45063</v>
      </c>
      <c r="M633" s="1">
        <v>24</v>
      </c>
      <c r="N633" s="6">
        <v>8.3900000000000002E-2</v>
      </c>
      <c r="O633" s="1" t="s">
        <v>41</v>
      </c>
      <c r="P633" s="1" t="s">
        <v>30</v>
      </c>
      <c r="Q633" s="1">
        <v>4</v>
      </c>
      <c r="R633" s="1">
        <v>1</v>
      </c>
      <c r="S633" s="1" t="s">
        <v>33</v>
      </c>
      <c r="T633" s="1" t="s">
        <v>31</v>
      </c>
      <c r="U633" s="1">
        <v>0</v>
      </c>
      <c r="V633" s="1">
        <v>30239</v>
      </c>
      <c r="W633" s="7">
        <v>1255.94</v>
      </c>
      <c r="X633" s="1">
        <v>0.56000000000000005</v>
      </c>
      <c r="Y633" s="4">
        <v>44860</v>
      </c>
      <c r="Z633" s="1" t="s">
        <v>32</v>
      </c>
      <c r="AA633" s="1" t="s">
        <v>31</v>
      </c>
      <c r="AB633" s="36" t="str" cm="1">
        <f t="array" ref="AB633">_xlfn.IFS(K633&gt;650,"LOW",K633&gt;=550,"MEDIUM",K633&lt;550,"HIGH")</f>
        <v>LOW</v>
      </c>
    </row>
    <row r="634" spans="3:28" x14ac:dyDescent="0.3">
      <c r="C634" s="35" t="s">
        <v>3144</v>
      </c>
      <c r="D634" s="1" t="s">
        <v>1169</v>
      </c>
      <c r="E634" s="1">
        <v>48</v>
      </c>
      <c r="F634" s="1" t="s">
        <v>26</v>
      </c>
      <c r="G634" s="1" t="s">
        <v>45</v>
      </c>
      <c r="H634" s="1" t="s">
        <v>61</v>
      </c>
      <c r="I634" s="1" t="s">
        <v>59</v>
      </c>
      <c r="J634" s="7">
        <v>45008</v>
      </c>
      <c r="K634" s="1">
        <v>680</v>
      </c>
      <c r="L634" s="7">
        <v>22545</v>
      </c>
      <c r="M634" s="1">
        <v>60</v>
      </c>
      <c r="N634" s="6">
        <v>8.7599999999999997E-2</v>
      </c>
      <c r="O634" s="1" t="s">
        <v>52</v>
      </c>
      <c r="P634" s="1" t="s">
        <v>47</v>
      </c>
      <c r="Q634" s="1">
        <v>24</v>
      </c>
      <c r="R634" s="1">
        <v>2</v>
      </c>
      <c r="S634" s="1" t="s">
        <v>33</v>
      </c>
      <c r="T634" s="1" t="s">
        <v>31</v>
      </c>
      <c r="U634" s="1">
        <v>1</v>
      </c>
      <c r="V634" s="1">
        <v>190114</v>
      </c>
      <c r="W634" s="7">
        <v>1280.08</v>
      </c>
      <c r="X634" s="1">
        <v>0.34</v>
      </c>
      <c r="Y634" s="4">
        <v>44059</v>
      </c>
      <c r="Z634" s="1" t="s">
        <v>32</v>
      </c>
      <c r="AA634" s="1" t="s">
        <v>31</v>
      </c>
      <c r="AB634" s="36" t="str" cm="1">
        <f t="array" ref="AB634">_xlfn.IFS(K634&gt;650,"LOW",K634&gt;=550,"MEDIUM",K634&lt;550,"HIGH")</f>
        <v>LOW</v>
      </c>
    </row>
    <row r="635" spans="3:28" x14ac:dyDescent="0.3">
      <c r="C635" s="35" t="s">
        <v>3390</v>
      </c>
      <c r="D635" s="1" t="s">
        <v>1410</v>
      </c>
      <c r="E635" s="1">
        <v>34</v>
      </c>
      <c r="F635" s="1" t="s">
        <v>26</v>
      </c>
      <c r="G635" s="1" t="s">
        <v>27</v>
      </c>
      <c r="H635" s="1" t="s">
        <v>36</v>
      </c>
      <c r="I635" s="1" t="s">
        <v>40</v>
      </c>
      <c r="J635" s="7">
        <v>40991</v>
      </c>
      <c r="K635" s="1">
        <v>680</v>
      </c>
      <c r="L635" s="7">
        <v>22380</v>
      </c>
      <c r="M635" s="1">
        <v>12</v>
      </c>
      <c r="N635" s="6">
        <v>0.159</v>
      </c>
      <c r="O635" s="1" t="s">
        <v>52</v>
      </c>
      <c r="P635" s="1" t="s">
        <v>50</v>
      </c>
      <c r="Q635" s="1">
        <v>15</v>
      </c>
      <c r="R635" s="1">
        <v>1</v>
      </c>
      <c r="S635" s="1" t="s">
        <v>33</v>
      </c>
      <c r="T635" s="1" t="s">
        <v>31</v>
      </c>
      <c r="U635" s="1">
        <v>3</v>
      </c>
      <c r="V635" s="1">
        <v>74772</v>
      </c>
      <c r="W635" s="7">
        <v>1486.32</v>
      </c>
      <c r="X635" s="1">
        <v>0.35</v>
      </c>
      <c r="Y635" s="4">
        <v>45772</v>
      </c>
      <c r="Z635" s="1" t="s">
        <v>32</v>
      </c>
      <c r="AA635" s="1" t="s">
        <v>31</v>
      </c>
      <c r="AB635" s="36" t="str" cm="1">
        <f t="array" ref="AB635">_xlfn.IFS(K635&gt;650,"LOW",K635&gt;=550,"MEDIUM",K635&lt;550,"HIGH")</f>
        <v>LOW</v>
      </c>
    </row>
    <row r="636" spans="3:28" x14ac:dyDescent="0.3">
      <c r="C636" s="35" t="s">
        <v>3461</v>
      </c>
      <c r="D636" s="1" t="s">
        <v>1479</v>
      </c>
      <c r="E636" s="1">
        <v>57</v>
      </c>
      <c r="F636" s="1" t="s">
        <v>26</v>
      </c>
      <c r="G636" s="1" t="s">
        <v>45</v>
      </c>
      <c r="H636" s="1" t="s">
        <v>36</v>
      </c>
      <c r="I636" s="1" t="s">
        <v>59</v>
      </c>
      <c r="J636" s="7">
        <v>27373</v>
      </c>
      <c r="K636" s="1">
        <v>680</v>
      </c>
      <c r="L636" s="7">
        <v>3994</v>
      </c>
      <c r="M636" s="1">
        <v>48</v>
      </c>
      <c r="N636" s="6">
        <v>0.19989999999999999</v>
      </c>
      <c r="O636" s="1" t="s">
        <v>52</v>
      </c>
      <c r="P636" s="1" t="s">
        <v>47</v>
      </c>
      <c r="Q636" s="1">
        <v>7</v>
      </c>
      <c r="R636" s="1">
        <v>4</v>
      </c>
      <c r="S636" s="1" t="s">
        <v>33</v>
      </c>
      <c r="T636" s="1" t="s">
        <v>31</v>
      </c>
      <c r="U636" s="1">
        <v>2</v>
      </c>
      <c r="V636" s="1">
        <v>191349</v>
      </c>
      <c r="W636" s="7">
        <v>1524.52</v>
      </c>
      <c r="X636" s="1">
        <v>0.12</v>
      </c>
      <c r="Y636" s="4">
        <v>44808</v>
      </c>
      <c r="Z636" s="1" t="s">
        <v>32</v>
      </c>
      <c r="AA636" s="1" t="s">
        <v>33</v>
      </c>
      <c r="AB636" s="36" t="str" cm="1">
        <f t="array" ref="AB636">_xlfn.IFS(K636&gt;650,"LOW",K636&gt;=550,"MEDIUM",K636&lt;550,"HIGH")</f>
        <v>LOW</v>
      </c>
    </row>
    <row r="637" spans="3:28" x14ac:dyDescent="0.3">
      <c r="C637" s="35" t="s">
        <v>3502</v>
      </c>
      <c r="D637" s="1" t="s">
        <v>1519</v>
      </c>
      <c r="E637" s="1">
        <v>44</v>
      </c>
      <c r="F637" s="1" t="s">
        <v>44</v>
      </c>
      <c r="G637" s="1" t="s">
        <v>45</v>
      </c>
      <c r="H637" s="1" t="s">
        <v>28</v>
      </c>
      <c r="I637" s="1" t="s">
        <v>40</v>
      </c>
      <c r="J637" s="7">
        <v>70539</v>
      </c>
      <c r="K637" s="1">
        <v>680</v>
      </c>
      <c r="L637" s="7">
        <v>3128</v>
      </c>
      <c r="M637" s="1">
        <v>12</v>
      </c>
      <c r="N637" s="6">
        <v>0.11</v>
      </c>
      <c r="O637" s="1" t="s">
        <v>41</v>
      </c>
      <c r="P637" s="1" t="s">
        <v>50</v>
      </c>
      <c r="Q637" s="1">
        <v>10</v>
      </c>
      <c r="R637" s="1">
        <v>4</v>
      </c>
      <c r="S637" s="1" t="s">
        <v>31</v>
      </c>
      <c r="T637" s="1" t="s">
        <v>33</v>
      </c>
      <c r="U637" s="1">
        <v>4</v>
      </c>
      <c r="V637" s="1">
        <v>190198</v>
      </c>
      <c r="W637" s="7">
        <v>1765.33</v>
      </c>
      <c r="X637" s="1">
        <v>0.47</v>
      </c>
      <c r="Y637" s="4">
        <v>45848</v>
      </c>
      <c r="Z637" s="1" t="s">
        <v>38</v>
      </c>
      <c r="AA637" s="1" t="s">
        <v>33</v>
      </c>
      <c r="AB637" s="36" t="str" cm="1">
        <f t="array" ref="AB637">_xlfn.IFS(K637&gt;650,"LOW",K637&gt;=550,"MEDIUM",K637&lt;550,"HIGH")</f>
        <v>LOW</v>
      </c>
    </row>
    <row r="638" spans="3:28" x14ac:dyDescent="0.3">
      <c r="C638" s="35" t="s">
        <v>3583</v>
      </c>
      <c r="D638" s="1" t="s">
        <v>1597</v>
      </c>
      <c r="E638" s="1">
        <v>38</v>
      </c>
      <c r="F638" s="1" t="s">
        <v>26</v>
      </c>
      <c r="G638" s="1" t="s">
        <v>45</v>
      </c>
      <c r="H638" s="1" t="s">
        <v>28</v>
      </c>
      <c r="I638" s="1" t="s">
        <v>59</v>
      </c>
      <c r="J638" s="7">
        <v>64252</v>
      </c>
      <c r="K638" s="1">
        <v>680</v>
      </c>
      <c r="L638" s="7">
        <v>18241</v>
      </c>
      <c r="M638" s="1">
        <v>24</v>
      </c>
      <c r="N638" s="6">
        <v>0.15429999999999999</v>
      </c>
      <c r="O638" s="1" t="s">
        <v>52</v>
      </c>
      <c r="P638" s="1" t="s">
        <v>50</v>
      </c>
      <c r="Q638" s="1">
        <v>26</v>
      </c>
      <c r="R638" s="1">
        <v>3</v>
      </c>
      <c r="S638" s="1" t="s">
        <v>33</v>
      </c>
      <c r="T638" s="1" t="s">
        <v>31</v>
      </c>
      <c r="U638" s="1">
        <v>1</v>
      </c>
      <c r="V638" s="1">
        <v>141591</v>
      </c>
      <c r="W638" s="7">
        <v>1524.06</v>
      </c>
      <c r="X638" s="1">
        <v>0.39</v>
      </c>
      <c r="Y638" s="4">
        <v>45149</v>
      </c>
      <c r="Z638" s="1" t="s">
        <v>32</v>
      </c>
      <c r="AA638" s="1" t="s">
        <v>33</v>
      </c>
      <c r="AB638" s="36" t="str" cm="1">
        <f t="array" ref="AB638">_xlfn.IFS(K638&gt;650,"LOW",K638&gt;=550,"MEDIUM",K638&lt;550,"HIGH")</f>
        <v>LOW</v>
      </c>
    </row>
    <row r="639" spans="3:28" x14ac:dyDescent="0.3">
      <c r="C639" s="35" t="s">
        <v>2329</v>
      </c>
      <c r="D639" s="1" t="s">
        <v>360</v>
      </c>
      <c r="E639" s="1">
        <v>41</v>
      </c>
      <c r="F639" s="1" t="s">
        <v>26</v>
      </c>
      <c r="G639" s="1" t="s">
        <v>27</v>
      </c>
      <c r="H639" s="1" t="s">
        <v>36</v>
      </c>
      <c r="I639" s="1" t="s">
        <v>40</v>
      </c>
      <c r="J639" s="7">
        <v>131957</v>
      </c>
      <c r="K639" s="1">
        <v>679</v>
      </c>
      <c r="L639" s="7">
        <v>1319</v>
      </c>
      <c r="M639" s="1">
        <v>60</v>
      </c>
      <c r="N639" s="6">
        <v>0.1797</v>
      </c>
      <c r="O639" s="1" t="s">
        <v>52</v>
      </c>
      <c r="P639" s="1" t="s">
        <v>47</v>
      </c>
      <c r="Q639" s="1">
        <v>20</v>
      </c>
      <c r="R639" s="1">
        <v>4</v>
      </c>
      <c r="S639" s="1" t="s">
        <v>31</v>
      </c>
      <c r="T639" s="1" t="s">
        <v>31</v>
      </c>
      <c r="U639" s="1">
        <v>0</v>
      </c>
      <c r="V639" s="1">
        <v>177887</v>
      </c>
      <c r="W639" s="7">
        <v>997.07</v>
      </c>
      <c r="X639" s="1">
        <v>0.94</v>
      </c>
      <c r="Y639" s="4">
        <v>44478</v>
      </c>
      <c r="Z639" s="1" t="s">
        <v>38</v>
      </c>
      <c r="AA639" s="1" t="s">
        <v>33</v>
      </c>
      <c r="AB639" s="36" t="str" cm="1">
        <f t="array" ref="AB639">_xlfn.IFS(K639&gt;650,"LOW",K639&gt;=550,"MEDIUM",K639&lt;550,"HIGH")</f>
        <v>LOW</v>
      </c>
    </row>
    <row r="640" spans="3:28" x14ac:dyDescent="0.3">
      <c r="C640" s="35" t="s">
        <v>2653</v>
      </c>
      <c r="D640" s="1" t="s">
        <v>683</v>
      </c>
      <c r="E640" s="1">
        <v>35</v>
      </c>
      <c r="F640" s="1" t="s">
        <v>26</v>
      </c>
      <c r="G640" s="1" t="s">
        <v>56</v>
      </c>
      <c r="H640" s="1" t="s">
        <v>61</v>
      </c>
      <c r="I640" s="1" t="s">
        <v>29</v>
      </c>
      <c r="J640" s="7">
        <v>141480</v>
      </c>
      <c r="K640" s="1">
        <v>679</v>
      </c>
      <c r="L640" s="7">
        <v>25278</v>
      </c>
      <c r="M640" s="1">
        <v>48</v>
      </c>
      <c r="N640" s="6">
        <v>8.9600000000000013E-2</v>
      </c>
      <c r="O640" s="1" t="s">
        <v>63</v>
      </c>
      <c r="P640" s="1" t="s">
        <v>47</v>
      </c>
      <c r="Q640" s="1">
        <v>5</v>
      </c>
      <c r="R640" s="1">
        <v>1</v>
      </c>
      <c r="S640" s="1" t="s">
        <v>31</v>
      </c>
      <c r="T640" s="1" t="s">
        <v>31</v>
      </c>
      <c r="U640" s="1">
        <v>4</v>
      </c>
      <c r="V640" s="1">
        <v>11621</v>
      </c>
      <c r="W640" s="7">
        <v>465.78</v>
      </c>
      <c r="X640" s="1">
        <v>0.76</v>
      </c>
      <c r="Y640" s="4">
        <v>44373</v>
      </c>
      <c r="Z640" s="1" t="s">
        <v>32</v>
      </c>
      <c r="AA640" s="1" t="s">
        <v>33</v>
      </c>
      <c r="AB640" s="36" t="str" cm="1">
        <f t="array" ref="AB640">_xlfn.IFS(K640&gt;650,"LOW",K640&gt;=550,"MEDIUM",K640&lt;550,"HIGH")</f>
        <v>LOW</v>
      </c>
    </row>
    <row r="641" spans="3:28" x14ac:dyDescent="0.3">
      <c r="C641" s="35" t="s">
        <v>2800</v>
      </c>
      <c r="D641" s="1" t="s">
        <v>828</v>
      </c>
      <c r="E641" s="1">
        <v>24</v>
      </c>
      <c r="F641" s="1" t="s">
        <v>26</v>
      </c>
      <c r="G641" s="1" t="s">
        <v>35</v>
      </c>
      <c r="H641" s="1" t="s">
        <v>54</v>
      </c>
      <c r="I641" s="1" t="s">
        <v>57</v>
      </c>
      <c r="J641" s="7">
        <v>59643</v>
      </c>
      <c r="K641" s="1">
        <v>679</v>
      </c>
      <c r="L641" s="7">
        <v>21282</v>
      </c>
      <c r="M641" s="1">
        <v>60</v>
      </c>
      <c r="N641" s="6">
        <v>0.17050000000000001</v>
      </c>
      <c r="O641" s="1" t="s">
        <v>5</v>
      </c>
      <c r="P641" s="1" t="s">
        <v>47</v>
      </c>
      <c r="Q641" s="1">
        <v>12</v>
      </c>
      <c r="R641" s="1">
        <v>1</v>
      </c>
      <c r="S641" s="1" t="s">
        <v>31</v>
      </c>
      <c r="T641" s="1" t="s">
        <v>31</v>
      </c>
      <c r="U641" s="1">
        <v>3</v>
      </c>
      <c r="V641" s="1">
        <v>117602</v>
      </c>
      <c r="W641" s="7">
        <v>318.93</v>
      </c>
      <c r="X641" s="1">
        <v>0.6</v>
      </c>
      <c r="Y641" s="4">
        <v>45188</v>
      </c>
      <c r="Z641" s="1" t="s">
        <v>32</v>
      </c>
      <c r="AA641" s="1" t="s">
        <v>33</v>
      </c>
      <c r="AB641" s="36" t="str" cm="1">
        <f t="array" ref="AB641">_xlfn.IFS(K641&gt;650,"LOW",K641&gt;=550,"MEDIUM",K641&lt;550,"HIGH")</f>
        <v>LOW</v>
      </c>
    </row>
    <row r="642" spans="3:28" x14ac:dyDescent="0.3">
      <c r="C642" s="35" t="s">
        <v>2382</v>
      </c>
      <c r="D642" s="1" t="s">
        <v>412</v>
      </c>
      <c r="E642" s="1">
        <v>45</v>
      </c>
      <c r="F642" s="1" t="s">
        <v>44</v>
      </c>
      <c r="G642" s="1" t="s">
        <v>56</v>
      </c>
      <c r="H642" s="1" t="s">
        <v>28</v>
      </c>
      <c r="I642" s="1" t="s">
        <v>40</v>
      </c>
      <c r="J642" s="7">
        <v>98972</v>
      </c>
      <c r="K642" s="1">
        <v>678</v>
      </c>
      <c r="L642" s="7">
        <v>44139</v>
      </c>
      <c r="M642" s="1">
        <v>36</v>
      </c>
      <c r="N642" s="6">
        <v>7.4299999999999991E-2</v>
      </c>
      <c r="O642" s="1" t="s">
        <v>37</v>
      </c>
      <c r="P642" s="1" t="s">
        <v>30</v>
      </c>
      <c r="Q642" s="1">
        <v>5</v>
      </c>
      <c r="R642" s="1">
        <v>4</v>
      </c>
      <c r="S642" s="1" t="s">
        <v>33</v>
      </c>
      <c r="T642" s="1" t="s">
        <v>33</v>
      </c>
      <c r="U642" s="1">
        <v>0</v>
      </c>
      <c r="V642" s="1">
        <v>7341</v>
      </c>
      <c r="W642" s="7">
        <v>1544.79</v>
      </c>
      <c r="X642" s="1">
        <v>0.5</v>
      </c>
      <c r="Y642" s="4">
        <v>45035</v>
      </c>
      <c r="Z642" s="1" t="s">
        <v>32</v>
      </c>
      <c r="AA642" s="1" t="s">
        <v>31</v>
      </c>
      <c r="AB642" s="36" t="str" cm="1">
        <f t="array" ref="AB642">_xlfn.IFS(K642&gt;650,"LOW",K642&gt;=550,"MEDIUM",K642&lt;550,"HIGH")</f>
        <v>LOW</v>
      </c>
    </row>
    <row r="643" spans="3:28" x14ac:dyDescent="0.3">
      <c r="C643" s="35" t="s">
        <v>2948</v>
      </c>
      <c r="D643" s="1" t="s">
        <v>976</v>
      </c>
      <c r="E643" s="1">
        <v>26</v>
      </c>
      <c r="F643" s="1" t="s">
        <v>44</v>
      </c>
      <c r="G643" s="1" t="s">
        <v>27</v>
      </c>
      <c r="H643" s="1" t="s">
        <v>28</v>
      </c>
      <c r="I643" s="1" t="s">
        <v>29</v>
      </c>
      <c r="J643" s="7">
        <v>138423</v>
      </c>
      <c r="K643" s="1">
        <v>678</v>
      </c>
      <c r="L643" s="7">
        <v>43161</v>
      </c>
      <c r="M643" s="1">
        <v>24</v>
      </c>
      <c r="N643" s="6">
        <v>0.182</v>
      </c>
      <c r="O643" s="1" t="s">
        <v>5</v>
      </c>
      <c r="P643" s="1" t="s">
        <v>30</v>
      </c>
      <c r="Q643" s="1">
        <v>28</v>
      </c>
      <c r="R643" s="1">
        <v>2</v>
      </c>
      <c r="S643" s="1" t="s">
        <v>33</v>
      </c>
      <c r="T643" s="1" t="s">
        <v>33</v>
      </c>
      <c r="U643" s="1">
        <v>1</v>
      </c>
      <c r="V643" s="1">
        <v>186171</v>
      </c>
      <c r="W643" s="7">
        <v>108.68</v>
      </c>
      <c r="X643" s="1">
        <v>0.88</v>
      </c>
      <c r="Y643" s="4">
        <v>45075</v>
      </c>
      <c r="Z643" s="1" t="s">
        <v>38</v>
      </c>
      <c r="AA643" s="1" t="s">
        <v>31</v>
      </c>
      <c r="AB643" s="36" t="str" cm="1">
        <f t="array" ref="AB643">_xlfn.IFS(K643&gt;650,"LOW",K643&gt;=550,"MEDIUM",K643&lt;550,"HIGH")</f>
        <v>LOW</v>
      </c>
    </row>
    <row r="644" spans="3:28" x14ac:dyDescent="0.3">
      <c r="C644" s="35" t="s">
        <v>3928</v>
      </c>
      <c r="D644" s="1" t="s">
        <v>1932</v>
      </c>
      <c r="E644" s="1">
        <v>40</v>
      </c>
      <c r="F644" s="1" t="s">
        <v>26</v>
      </c>
      <c r="G644" s="1" t="s">
        <v>56</v>
      </c>
      <c r="H644" s="1" t="s">
        <v>61</v>
      </c>
      <c r="I644" s="1" t="s">
        <v>59</v>
      </c>
      <c r="J644" s="7">
        <v>111428</v>
      </c>
      <c r="K644" s="1">
        <v>678</v>
      </c>
      <c r="L644" s="7">
        <v>12939</v>
      </c>
      <c r="M644" s="1">
        <v>36</v>
      </c>
      <c r="N644" s="6">
        <v>0.1736</v>
      </c>
      <c r="O644" s="1" t="s">
        <v>52</v>
      </c>
      <c r="P644" s="1" t="s">
        <v>30</v>
      </c>
      <c r="Q644" s="1">
        <v>7</v>
      </c>
      <c r="R644" s="1">
        <v>3</v>
      </c>
      <c r="S644" s="1" t="s">
        <v>33</v>
      </c>
      <c r="T644" s="1" t="s">
        <v>33</v>
      </c>
      <c r="U644" s="1">
        <v>3</v>
      </c>
      <c r="V644" s="1">
        <v>163297</v>
      </c>
      <c r="W644" s="7">
        <v>623.9</v>
      </c>
      <c r="X644" s="1">
        <v>0.93</v>
      </c>
      <c r="Y644" s="4">
        <v>44319</v>
      </c>
      <c r="Z644" s="1" t="s">
        <v>32</v>
      </c>
      <c r="AA644" s="1" t="s">
        <v>33</v>
      </c>
      <c r="AB644" s="36" t="str" cm="1">
        <f t="array" ref="AB644">_xlfn.IFS(K644&gt;650,"LOW",K644&gt;=550,"MEDIUM",K644&lt;550,"HIGH")</f>
        <v>LOW</v>
      </c>
    </row>
    <row r="645" spans="3:28" x14ac:dyDescent="0.3">
      <c r="C645" s="35" t="s">
        <v>2424</v>
      </c>
      <c r="D645" s="1" t="s">
        <v>454</v>
      </c>
      <c r="E645" s="1">
        <v>50</v>
      </c>
      <c r="F645" s="1" t="s">
        <v>44</v>
      </c>
      <c r="G645" s="1" t="s">
        <v>27</v>
      </c>
      <c r="H645" s="1" t="s">
        <v>61</v>
      </c>
      <c r="I645" s="1" t="s">
        <v>29</v>
      </c>
      <c r="J645" s="7">
        <v>121196</v>
      </c>
      <c r="K645" s="1">
        <v>677</v>
      </c>
      <c r="L645" s="7">
        <v>33009</v>
      </c>
      <c r="M645" s="1">
        <v>24</v>
      </c>
      <c r="N645" s="6">
        <v>0.14899999999999999</v>
      </c>
      <c r="O645" s="1" t="s">
        <v>46</v>
      </c>
      <c r="P645" s="1" t="s">
        <v>30</v>
      </c>
      <c r="Q645" s="1">
        <v>2</v>
      </c>
      <c r="R645" s="1">
        <v>4</v>
      </c>
      <c r="S645" s="1" t="s">
        <v>31</v>
      </c>
      <c r="T645" s="1" t="s">
        <v>31</v>
      </c>
      <c r="U645" s="1">
        <v>1</v>
      </c>
      <c r="V645" s="1">
        <v>162935</v>
      </c>
      <c r="W645" s="7">
        <v>461.43</v>
      </c>
      <c r="X645" s="1">
        <v>0.98</v>
      </c>
      <c r="Y645" s="4">
        <v>44638</v>
      </c>
      <c r="Z645" s="1" t="s">
        <v>38</v>
      </c>
      <c r="AA645" s="1" t="s">
        <v>31</v>
      </c>
      <c r="AB645" s="36" t="str" cm="1">
        <f t="array" ref="AB645">_xlfn.IFS(K645&gt;650,"LOW",K645&gt;=550,"MEDIUM",K645&lt;550,"HIGH")</f>
        <v>LOW</v>
      </c>
    </row>
    <row r="646" spans="3:28" x14ac:dyDescent="0.3">
      <c r="C646" s="35" t="s">
        <v>3768</v>
      </c>
      <c r="D646" s="1" t="s">
        <v>1775</v>
      </c>
      <c r="E646" s="1">
        <v>58</v>
      </c>
      <c r="F646" s="1" t="s">
        <v>44</v>
      </c>
      <c r="G646" s="1" t="s">
        <v>35</v>
      </c>
      <c r="H646" s="1" t="s">
        <v>54</v>
      </c>
      <c r="I646" s="1" t="s">
        <v>29</v>
      </c>
      <c r="J646" s="7">
        <v>91820</v>
      </c>
      <c r="K646" s="1">
        <v>677</v>
      </c>
      <c r="L646" s="7">
        <v>27171</v>
      </c>
      <c r="M646" s="1">
        <v>24</v>
      </c>
      <c r="N646" s="6">
        <v>0.1361</v>
      </c>
      <c r="O646" s="1" t="s">
        <v>52</v>
      </c>
      <c r="P646" s="1" t="s">
        <v>30</v>
      </c>
      <c r="Q646" s="1">
        <v>8</v>
      </c>
      <c r="R646" s="1">
        <v>3</v>
      </c>
      <c r="S646" s="1" t="s">
        <v>31</v>
      </c>
      <c r="T646" s="1" t="s">
        <v>31</v>
      </c>
      <c r="U646" s="1">
        <v>1</v>
      </c>
      <c r="V646" s="1">
        <v>102447</v>
      </c>
      <c r="W646" s="7">
        <v>869.97</v>
      </c>
      <c r="X646" s="1">
        <v>0.48</v>
      </c>
      <c r="Y646" s="4">
        <v>44814</v>
      </c>
      <c r="Z646" s="1" t="s">
        <v>38</v>
      </c>
      <c r="AA646" s="1" t="s">
        <v>31</v>
      </c>
      <c r="AB646" s="36" t="str" cm="1">
        <f t="array" ref="AB646">_xlfn.IFS(K646&gt;650,"LOW",K646&gt;=550,"MEDIUM",K646&lt;550,"HIGH")</f>
        <v>LOW</v>
      </c>
    </row>
    <row r="647" spans="3:28" x14ac:dyDescent="0.3">
      <c r="C647" s="35" t="s">
        <v>3843</v>
      </c>
      <c r="D647" s="1" t="s">
        <v>1849</v>
      </c>
      <c r="E647" s="1">
        <v>44</v>
      </c>
      <c r="F647" s="1" t="s">
        <v>44</v>
      </c>
      <c r="G647" s="1" t="s">
        <v>27</v>
      </c>
      <c r="H647" s="1" t="s">
        <v>28</v>
      </c>
      <c r="I647" s="1" t="s">
        <v>40</v>
      </c>
      <c r="J647" s="7">
        <v>129178</v>
      </c>
      <c r="K647" s="1">
        <v>677</v>
      </c>
      <c r="L647" s="7">
        <v>31121</v>
      </c>
      <c r="M647" s="1">
        <v>36</v>
      </c>
      <c r="N647" s="6">
        <v>8.3000000000000004E-2</v>
      </c>
      <c r="O647" s="1" t="s">
        <v>52</v>
      </c>
      <c r="P647" s="1" t="s">
        <v>50</v>
      </c>
      <c r="Q647" s="1">
        <v>28</v>
      </c>
      <c r="R647" s="1">
        <v>4</v>
      </c>
      <c r="S647" s="1" t="s">
        <v>33</v>
      </c>
      <c r="T647" s="1" t="s">
        <v>33</v>
      </c>
      <c r="U647" s="1">
        <v>0</v>
      </c>
      <c r="V647" s="1">
        <v>144836</v>
      </c>
      <c r="W647" s="7">
        <v>1828.1</v>
      </c>
      <c r="X647" s="1">
        <v>0.54</v>
      </c>
      <c r="Y647" s="4">
        <v>45574</v>
      </c>
      <c r="Z647" s="1" t="s">
        <v>32</v>
      </c>
      <c r="AA647" s="1" t="s">
        <v>33</v>
      </c>
      <c r="AB647" s="36" t="str" cm="1">
        <f t="array" ref="AB647">_xlfn.IFS(K647&gt;650,"LOW",K647&gt;=550,"MEDIUM",K647&lt;550,"HIGH")</f>
        <v>LOW</v>
      </c>
    </row>
    <row r="648" spans="3:28" x14ac:dyDescent="0.3">
      <c r="C648" s="35" t="s">
        <v>2121</v>
      </c>
      <c r="D648" s="1" t="s">
        <v>152</v>
      </c>
      <c r="E648" s="1">
        <v>25</v>
      </c>
      <c r="F648" s="1" t="s">
        <v>44</v>
      </c>
      <c r="G648" s="1" t="s">
        <v>45</v>
      </c>
      <c r="H648" s="1" t="s">
        <v>54</v>
      </c>
      <c r="I648" s="1" t="s">
        <v>40</v>
      </c>
      <c r="J648" s="7">
        <v>96425</v>
      </c>
      <c r="K648" s="1">
        <v>676</v>
      </c>
      <c r="L648" s="7">
        <v>45716</v>
      </c>
      <c r="M648" s="1">
        <v>48</v>
      </c>
      <c r="N648" s="6">
        <v>0.18340000000000001</v>
      </c>
      <c r="O648" s="1" t="s">
        <v>46</v>
      </c>
      <c r="P648" s="1" t="s">
        <v>30</v>
      </c>
      <c r="Q648" s="1">
        <v>29</v>
      </c>
      <c r="R648" s="1">
        <v>2</v>
      </c>
      <c r="S648" s="1" t="s">
        <v>31</v>
      </c>
      <c r="T648" s="1" t="s">
        <v>31</v>
      </c>
      <c r="U648" s="1">
        <v>0</v>
      </c>
      <c r="V648" s="1">
        <v>145771</v>
      </c>
      <c r="W648" s="7">
        <v>1905.13</v>
      </c>
      <c r="X648" s="1">
        <v>0.65</v>
      </c>
      <c r="Y648" s="4">
        <v>44757</v>
      </c>
      <c r="Z648" s="1" t="s">
        <v>38</v>
      </c>
      <c r="AA648" s="1" t="s">
        <v>33</v>
      </c>
      <c r="AB648" s="36" t="str" cm="1">
        <f t="array" ref="AB648">_xlfn.IFS(K648&gt;650,"LOW",K648&gt;=550,"MEDIUM",K648&lt;550,"HIGH")</f>
        <v>LOW</v>
      </c>
    </row>
    <row r="649" spans="3:28" x14ac:dyDescent="0.3">
      <c r="C649" s="35" t="s">
        <v>3206</v>
      </c>
      <c r="D649" s="1" t="s">
        <v>1230</v>
      </c>
      <c r="E649" s="1">
        <v>52</v>
      </c>
      <c r="F649" s="1" t="s">
        <v>44</v>
      </c>
      <c r="G649" s="1" t="s">
        <v>27</v>
      </c>
      <c r="H649" s="1" t="s">
        <v>36</v>
      </c>
      <c r="I649" s="1" t="s">
        <v>57</v>
      </c>
      <c r="J649" s="7">
        <v>86983</v>
      </c>
      <c r="K649" s="1">
        <v>676</v>
      </c>
      <c r="L649" s="7">
        <v>25945</v>
      </c>
      <c r="M649" s="1">
        <v>60</v>
      </c>
      <c r="N649" s="6">
        <v>0.1489</v>
      </c>
      <c r="O649" s="1" t="s">
        <v>46</v>
      </c>
      <c r="P649" s="1" t="s">
        <v>30</v>
      </c>
      <c r="Q649" s="1">
        <v>12</v>
      </c>
      <c r="R649" s="1">
        <v>1</v>
      </c>
      <c r="S649" s="1" t="s">
        <v>33</v>
      </c>
      <c r="T649" s="1" t="s">
        <v>33</v>
      </c>
      <c r="U649" s="1">
        <v>2</v>
      </c>
      <c r="V649" s="1">
        <v>101666</v>
      </c>
      <c r="W649" s="7">
        <v>176.01</v>
      </c>
      <c r="X649" s="1">
        <v>0.31</v>
      </c>
      <c r="Y649" s="4">
        <v>44677</v>
      </c>
      <c r="Z649" s="1" t="s">
        <v>32</v>
      </c>
      <c r="AA649" s="1" t="s">
        <v>33</v>
      </c>
      <c r="AB649" s="36" t="str" cm="1">
        <f t="array" ref="AB649">_xlfn.IFS(K649&gt;650,"LOW",K649&gt;=550,"MEDIUM",K649&lt;550,"HIGH")</f>
        <v>LOW</v>
      </c>
    </row>
    <row r="650" spans="3:28" x14ac:dyDescent="0.3">
      <c r="C650" s="35" t="s">
        <v>3411</v>
      </c>
      <c r="D650" s="1" t="s">
        <v>1431</v>
      </c>
      <c r="E650" s="1">
        <v>54</v>
      </c>
      <c r="F650" s="1" t="s">
        <v>26</v>
      </c>
      <c r="G650" s="1" t="s">
        <v>27</v>
      </c>
      <c r="H650" s="1" t="s">
        <v>54</v>
      </c>
      <c r="I650" s="1" t="s">
        <v>59</v>
      </c>
      <c r="J650" s="7">
        <v>38653</v>
      </c>
      <c r="K650" s="1">
        <v>676</v>
      </c>
      <c r="L650" s="7">
        <v>46301</v>
      </c>
      <c r="M650" s="1">
        <v>36</v>
      </c>
      <c r="N650" s="6">
        <v>7.9000000000000001E-2</v>
      </c>
      <c r="O650" s="1" t="s">
        <v>5</v>
      </c>
      <c r="P650" s="1" t="s">
        <v>50</v>
      </c>
      <c r="Q650" s="1">
        <v>12</v>
      </c>
      <c r="R650" s="1">
        <v>0</v>
      </c>
      <c r="S650" s="1" t="s">
        <v>33</v>
      </c>
      <c r="T650" s="1" t="s">
        <v>31</v>
      </c>
      <c r="U650" s="1">
        <v>2</v>
      </c>
      <c r="V650" s="1">
        <v>88387</v>
      </c>
      <c r="W650" s="7">
        <v>1585.15</v>
      </c>
      <c r="X650" s="1">
        <v>0.7</v>
      </c>
      <c r="Y650" s="4">
        <v>45405</v>
      </c>
      <c r="Z650" s="1" t="s">
        <v>32</v>
      </c>
      <c r="AA650" s="1" t="s">
        <v>33</v>
      </c>
      <c r="AB650" s="36" t="str" cm="1">
        <f t="array" ref="AB650">_xlfn.IFS(K650&gt;650,"LOW",K650&gt;=550,"MEDIUM",K650&lt;550,"HIGH")</f>
        <v>LOW</v>
      </c>
    </row>
    <row r="651" spans="3:28" x14ac:dyDescent="0.3">
      <c r="C651" s="35" t="s">
        <v>2194</v>
      </c>
      <c r="D651" s="1" t="s">
        <v>225</v>
      </c>
      <c r="E651" s="1">
        <v>59</v>
      </c>
      <c r="F651" s="1" t="s">
        <v>44</v>
      </c>
      <c r="G651" s="1" t="s">
        <v>35</v>
      </c>
      <c r="H651" s="1" t="s">
        <v>54</v>
      </c>
      <c r="I651" s="1" t="s">
        <v>40</v>
      </c>
      <c r="J651" s="7">
        <v>84922</v>
      </c>
      <c r="K651" s="1">
        <v>675</v>
      </c>
      <c r="L651" s="7">
        <v>45070</v>
      </c>
      <c r="M651" s="1">
        <v>60</v>
      </c>
      <c r="N651" s="6">
        <v>0.12359999999999999</v>
      </c>
      <c r="O651" s="1" t="s">
        <v>46</v>
      </c>
      <c r="P651" s="1" t="s">
        <v>50</v>
      </c>
      <c r="Q651" s="1">
        <v>9</v>
      </c>
      <c r="R651" s="1">
        <v>0</v>
      </c>
      <c r="S651" s="1" t="s">
        <v>33</v>
      </c>
      <c r="T651" s="1" t="s">
        <v>31</v>
      </c>
      <c r="U651" s="1">
        <v>1</v>
      </c>
      <c r="V651" s="1">
        <v>127600</v>
      </c>
      <c r="W651" s="7">
        <v>1496.84</v>
      </c>
      <c r="X651" s="1">
        <v>0.77</v>
      </c>
      <c r="Y651" s="4">
        <v>45184</v>
      </c>
      <c r="Z651" s="1" t="s">
        <v>32</v>
      </c>
      <c r="AA651" s="1" t="s">
        <v>33</v>
      </c>
      <c r="AB651" s="36" t="str" cm="1">
        <f t="array" ref="AB651">_xlfn.IFS(K651&gt;650,"LOW",K651&gt;=550,"MEDIUM",K651&lt;550,"HIGH")</f>
        <v>LOW</v>
      </c>
    </row>
    <row r="652" spans="3:28" x14ac:dyDescent="0.3">
      <c r="C652" s="35" t="s">
        <v>2240</v>
      </c>
      <c r="D652" s="1" t="s">
        <v>271</v>
      </c>
      <c r="E652" s="1">
        <v>36</v>
      </c>
      <c r="F652" s="1" t="s">
        <v>26</v>
      </c>
      <c r="G652" s="1" t="s">
        <v>35</v>
      </c>
      <c r="H652" s="1" t="s">
        <v>36</v>
      </c>
      <c r="I652" s="1" t="s">
        <v>40</v>
      </c>
      <c r="J652" s="7">
        <v>51819</v>
      </c>
      <c r="K652" s="1">
        <v>675</v>
      </c>
      <c r="L652" s="7">
        <v>39108</v>
      </c>
      <c r="M652" s="1">
        <v>36</v>
      </c>
      <c r="N652" s="6">
        <v>0.1555</v>
      </c>
      <c r="O652" s="1" t="s">
        <v>37</v>
      </c>
      <c r="P652" s="1" t="s">
        <v>47</v>
      </c>
      <c r="Q652" s="1">
        <v>1</v>
      </c>
      <c r="R652" s="1">
        <v>0</v>
      </c>
      <c r="S652" s="1" t="s">
        <v>31</v>
      </c>
      <c r="T652" s="1" t="s">
        <v>33</v>
      </c>
      <c r="U652" s="1">
        <v>4</v>
      </c>
      <c r="V652" s="1">
        <v>180174</v>
      </c>
      <c r="W652" s="7">
        <v>1198.81</v>
      </c>
      <c r="X652" s="1">
        <v>0.53</v>
      </c>
      <c r="Y652" s="4">
        <v>44738</v>
      </c>
      <c r="Z652" s="1" t="s">
        <v>32</v>
      </c>
      <c r="AA652" s="1" t="s">
        <v>31</v>
      </c>
      <c r="AB652" s="36" t="str" cm="1">
        <f t="array" ref="AB652">_xlfn.IFS(K652&gt;650,"LOW",K652&gt;=550,"MEDIUM",K652&lt;550,"HIGH")</f>
        <v>LOW</v>
      </c>
    </row>
    <row r="653" spans="3:28" x14ac:dyDescent="0.3">
      <c r="C653" s="35" t="s">
        <v>2558</v>
      </c>
      <c r="D653" s="1" t="s">
        <v>588</v>
      </c>
      <c r="E653" s="1">
        <v>39</v>
      </c>
      <c r="F653" s="1" t="s">
        <v>44</v>
      </c>
      <c r="G653" s="1" t="s">
        <v>27</v>
      </c>
      <c r="H653" s="1" t="s">
        <v>28</v>
      </c>
      <c r="I653" s="1" t="s">
        <v>40</v>
      </c>
      <c r="J653" s="7">
        <v>120846</v>
      </c>
      <c r="K653" s="1">
        <v>675</v>
      </c>
      <c r="L653" s="7">
        <v>47499</v>
      </c>
      <c r="M653" s="1">
        <v>60</v>
      </c>
      <c r="N653" s="6">
        <v>9.7699999999999995E-2</v>
      </c>
      <c r="O653" s="1" t="s">
        <v>41</v>
      </c>
      <c r="P653" s="1" t="s">
        <v>47</v>
      </c>
      <c r="Q653" s="1">
        <v>21</v>
      </c>
      <c r="R653" s="1">
        <v>0</v>
      </c>
      <c r="S653" s="1" t="s">
        <v>33</v>
      </c>
      <c r="T653" s="1" t="s">
        <v>33</v>
      </c>
      <c r="U653" s="1">
        <v>1</v>
      </c>
      <c r="V653" s="1">
        <v>190512</v>
      </c>
      <c r="W653" s="7">
        <v>535.54999999999995</v>
      </c>
      <c r="X653" s="1">
        <v>0.72</v>
      </c>
      <c r="Y653" s="4">
        <v>45359</v>
      </c>
      <c r="Z653" s="1" t="s">
        <v>32</v>
      </c>
      <c r="AA653" s="1" t="s">
        <v>33</v>
      </c>
      <c r="AB653" s="36" t="str" cm="1">
        <f t="array" ref="AB653">_xlfn.IFS(K653&gt;650,"LOW",K653&gt;=550,"MEDIUM",K653&lt;550,"HIGH")</f>
        <v>LOW</v>
      </c>
    </row>
    <row r="654" spans="3:28" x14ac:dyDescent="0.3">
      <c r="C654" s="35" t="s">
        <v>2753</v>
      </c>
      <c r="D654" s="1" t="s">
        <v>783</v>
      </c>
      <c r="E654" s="1">
        <v>43</v>
      </c>
      <c r="F654" s="1" t="s">
        <v>44</v>
      </c>
      <c r="G654" s="1" t="s">
        <v>27</v>
      </c>
      <c r="H654" s="1" t="s">
        <v>28</v>
      </c>
      <c r="I654" s="1" t="s">
        <v>29</v>
      </c>
      <c r="J654" s="7">
        <v>28733</v>
      </c>
      <c r="K654" s="1">
        <v>675</v>
      </c>
      <c r="L654" s="7">
        <v>26816</v>
      </c>
      <c r="M654" s="1">
        <v>12</v>
      </c>
      <c r="N654" s="6">
        <v>0.16289999999999999</v>
      </c>
      <c r="O654" s="1" t="s">
        <v>5</v>
      </c>
      <c r="P654" s="1" t="s">
        <v>30</v>
      </c>
      <c r="Q654" s="1">
        <v>26</v>
      </c>
      <c r="R654" s="1">
        <v>3</v>
      </c>
      <c r="S654" s="1" t="s">
        <v>31</v>
      </c>
      <c r="T654" s="1" t="s">
        <v>33</v>
      </c>
      <c r="U654" s="1">
        <v>3</v>
      </c>
      <c r="V654" s="1">
        <v>155196</v>
      </c>
      <c r="W654" s="7">
        <v>1834.4</v>
      </c>
      <c r="X654" s="1">
        <v>0.22</v>
      </c>
      <c r="Y654" s="4">
        <v>45380</v>
      </c>
      <c r="Z654" s="1" t="s">
        <v>32</v>
      </c>
      <c r="AA654" s="1" t="s">
        <v>33</v>
      </c>
      <c r="AB654" s="36" t="str" cm="1">
        <f t="array" ref="AB654">_xlfn.IFS(K654&gt;650,"LOW",K654&gt;=550,"MEDIUM",K654&lt;550,"HIGH")</f>
        <v>LOW</v>
      </c>
    </row>
    <row r="655" spans="3:28" x14ac:dyDescent="0.3">
      <c r="C655" s="35" t="s">
        <v>3777</v>
      </c>
      <c r="D655" s="1" t="s">
        <v>1784</v>
      </c>
      <c r="E655" s="1">
        <v>23</v>
      </c>
      <c r="F655" s="1" t="s">
        <v>26</v>
      </c>
      <c r="G655" s="1" t="s">
        <v>56</v>
      </c>
      <c r="H655" s="1" t="s">
        <v>36</v>
      </c>
      <c r="I655" s="1" t="s">
        <v>40</v>
      </c>
      <c r="J655" s="7">
        <v>37127</v>
      </c>
      <c r="K655" s="1">
        <v>675</v>
      </c>
      <c r="L655" s="7">
        <v>48889</v>
      </c>
      <c r="M655" s="1">
        <v>12</v>
      </c>
      <c r="N655" s="6">
        <v>0.12089999999999999</v>
      </c>
      <c r="O655" s="1" t="s">
        <v>63</v>
      </c>
      <c r="P655" s="1" t="s">
        <v>30</v>
      </c>
      <c r="Q655" s="1">
        <v>22</v>
      </c>
      <c r="R655" s="1">
        <v>3</v>
      </c>
      <c r="S655" s="1" t="s">
        <v>33</v>
      </c>
      <c r="T655" s="1" t="s">
        <v>31</v>
      </c>
      <c r="U655" s="1">
        <v>1</v>
      </c>
      <c r="V655" s="1">
        <v>173419</v>
      </c>
      <c r="W655" s="7">
        <v>1187.51</v>
      </c>
      <c r="X655" s="1">
        <v>0.9</v>
      </c>
      <c r="Y655" s="4">
        <v>45737</v>
      </c>
      <c r="Z655" s="1" t="s">
        <v>38</v>
      </c>
      <c r="AA655" s="1" t="s">
        <v>33</v>
      </c>
      <c r="AB655" s="36" t="str" cm="1">
        <f t="array" ref="AB655">_xlfn.IFS(K655&gt;650,"LOW",K655&gt;=550,"MEDIUM",K655&lt;550,"HIGH")</f>
        <v>LOW</v>
      </c>
    </row>
    <row r="656" spans="3:28" x14ac:dyDescent="0.3">
      <c r="C656" s="35" t="s">
        <v>2672</v>
      </c>
      <c r="D656" s="1" t="s">
        <v>702</v>
      </c>
      <c r="E656" s="1">
        <v>46</v>
      </c>
      <c r="F656" s="1" t="s">
        <v>26</v>
      </c>
      <c r="G656" s="1" t="s">
        <v>45</v>
      </c>
      <c r="H656" s="1" t="s">
        <v>61</v>
      </c>
      <c r="I656" s="1" t="s">
        <v>40</v>
      </c>
      <c r="J656" s="7">
        <v>81954</v>
      </c>
      <c r="K656" s="1">
        <v>674</v>
      </c>
      <c r="L656" s="7">
        <v>45134</v>
      </c>
      <c r="M656" s="1">
        <v>36</v>
      </c>
      <c r="N656" s="6">
        <v>9.3900000000000011E-2</v>
      </c>
      <c r="O656" s="1" t="s">
        <v>52</v>
      </c>
      <c r="P656" s="1" t="s">
        <v>50</v>
      </c>
      <c r="Q656" s="1">
        <v>20</v>
      </c>
      <c r="R656" s="1">
        <v>1</v>
      </c>
      <c r="S656" s="1" t="s">
        <v>33</v>
      </c>
      <c r="T656" s="1" t="s">
        <v>31</v>
      </c>
      <c r="U656" s="1">
        <v>3</v>
      </c>
      <c r="V656" s="1">
        <v>65702</v>
      </c>
      <c r="W656" s="7">
        <v>878.29</v>
      </c>
      <c r="X656" s="1">
        <v>0.25</v>
      </c>
      <c r="Y656" s="4">
        <v>45737</v>
      </c>
      <c r="Z656" s="1" t="s">
        <v>38</v>
      </c>
      <c r="AA656" s="1" t="s">
        <v>33</v>
      </c>
      <c r="AB656" s="36" t="str" cm="1">
        <f t="array" ref="AB656">_xlfn.IFS(K656&gt;650,"LOW",K656&gt;=550,"MEDIUM",K656&lt;550,"HIGH")</f>
        <v>LOW</v>
      </c>
    </row>
    <row r="657" spans="3:28" x14ac:dyDescent="0.3">
      <c r="C657" s="35" t="s">
        <v>2935</v>
      </c>
      <c r="D657" s="1" t="s">
        <v>963</v>
      </c>
      <c r="E657" s="1">
        <v>40</v>
      </c>
      <c r="F657" s="1" t="s">
        <v>44</v>
      </c>
      <c r="G657" s="1" t="s">
        <v>45</v>
      </c>
      <c r="H657" s="1" t="s">
        <v>36</v>
      </c>
      <c r="I657" s="1" t="s">
        <v>29</v>
      </c>
      <c r="J657" s="7">
        <v>127323</v>
      </c>
      <c r="K657" s="1">
        <v>674</v>
      </c>
      <c r="L657" s="7">
        <v>41498</v>
      </c>
      <c r="M657" s="1">
        <v>60</v>
      </c>
      <c r="N657" s="6">
        <v>0.19320000000000001</v>
      </c>
      <c r="O657" s="1" t="s">
        <v>63</v>
      </c>
      <c r="P657" s="1" t="s">
        <v>30</v>
      </c>
      <c r="Q657" s="1">
        <v>17</v>
      </c>
      <c r="R657" s="1">
        <v>3</v>
      </c>
      <c r="S657" s="1" t="s">
        <v>31</v>
      </c>
      <c r="T657" s="1" t="s">
        <v>31</v>
      </c>
      <c r="U657" s="1">
        <v>3</v>
      </c>
      <c r="V657" s="1">
        <v>186616</v>
      </c>
      <c r="W657" s="7">
        <v>1559.96</v>
      </c>
      <c r="X657" s="1">
        <v>0.99</v>
      </c>
      <c r="Y657" s="4">
        <v>44461</v>
      </c>
      <c r="Z657" s="1" t="s">
        <v>32</v>
      </c>
      <c r="AA657" s="1" t="s">
        <v>33</v>
      </c>
      <c r="AB657" s="36" t="str" cm="1">
        <f t="array" ref="AB657">_xlfn.IFS(K657&gt;650,"LOW",K657&gt;=550,"MEDIUM",K657&lt;550,"HIGH")</f>
        <v>LOW</v>
      </c>
    </row>
    <row r="658" spans="3:28" x14ac:dyDescent="0.3">
      <c r="C658" s="35" t="s">
        <v>2894</v>
      </c>
      <c r="D658" s="1" t="s">
        <v>922</v>
      </c>
      <c r="E658" s="1">
        <v>42</v>
      </c>
      <c r="F658" s="1" t="s">
        <v>44</v>
      </c>
      <c r="G658" s="1" t="s">
        <v>56</v>
      </c>
      <c r="H658" s="1" t="s">
        <v>36</v>
      </c>
      <c r="I658" s="1" t="s">
        <v>59</v>
      </c>
      <c r="J658" s="7">
        <v>123826</v>
      </c>
      <c r="K658" s="1">
        <v>673</v>
      </c>
      <c r="L658" s="7">
        <v>30489</v>
      </c>
      <c r="M658" s="1">
        <v>36</v>
      </c>
      <c r="N658" s="6">
        <v>0.19350000000000001</v>
      </c>
      <c r="O658" s="1" t="s">
        <v>37</v>
      </c>
      <c r="P658" s="1" t="s">
        <v>30</v>
      </c>
      <c r="Q658" s="1">
        <v>28</v>
      </c>
      <c r="R658" s="1">
        <v>2</v>
      </c>
      <c r="S658" s="1" t="s">
        <v>31</v>
      </c>
      <c r="T658" s="1" t="s">
        <v>31</v>
      </c>
      <c r="U658" s="1">
        <v>4</v>
      </c>
      <c r="V658" s="1">
        <v>32895</v>
      </c>
      <c r="W658" s="7">
        <v>1961.02</v>
      </c>
      <c r="X658" s="1">
        <v>0.65</v>
      </c>
      <c r="Y658" s="4">
        <v>45580</v>
      </c>
      <c r="Z658" s="1" t="s">
        <v>32</v>
      </c>
      <c r="AA658" s="1" t="s">
        <v>33</v>
      </c>
      <c r="AB658" s="36" t="str" cm="1">
        <f t="array" ref="AB658">_xlfn.IFS(K658&gt;650,"LOW",K658&gt;=550,"MEDIUM",K658&lt;550,"HIGH")</f>
        <v>LOW</v>
      </c>
    </row>
    <row r="659" spans="3:28" x14ac:dyDescent="0.3">
      <c r="C659" s="35" t="s">
        <v>2642</v>
      </c>
      <c r="D659" s="1" t="s">
        <v>672</v>
      </c>
      <c r="E659" s="1">
        <v>36</v>
      </c>
      <c r="F659" s="1" t="s">
        <v>26</v>
      </c>
      <c r="G659" s="1" t="s">
        <v>35</v>
      </c>
      <c r="H659" s="1" t="s">
        <v>36</v>
      </c>
      <c r="I659" s="1" t="s">
        <v>59</v>
      </c>
      <c r="J659" s="7">
        <v>70227</v>
      </c>
      <c r="K659" s="1">
        <v>672</v>
      </c>
      <c r="L659" s="7">
        <v>21243</v>
      </c>
      <c r="M659" s="1">
        <v>12</v>
      </c>
      <c r="N659" s="6">
        <v>6.9099999999999995E-2</v>
      </c>
      <c r="O659" s="1" t="s">
        <v>52</v>
      </c>
      <c r="P659" s="1" t="s">
        <v>47</v>
      </c>
      <c r="Q659" s="1">
        <v>9</v>
      </c>
      <c r="R659" s="1">
        <v>2</v>
      </c>
      <c r="S659" s="1" t="s">
        <v>31</v>
      </c>
      <c r="T659" s="1" t="s">
        <v>31</v>
      </c>
      <c r="U659" s="1">
        <v>2</v>
      </c>
      <c r="V659" s="1">
        <v>97100</v>
      </c>
      <c r="W659" s="7">
        <v>1018.96</v>
      </c>
      <c r="X659" s="1">
        <v>0.43</v>
      </c>
      <c r="Y659" s="4">
        <v>44689</v>
      </c>
      <c r="Z659" s="1" t="s">
        <v>38</v>
      </c>
      <c r="AA659" s="1" t="s">
        <v>33</v>
      </c>
      <c r="AB659" s="36" t="str" cm="1">
        <f t="array" ref="AB659">_xlfn.IFS(K659&gt;650,"LOW",K659&gt;=550,"MEDIUM",K659&lt;550,"HIGH")</f>
        <v>LOW</v>
      </c>
    </row>
    <row r="660" spans="3:28" x14ac:dyDescent="0.3">
      <c r="C660" s="35" t="s">
        <v>3236</v>
      </c>
      <c r="D660" s="1" t="s">
        <v>1260</v>
      </c>
      <c r="E660" s="1">
        <v>23</v>
      </c>
      <c r="F660" s="1" t="s">
        <v>44</v>
      </c>
      <c r="G660" s="1" t="s">
        <v>27</v>
      </c>
      <c r="H660" s="1" t="s">
        <v>28</v>
      </c>
      <c r="I660" s="1" t="s">
        <v>57</v>
      </c>
      <c r="J660" s="7">
        <v>90400</v>
      </c>
      <c r="K660" s="1">
        <v>672</v>
      </c>
      <c r="L660" s="7">
        <v>40938</v>
      </c>
      <c r="M660" s="1">
        <v>12</v>
      </c>
      <c r="N660" s="6">
        <v>0.1474</v>
      </c>
      <c r="O660" s="1" t="s">
        <v>41</v>
      </c>
      <c r="P660" s="1" t="s">
        <v>47</v>
      </c>
      <c r="Q660" s="1">
        <v>10</v>
      </c>
      <c r="R660" s="1">
        <v>4</v>
      </c>
      <c r="S660" s="1" t="s">
        <v>31</v>
      </c>
      <c r="T660" s="1" t="s">
        <v>33</v>
      </c>
      <c r="U660" s="1">
        <v>2</v>
      </c>
      <c r="V660" s="1">
        <v>16737</v>
      </c>
      <c r="W660" s="7">
        <v>1791.36</v>
      </c>
      <c r="X660" s="1">
        <v>0.75</v>
      </c>
      <c r="Y660" s="4">
        <v>45534</v>
      </c>
      <c r="Z660" s="1" t="s">
        <v>32</v>
      </c>
      <c r="AA660" s="1" t="s">
        <v>31</v>
      </c>
      <c r="AB660" s="36" t="str" cm="1">
        <f t="array" ref="AB660">_xlfn.IFS(K660&gt;650,"LOW",K660&gt;=550,"MEDIUM",K660&lt;550,"HIGH")</f>
        <v>LOW</v>
      </c>
    </row>
    <row r="661" spans="3:28" x14ac:dyDescent="0.3">
      <c r="C661" s="35" t="s">
        <v>3739</v>
      </c>
      <c r="D661" s="1" t="s">
        <v>1747</v>
      </c>
      <c r="E661" s="1">
        <v>31</v>
      </c>
      <c r="F661" s="1" t="s">
        <v>26</v>
      </c>
      <c r="G661" s="1" t="s">
        <v>27</v>
      </c>
      <c r="H661" s="1" t="s">
        <v>28</v>
      </c>
      <c r="I661" s="1" t="s">
        <v>40</v>
      </c>
      <c r="J661" s="7">
        <v>23641</v>
      </c>
      <c r="K661" s="1">
        <v>672</v>
      </c>
      <c r="L661" s="7">
        <v>2379</v>
      </c>
      <c r="M661" s="1">
        <v>12</v>
      </c>
      <c r="N661" s="6">
        <v>0.16489999999999999</v>
      </c>
      <c r="O661" s="1" t="s">
        <v>46</v>
      </c>
      <c r="P661" s="1" t="s">
        <v>50</v>
      </c>
      <c r="Q661" s="1">
        <v>13</v>
      </c>
      <c r="R661" s="1">
        <v>2</v>
      </c>
      <c r="S661" s="1" t="s">
        <v>31</v>
      </c>
      <c r="T661" s="1" t="s">
        <v>33</v>
      </c>
      <c r="U661" s="1">
        <v>4</v>
      </c>
      <c r="V661" s="1">
        <v>59222</v>
      </c>
      <c r="W661" s="7">
        <v>1333.93</v>
      </c>
      <c r="X661" s="1">
        <v>0.77</v>
      </c>
      <c r="Y661" s="4">
        <v>44116</v>
      </c>
      <c r="Z661" s="1" t="s">
        <v>32</v>
      </c>
      <c r="AA661" s="1" t="s">
        <v>33</v>
      </c>
      <c r="AB661" s="36" t="str" cm="1">
        <f t="array" ref="AB661">_xlfn.IFS(K661&gt;650,"LOW",K661&gt;=550,"MEDIUM",K661&lt;550,"HIGH")</f>
        <v>LOW</v>
      </c>
    </row>
    <row r="662" spans="3:28" x14ac:dyDescent="0.3">
      <c r="C662" s="35" t="s">
        <v>3887</v>
      </c>
      <c r="D662" s="1" t="s">
        <v>1892</v>
      </c>
      <c r="E662" s="1">
        <v>48</v>
      </c>
      <c r="F662" s="1" t="s">
        <v>44</v>
      </c>
      <c r="G662" s="1" t="s">
        <v>56</v>
      </c>
      <c r="H662" s="1" t="s">
        <v>54</v>
      </c>
      <c r="I662" s="1" t="s">
        <v>40</v>
      </c>
      <c r="J662" s="7">
        <v>46853</v>
      </c>
      <c r="K662" s="1">
        <v>672</v>
      </c>
      <c r="L662" s="7">
        <v>49218</v>
      </c>
      <c r="M662" s="1">
        <v>24</v>
      </c>
      <c r="N662" s="6">
        <v>9.7299999999999998E-2</v>
      </c>
      <c r="O662" s="1" t="s">
        <v>52</v>
      </c>
      <c r="P662" s="1" t="s">
        <v>47</v>
      </c>
      <c r="Q662" s="1">
        <v>11</v>
      </c>
      <c r="R662" s="1">
        <v>4</v>
      </c>
      <c r="S662" s="1" t="s">
        <v>31</v>
      </c>
      <c r="T662" s="1" t="s">
        <v>33</v>
      </c>
      <c r="U662" s="1">
        <v>3</v>
      </c>
      <c r="V662" s="1">
        <v>136763</v>
      </c>
      <c r="W662" s="7">
        <v>1618.85</v>
      </c>
      <c r="X662" s="1">
        <v>0.95</v>
      </c>
      <c r="Y662" s="4">
        <v>44777</v>
      </c>
      <c r="Z662" s="1" t="s">
        <v>38</v>
      </c>
      <c r="AA662" s="1" t="s">
        <v>33</v>
      </c>
      <c r="AB662" s="36" t="str" cm="1">
        <f t="array" ref="AB662">_xlfn.IFS(K662&gt;650,"LOW",K662&gt;=550,"MEDIUM",K662&lt;550,"HIGH")</f>
        <v>LOW</v>
      </c>
    </row>
    <row r="663" spans="3:28" x14ac:dyDescent="0.3">
      <c r="C663" s="35" t="s">
        <v>3945</v>
      </c>
      <c r="D663" s="1" t="s">
        <v>1947</v>
      </c>
      <c r="E663" s="1">
        <v>40</v>
      </c>
      <c r="F663" s="1" t="s">
        <v>26</v>
      </c>
      <c r="G663" s="1" t="s">
        <v>56</v>
      </c>
      <c r="H663" s="1" t="s">
        <v>36</v>
      </c>
      <c r="I663" s="1" t="s">
        <v>29</v>
      </c>
      <c r="J663" s="7">
        <v>91997</v>
      </c>
      <c r="K663" s="1">
        <v>672</v>
      </c>
      <c r="L663" s="7">
        <v>3057</v>
      </c>
      <c r="M663" s="1">
        <v>36</v>
      </c>
      <c r="N663" s="6">
        <v>5.2999999999999999E-2</v>
      </c>
      <c r="O663" s="1" t="s">
        <v>5</v>
      </c>
      <c r="P663" s="1" t="s">
        <v>30</v>
      </c>
      <c r="Q663" s="1">
        <v>9</v>
      </c>
      <c r="R663" s="1">
        <v>3</v>
      </c>
      <c r="S663" s="1" t="s">
        <v>33</v>
      </c>
      <c r="T663" s="1" t="s">
        <v>31</v>
      </c>
      <c r="U663" s="1">
        <v>4</v>
      </c>
      <c r="V663" s="1">
        <v>198752</v>
      </c>
      <c r="W663" s="7">
        <v>1979.06</v>
      </c>
      <c r="X663" s="1">
        <v>0.43</v>
      </c>
      <c r="Y663" s="4">
        <v>45835</v>
      </c>
      <c r="Z663" s="1" t="s">
        <v>38</v>
      </c>
      <c r="AA663" s="1" t="s">
        <v>33</v>
      </c>
      <c r="AB663" s="36" t="str" cm="1">
        <f t="array" ref="AB663">_xlfn.IFS(K663&gt;650,"LOW",K663&gt;=550,"MEDIUM",K663&lt;550,"HIGH")</f>
        <v>LOW</v>
      </c>
    </row>
    <row r="664" spans="3:28" x14ac:dyDescent="0.3">
      <c r="C664" s="35" t="s">
        <v>3964</v>
      </c>
      <c r="D664" s="1" t="s">
        <v>1965</v>
      </c>
      <c r="E664" s="1">
        <v>28</v>
      </c>
      <c r="F664" s="1" t="s">
        <v>44</v>
      </c>
      <c r="G664" s="1" t="s">
        <v>45</v>
      </c>
      <c r="H664" s="1" t="s">
        <v>61</v>
      </c>
      <c r="I664" s="1" t="s">
        <v>40</v>
      </c>
      <c r="J664" s="7">
        <v>94554</v>
      </c>
      <c r="K664" s="1">
        <v>672</v>
      </c>
      <c r="L664" s="7">
        <v>1394</v>
      </c>
      <c r="M664" s="1">
        <v>48</v>
      </c>
      <c r="N664" s="6">
        <v>0.1477</v>
      </c>
      <c r="O664" s="1" t="s">
        <v>63</v>
      </c>
      <c r="P664" s="1" t="s">
        <v>47</v>
      </c>
      <c r="Q664" s="1">
        <v>17</v>
      </c>
      <c r="R664" s="1">
        <v>2</v>
      </c>
      <c r="S664" s="1" t="s">
        <v>31</v>
      </c>
      <c r="T664" s="1" t="s">
        <v>31</v>
      </c>
      <c r="U664" s="1">
        <v>1</v>
      </c>
      <c r="V664" s="1">
        <v>152889</v>
      </c>
      <c r="W664" s="7">
        <v>687.91</v>
      </c>
      <c r="X664" s="1">
        <v>0.97</v>
      </c>
      <c r="Y664" s="4">
        <v>44566</v>
      </c>
      <c r="Z664" s="1" t="s">
        <v>32</v>
      </c>
      <c r="AA664" s="1" t="s">
        <v>33</v>
      </c>
      <c r="AB664" s="36" t="str" cm="1">
        <f t="array" ref="AB664">_xlfn.IFS(K664&gt;650,"LOW",K664&gt;=550,"MEDIUM",K664&lt;550,"HIGH")</f>
        <v>LOW</v>
      </c>
    </row>
    <row r="665" spans="3:28" x14ac:dyDescent="0.3">
      <c r="C665" s="35" t="s">
        <v>2186</v>
      </c>
      <c r="D665" s="1" t="s">
        <v>217</v>
      </c>
      <c r="E665" s="1">
        <v>45</v>
      </c>
      <c r="F665" s="1" t="s">
        <v>26</v>
      </c>
      <c r="G665" s="1" t="s">
        <v>35</v>
      </c>
      <c r="H665" s="1" t="s">
        <v>28</v>
      </c>
      <c r="I665" s="1" t="s">
        <v>57</v>
      </c>
      <c r="J665" s="7">
        <v>91743</v>
      </c>
      <c r="K665" s="1">
        <v>671</v>
      </c>
      <c r="L665" s="7">
        <v>16765</v>
      </c>
      <c r="M665" s="1">
        <v>24</v>
      </c>
      <c r="N665" s="6">
        <v>0.13489999999999999</v>
      </c>
      <c r="O665" s="1" t="s">
        <v>46</v>
      </c>
      <c r="P665" s="1" t="s">
        <v>50</v>
      </c>
      <c r="Q665" s="1">
        <v>29</v>
      </c>
      <c r="R665" s="1">
        <v>4</v>
      </c>
      <c r="S665" s="1" t="s">
        <v>33</v>
      </c>
      <c r="T665" s="1" t="s">
        <v>33</v>
      </c>
      <c r="U665" s="1">
        <v>2</v>
      </c>
      <c r="V665" s="1">
        <v>27400</v>
      </c>
      <c r="W665" s="7">
        <v>1114.83</v>
      </c>
      <c r="X665" s="1">
        <v>0.3</v>
      </c>
      <c r="Y665" s="4">
        <v>44161</v>
      </c>
      <c r="Z665" s="1" t="s">
        <v>38</v>
      </c>
      <c r="AA665" s="1" t="s">
        <v>33</v>
      </c>
      <c r="AB665" s="36" t="str" cm="1">
        <f t="array" ref="AB665">_xlfn.IFS(K665&gt;650,"LOW",K665&gt;=550,"MEDIUM",K665&lt;550,"HIGH")</f>
        <v>LOW</v>
      </c>
    </row>
    <row r="666" spans="3:28" x14ac:dyDescent="0.3">
      <c r="C666" s="35" t="s">
        <v>2234</v>
      </c>
      <c r="D666" s="1" t="s">
        <v>265</v>
      </c>
      <c r="E666" s="1">
        <v>44</v>
      </c>
      <c r="F666" s="1" t="s">
        <v>26</v>
      </c>
      <c r="G666" s="1" t="s">
        <v>35</v>
      </c>
      <c r="H666" s="1" t="s">
        <v>54</v>
      </c>
      <c r="I666" s="1" t="s">
        <v>57</v>
      </c>
      <c r="J666" s="7">
        <v>21211</v>
      </c>
      <c r="K666" s="1">
        <v>670</v>
      </c>
      <c r="L666" s="7">
        <v>28370</v>
      </c>
      <c r="M666" s="1">
        <v>12</v>
      </c>
      <c r="N666" s="6">
        <v>0.15509999999999999</v>
      </c>
      <c r="O666" s="1" t="s">
        <v>5</v>
      </c>
      <c r="P666" s="1" t="s">
        <v>50</v>
      </c>
      <c r="Q666" s="1">
        <v>19</v>
      </c>
      <c r="R666" s="1">
        <v>4</v>
      </c>
      <c r="S666" s="1" t="s">
        <v>33</v>
      </c>
      <c r="T666" s="1" t="s">
        <v>33</v>
      </c>
      <c r="U666" s="1">
        <v>1</v>
      </c>
      <c r="V666" s="1">
        <v>110687</v>
      </c>
      <c r="W666" s="7">
        <v>858.48</v>
      </c>
      <c r="X666" s="1">
        <v>0.18</v>
      </c>
      <c r="Y666" s="4">
        <v>45421</v>
      </c>
      <c r="Z666" s="1" t="s">
        <v>38</v>
      </c>
      <c r="AA666" s="1" t="s">
        <v>33</v>
      </c>
      <c r="AB666" s="36" t="str" cm="1">
        <f t="array" ref="AB666">_xlfn.IFS(K666&gt;650,"LOW",K666&gt;=550,"MEDIUM",K666&lt;550,"HIGH")</f>
        <v>LOW</v>
      </c>
    </row>
    <row r="667" spans="3:28" x14ac:dyDescent="0.3">
      <c r="C667" s="35" t="s">
        <v>2260</v>
      </c>
      <c r="D667" s="1" t="s">
        <v>291</v>
      </c>
      <c r="E667" s="1">
        <v>38</v>
      </c>
      <c r="F667" s="1" t="s">
        <v>26</v>
      </c>
      <c r="G667" s="1" t="s">
        <v>45</v>
      </c>
      <c r="H667" s="1" t="s">
        <v>54</v>
      </c>
      <c r="I667" s="1" t="s">
        <v>29</v>
      </c>
      <c r="J667" s="7">
        <v>87819</v>
      </c>
      <c r="K667" s="1">
        <v>670</v>
      </c>
      <c r="L667" s="7">
        <v>1051</v>
      </c>
      <c r="M667" s="1">
        <v>48</v>
      </c>
      <c r="N667" s="6">
        <v>0.14029999999999998</v>
      </c>
      <c r="O667" s="1" t="s">
        <v>52</v>
      </c>
      <c r="P667" s="1" t="s">
        <v>50</v>
      </c>
      <c r="Q667" s="1">
        <v>14</v>
      </c>
      <c r="R667" s="1">
        <v>1</v>
      </c>
      <c r="S667" s="1" t="s">
        <v>33</v>
      </c>
      <c r="T667" s="1" t="s">
        <v>33</v>
      </c>
      <c r="U667" s="1">
        <v>1</v>
      </c>
      <c r="V667" s="1">
        <v>107804</v>
      </c>
      <c r="W667" s="7">
        <v>475.11</v>
      </c>
      <c r="X667" s="1">
        <v>0.18</v>
      </c>
      <c r="Y667" s="4">
        <v>45093</v>
      </c>
      <c r="Z667" s="1" t="s">
        <v>32</v>
      </c>
      <c r="AA667" s="1" t="s">
        <v>33</v>
      </c>
      <c r="AB667" s="36" t="str" cm="1">
        <f t="array" ref="AB667">_xlfn.IFS(K667&gt;650,"LOW",K667&gt;=550,"MEDIUM",K667&lt;550,"HIGH")</f>
        <v>LOW</v>
      </c>
    </row>
    <row r="668" spans="3:28" x14ac:dyDescent="0.3">
      <c r="C668" s="35" t="s">
        <v>4005</v>
      </c>
      <c r="D668" s="1" t="s">
        <v>2005</v>
      </c>
      <c r="E668" s="1">
        <v>51</v>
      </c>
      <c r="F668" s="1" t="s">
        <v>26</v>
      </c>
      <c r="G668" s="1" t="s">
        <v>27</v>
      </c>
      <c r="H668" s="1" t="s">
        <v>36</v>
      </c>
      <c r="I668" s="1" t="s">
        <v>40</v>
      </c>
      <c r="J668" s="7">
        <v>63310</v>
      </c>
      <c r="K668" s="1">
        <v>670</v>
      </c>
      <c r="L668" s="7">
        <v>22801</v>
      </c>
      <c r="M668" s="1">
        <v>48</v>
      </c>
      <c r="N668" s="6">
        <v>0.14419999999999999</v>
      </c>
      <c r="O668" s="1" t="s">
        <v>52</v>
      </c>
      <c r="P668" s="1" t="s">
        <v>30</v>
      </c>
      <c r="Q668" s="1">
        <v>1</v>
      </c>
      <c r="R668" s="1">
        <v>4</v>
      </c>
      <c r="S668" s="1" t="s">
        <v>31</v>
      </c>
      <c r="T668" s="1" t="s">
        <v>31</v>
      </c>
      <c r="U668" s="1">
        <v>1</v>
      </c>
      <c r="V668" s="1">
        <v>147681</v>
      </c>
      <c r="W668" s="7">
        <v>1009.76</v>
      </c>
      <c r="X668" s="1">
        <v>0.81</v>
      </c>
      <c r="Y668" s="4">
        <v>45147</v>
      </c>
      <c r="Z668" s="1" t="s">
        <v>32</v>
      </c>
      <c r="AA668" s="1" t="s">
        <v>33</v>
      </c>
      <c r="AB668" s="36" t="str" cm="1">
        <f t="array" ref="AB668">_xlfn.IFS(K668&gt;650,"LOW",K668&gt;=550,"MEDIUM",K668&lt;550,"HIGH")</f>
        <v>LOW</v>
      </c>
    </row>
    <row r="669" spans="3:28" x14ac:dyDescent="0.3">
      <c r="C669" s="35" t="s">
        <v>4018</v>
      </c>
      <c r="D669" s="1" t="s">
        <v>2018</v>
      </c>
      <c r="E669" s="1">
        <v>61</v>
      </c>
      <c r="F669" s="1" t="s">
        <v>44</v>
      </c>
      <c r="G669" s="1" t="s">
        <v>35</v>
      </c>
      <c r="H669" s="1" t="s">
        <v>61</v>
      </c>
      <c r="I669" s="1" t="s">
        <v>59</v>
      </c>
      <c r="J669" s="7">
        <v>30635</v>
      </c>
      <c r="K669" s="1">
        <v>670</v>
      </c>
      <c r="L669" s="7">
        <v>1641</v>
      </c>
      <c r="M669" s="1">
        <v>24</v>
      </c>
      <c r="N669" s="6">
        <v>0.1487</v>
      </c>
      <c r="O669" s="1" t="s">
        <v>63</v>
      </c>
      <c r="P669" s="1" t="s">
        <v>50</v>
      </c>
      <c r="Q669" s="1">
        <v>19</v>
      </c>
      <c r="R669" s="1">
        <v>1</v>
      </c>
      <c r="S669" s="1" t="s">
        <v>33</v>
      </c>
      <c r="T669" s="1" t="s">
        <v>31</v>
      </c>
      <c r="U669" s="1">
        <v>4</v>
      </c>
      <c r="V669" s="1">
        <v>26403</v>
      </c>
      <c r="W669" s="7">
        <v>997.31</v>
      </c>
      <c r="X669" s="1">
        <v>0.5</v>
      </c>
      <c r="Y669" s="4">
        <v>44779</v>
      </c>
      <c r="Z669" s="1" t="s">
        <v>32</v>
      </c>
      <c r="AA669" s="1" t="s">
        <v>33</v>
      </c>
      <c r="AB669" s="36" t="str" cm="1">
        <f t="array" ref="AB669">_xlfn.IFS(K669&gt;650,"LOW",K669&gt;=550,"MEDIUM",K669&lt;550,"HIGH")</f>
        <v>LOW</v>
      </c>
    </row>
    <row r="670" spans="3:28" x14ac:dyDescent="0.3">
      <c r="C670" s="35" t="s">
        <v>3476</v>
      </c>
      <c r="D670" s="1" t="s">
        <v>1494</v>
      </c>
      <c r="E670" s="1">
        <v>31</v>
      </c>
      <c r="F670" s="1" t="s">
        <v>44</v>
      </c>
      <c r="G670" s="1" t="s">
        <v>56</v>
      </c>
      <c r="H670" s="1" t="s">
        <v>54</v>
      </c>
      <c r="I670" s="1" t="s">
        <v>29</v>
      </c>
      <c r="J670" s="7">
        <v>144257</v>
      </c>
      <c r="K670" s="1">
        <v>669</v>
      </c>
      <c r="L670" s="7">
        <v>41647</v>
      </c>
      <c r="M670" s="1">
        <v>60</v>
      </c>
      <c r="N670" s="6">
        <v>0.12839999999999999</v>
      </c>
      <c r="O670" s="1" t="s">
        <v>5</v>
      </c>
      <c r="P670" s="1" t="s">
        <v>30</v>
      </c>
      <c r="Q670" s="1">
        <v>15</v>
      </c>
      <c r="R670" s="1">
        <v>2</v>
      </c>
      <c r="S670" s="1" t="s">
        <v>33</v>
      </c>
      <c r="T670" s="1" t="s">
        <v>33</v>
      </c>
      <c r="U670" s="1">
        <v>4</v>
      </c>
      <c r="V670" s="1">
        <v>137456</v>
      </c>
      <c r="W670" s="7">
        <v>1851.82</v>
      </c>
      <c r="X670" s="1">
        <v>0.23</v>
      </c>
      <c r="Y670" s="4">
        <v>45743</v>
      </c>
      <c r="Z670" s="1" t="s">
        <v>38</v>
      </c>
      <c r="AA670" s="1" t="s">
        <v>33</v>
      </c>
      <c r="AB670" s="36" t="str" cm="1">
        <f t="array" ref="AB670">_xlfn.IFS(K670&gt;650,"LOW",K670&gt;=550,"MEDIUM",K670&lt;550,"HIGH")</f>
        <v>LOW</v>
      </c>
    </row>
    <row r="671" spans="3:28" x14ac:dyDescent="0.3">
      <c r="C671" s="35" t="s">
        <v>2125</v>
      </c>
      <c r="D671" s="1" t="s">
        <v>156</v>
      </c>
      <c r="E671" s="1">
        <v>48</v>
      </c>
      <c r="F671" s="1" t="s">
        <v>44</v>
      </c>
      <c r="G671" s="1" t="s">
        <v>35</v>
      </c>
      <c r="H671" s="1" t="s">
        <v>61</v>
      </c>
      <c r="I671" s="1" t="s">
        <v>57</v>
      </c>
      <c r="J671" s="7">
        <v>121039</v>
      </c>
      <c r="K671" s="1">
        <v>668</v>
      </c>
      <c r="L671" s="7">
        <v>35269</v>
      </c>
      <c r="M671" s="1">
        <v>48</v>
      </c>
      <c r="N671" s="6">
        <v>0.19149999999999998</v>
      </c>
      <c r="O671" s="1" t="s">
        <v>52</v>
      </c>
      <c r="P671" s="1" t="s">
        <v>30</v>
      </c>
      <c r="Q671" s="1">
        <v>11</v>
      </c>
      <c r="R671" s="1">
        <v>0</v>
      </c>
      <c r="S671" s="1" t="s">
        <v>33</v>
      </c>
      <c r="T671" s="1" t="s">
        <v>33</v>
      </c>
      <c r="U671" s="1">
        <v>4</v>
      </c>
      <c r="V671" s="1">
        <v>171858</v>
      </c>
      <c r="W671" s="7">
        <v>1348.23</v>
      </c>
      <c r="X671" s="1">
        <v>0.74</v>
      </c>
      <c r="Y671" s="4">
        <v>44097</v>
      </c>
      <c r="Z671" s="1" t="s">
        <v>38</v>
      </c>
      <c r="AA671" s="1" t="s">
        <v>31</v>
      </c>
      <c r="AB671" s="36" t="str" cm="1">
        <f t="array" ref="AB671">_xlfn.IFS(K671&gt;650,"LOW",K671&gt;=550,"MEDIUM",K671&lt;550,"HIGH")</f>
        <v>LOW</v>
      </c>
    </row>
    <row r="672" spans="3:28" x14ac:dyDescent="0.3">
      <c r="C672" s="35" t="s">
        <v>2342</v>
      </c>
      <c r="D672" s="1" t="s">
        <v>373</v>
      </c>
      <c r="E672" s="1">
        <v>49</v>
      </c>
      <c r="F672" s="1" t="s">
        <v>44</v>
      </c>
      <c r="G672" s="1" t="s">
        <v>45</v>
      </c>
      <c r="H672" s="1" t="s">
        <v>28</v>
      </c>
      <c r="I672" s="1" t="s">
        <v>57</v>
      </c>
      <c r="J672" s="7">
        <v>139156</v>
      </c>
      <c r="K672" s="1">
        <v>668</v>
      </c>
      <c r="L672" s="7">
        <v>25509</v>
      </c>
      <c r="M672" s="1">
        <v>36</v>
      </c>
      <c r="N672" s="6">
        <v>0.10730000000000001</v>
      </c>
      <c r="O672" s="1" t="s">
        <v>37</v>
      </c>
      <c r="P672" s="1" t="s">
        <v>30</v>
      </c>
      <c r="Q672" s="1">
        <v>5</v>
      </c>
      <c r="R672" s="1">
        <v>1</v>
      </c>
      <c r="S672" s="1" t="s">
        <v>31</v>
      </c>
      <c r="T672" s="1" t="s">
        <v>33</v>
      </c>
      <c r="U672" s="1">
        <v>2</v>
      </c>
      <c r="V672" s="1">
        <v>35308</v>
      </c>
      <c r="W672" s="7">
        <v>1334.25</v>
      </c>
      <c r="X672" s="1">
        <v>0.14000000000000001</v>
      </c>
      <c r="Y672" s="4">
        <v>44165</v>
      </c>
      <c r="Z672" s="1" t="s">
        <v>38</v>
      </c>
      <c r="AA672" s="1" t="s">
        <v>31</v>
      </c>
      <c r="AB672" s="36" t="str" cm="1">
        <f t="array" ref="AB672">_xlfn.IFS(K672&gt;650,"LOW",K672&gt;=550,"MEDIUM",K672&lt;550,"HIGH")</f>
        <v>LOW</v>
      </c>
    </row>
    <row r="673" spans="3:28" x14ac:dyDescent="0.3">
      <c r="C673" s="35" t="s">
        <v>2493</v>
      </c>
      <c r="D673" s="1" t="s">
        <v>523</v>
      </c>
      <c r="E673" s="1">
        <v>53</v>
      </c>
      <c r="F673" s="1" t="s">
        <v>44</v>
      </c>
      <c r="G673" s="1" t="s">
        <v>27</v>
      </c>
      <c r="H673" s="1" t="s">
        <v>54</v>
      </c>
      <c r="I673" s="1" t="s">
        <v>59</v>
      </c>
      <c r="J673" s="7">
        <v>123535</v>
      </c>
      <c r="K673" s="1">
        <v>667</v>
      </c>
      <c r="L673" s="7">
        <v>47023</v>
      </c>
      <c r="M673" s="1">
        <v>48</v>
      </c>
      <c r="N673" s="6">
        <v>0.13470000000000001</v>
      </c>
      <c r="O673" s="1" t="s">
        <v>41</v>
      </c>
      <c r="P673" s="1" t="s">
        <v>47</v>
      </c>
      <c r="Q673" s="1">
        <v>16</v>
      </c>
      <c r="R673" s="1">
        <v>0</v>
      </c>
      <c r="S673" s="1" t="s">
        <v>31</v>
      </c>
      <c r="T673" s="1" t="s">
        <v>31</v>
      </c>
      <c r="U673" s="1">
        <v>2</v>
      </c>
      <c r="V673" s="1">
        <v>95959</v>
      </c>
      <c r="W673" s="7">
        <v>1807.14</v>
      </c>
      <c r="X673" s="1">
        <v>0.86</v>
      </c>
      <c r="Y673" s="4">
        <v>45099</v>
      </c>
      <c r="Z673" s="1" t="s">
        <v>38</v>
      </c>
      <c r="AA673" s="1" t="s">
        <v>33</v>
      </c>
      <c r="AB673" s="36" t="str" cm="1">
        <f t="array" ref="AB673">_xlfn.IFS(K673&gt;650,"LOW",K673&gt;=550,"MEDIUM",K673&lt;550,"HIGH")</f>
        <v>LOW</v>
      </c>
    </row>
    <row r="674" spans="3:28" x14ac:dyDescent="0.3">
      <c r="C674" s="35" t="s">
        <v>3195</v>
      </c>
      <c r="D674" s="1" t="s">
        <v>1219</v>
      </c>
      <c r="E674" s="1">
        <v>23</v>
      </c>
      <c r="F674" s="1" t="s">
        <v>44</v>
      </c>
      <c r="G674" s="1" t="s">
        <v>45</v>
      </c>
      <c r="H674" s="1" t="s">
        <v>61</v>
      </c>
      <c r="I674" s="1" t="s">
        <v>59</v>
      </c>
      <c r="J674" s="7">
        <v>45020</v>
      </c>
      <c r="K674" s="1">
        <v>667</v>
      </c>
      <c r="L674" s="7">
        <v>21448</v>
      </c>
      <c r="M674" s="1">
        <v>48</v>
      </c>
      <c r="N674" s="6">
        <v>9.4100000000000003E-2</v>
      </c>
      <c r="O674" s="1" t="s">
        <v>41</v>
      </c>
      <c r="P674" s="1" t="s">
        <v>30</v>
      </c>
      <c r="Q674" s="1">
        <v>22</v>
      </c>
      <c r="R674" s="1">
        <v>1</v>
      </c>
      <c r="S674" s="1" t="s">
        <v>33</v>
      </c>
      <c r="T674" s="1" t="s">
        <v>33</v>
      </c>
      <c r="U674" s="1">
        <v>4</v>
      </c>
      <c r="V674" s="1">
        <v>53411</v>
      </c>
      <c r="W674" s="7">
        <v>1162.06</v>
      </c>
      <c r="X674" s="1">
        <v>0.52</v>
      </c>
      <c r="Y674" s="4">
        <v>45602</v>
      </c>
      <c r="Z674" s="1" t="s">
        <v>32</v>
      </c>
      <c r="AA674" s="1" t="s">
        <v>33</v>
      </c>
      <c r="AB674" s="36" t="str" cm="1">
        <f t="array" ref="AB674">_xlfn.IFS(K674&gt;650,"LOW",K674&gt;=550,"MEDIUM",K674&lt;550,"HIGH")</f>
        <v>LOW</v>
      </c>
    </row>
    <row r="675" spans="3:28" x14ac:dyDescent="0.3">
      <c r="C675" s="35" t="s">
        <v>3457</v>
      </c>
      <c r="D675" s="1" t="s">
        <v>1475</v>
      </c>
      <c r="E675" s="1">
        <v>34</v>
      </c>
      <c r="F675" s="1" t="s">
        <v>26</v>
      </c>
      <c r="G675" s="1" t="s">
        <v>27</v>
      </c>
      <c r="H675" s="1" t="s">
        <v>54</v>
      </c>
      <c r="I675" s="1" t="s">
        <v>40</v>
      </c>
      <c r="J675" s="7">
        <v>148041</v>
      </c>
      <c r="K675" s="1">
        <v>667</v>
      </c>
      <c r="L675" s="7">
        <v>36335</v>
      </c>
      <c r="M675" s="1">
        <v>24</v>
      </c>
      <c r="N675" s="6">
        <v>0.1421</v>
      </c>
      <c r="O675" s="1" t="s">
        <v>52</v>
      </c>
      <c r="P675" s="1" t="s">
        <v>30</v>
      </c>
      <c r="Q675" s="1">
        <v>23</v>
      </c>
      <c r="R675" s="1">
        <v>2</v>
      </c>
      <c r="S675" s="1" t="s">
        <v>33</v>
      </c>
      <c r="T675" s="1" t="s">
        <v>31</v>
      </c>
      <c r="U675" s="1">
        <v>2</v>
      </c>
      <c r="V675" s="1">
        <v>68618</v>
      </c>
      <c r="W675" s="7">
        <v>1111.33</v>
      </c>
      <c r="X675" s="1">
        <v>0.6</v>
      </c>
      <c r="Y675" s="4">
        <v>44627</v>
      </c>
      <c r="Z675" s="1" t="s">
        <v>32</v>
      </c>
      <c r="AA675" s="1" t="s">
        <v>33</v>
      </c>
      <c r="AB675" s="36" t="str" cm="1">
        <f t="array" ref="AB675">_xlfn.IFS(K675&gt;650,"LOW",K675&gt;=550,"MEDIUM",K675&lt;550,"HIGH")</f>
        <v>LOW</v>
      </c>
    </row>
    <row r="676" spans="3:28" x14ac:dyDescent="0.3">
      <c r="C676" s="35" t="s">
        <v>3477</v>
      </c>
      <c r="D676" s="1" t="s">
        <v>1495</v>
      </c>
      <c r="E676" s="1">
        <v>33</v>
      </c>
      <c r="F676" s="1" t="s">
        <v>26</v>
      </c>
      <c r="G676" s="1" t="s">
        <v>45</v>
      </c>
      <c r="H676" s="1" t="s">
        <v>36</v>
      </c>
      <c r="I676" s="1" t="s">
        <v>40</v>
      </c>
      <c r="J676" s="7">
        <v>24381</v>
      </c>
      <c r="K676" s="1">
        <v>667</v>
      </c>
      <c r="L676" s="7">
        <v>22996</v>
      </c>
      <c r="M676" s="1">
        <v>48</v>
      </c>
      <c r="N676" s="6">
        <v>8.5999999999999993E-2</v>
      </c>
      <c r="O676" s="1" t="s">
        <v>41</v>
      </c>
      <c r="P676" s="1" t="s">
        <v>47</v>
      </c>
      <c r="Q676" s="1">
        <v>16</v>
      </c>
      <c r="R676" s="1">
        <v>0</v>
      </c>
      <c r="S676" s="1" t="s">
        <v>31</v>
      </c>
      <c r="T676" s="1" t="s">
        <v>33</v>
      </c>
      <c r="U676" s="1">
        <v>1</v>
      </c>
      <c r="V676" s="1">
        <v>78759</v>
      </c>
      <c r="W676" s="7">
        <v>1491.78</v>
      </c>
      <c r="X676" s="1">
        <v>0.96</v>
      </c>
      <c r="Y676" s="4">
        <v>45645</v>
      </c>
      <c r="Z676" s="1" t="s">
        <v>32</v>
      </c>
      <c r="AA676" s="1" t="s">
        <v>33</v>
      </c>
      <c r="AB676" s="36" t="str" cm="1">
        <f t="array" ref="AB676">_xlfn.IFS(K676&gt;650,"LOW",K676&gt;=550,"MEDIUM",K676&lt;550,"HIGH")</f>
        <v>LOW</v>
      </c>
    </row>
    <row r="677" spans="3:28" x14ac:dyDescent="0.3">
      <c r="C677" s="35" t="s">
        <v>3967</v>
      </c>
      <c r="D677" s="1" t="s">
        <v>1968</v>
      </c>
      <c r="E677" s="1">
        <v>58</v>
      </c>
      <c r="F677" s="1" t="s">
        <v>44</v>
      </c>
      <c r="G677" s="1" t="s">
        <v>45</v>
      </c>
      <c r="H677" s="1" t="s">
        <v>54</v>
      </c>
      <c r="I677" s="1" t="s">
        <v>29</v>
      </c>
      <c r="J677" s="7">
        <v>35187</v>
      </c>
      <c r="K677" s="1">
        <v>667</v>
      </c>
      <c r="L677" s="7">
        <v>11524</v>
      </c>
      <c r="M677" s="1">
        <v>48</v>
      </c>
      <c r="N677" s="6">
        <v>0.15190000000000001</v>
      </c>
      <c r="O677" s="1" t="s">
        <v>41</v>
      </c>
      <c r="P677" s="1" t="s">
        <v>50</v>
      </c>
      <c r="Q677" s="1">
        <v>6</v>
      </c>
      <c r="R677" s="1">
        <v>4</v>
      </c>
      <c r="S677" s="1" t="s">
        <v>31</v>
      </c>
      <c r="T677" s="1" t="s">
        <v>33</v>
      </c>
      <c r="U677" s="1">
        <v>3</v>
      </c>
      <c r="V677" s="1">
        <v>110003</v>
      </c>
      <c r="W677" s="7">
        <v>534.16</v>
      </c>
      <c r="X677" s="1">
        <v>0.56000000000000005</v>
      </c>
      <c r="Y677" s="4">
        <v>45751</v>
      </c>
      <c r="Z677" s="1" t="s">
        <v>32</v>
      </c>
      <c r="AA677" s="1" t="s">
        <v>33</v>
      </c>
      <c r="AB677" s="36" t="str" cm="1">
        <f t="array" ref="AB677">_xlfn.IFS(K677&gt;650,"LOW",K677&gt;=550,"MEDIUM",K677&lt;550,"HIGH")</f>
        <v>LOW</v>
      </c>
    </row>
    <row r="678" spans="3:28" x14ac:dyDescent="0.3">
      <c r="C678" s="35" t="s">
        <v>3561</v>
      </c>
      <c r="D678" s="1" t="s">
        <v>1578</v>
      </c>
      <c r="E678" s="1">
        <v>48</v>
      </c>
      <c r="F678" s="1" t="s">
        <v>26</v>
      </c>
      <c r="G678" s="1" t="s">
        <v>27</v>
      </c>
      <c r="H678" s="1" t="s">
        <v>36</v>
      </c>
      <c r="I678" s="1" t="s">
        <v>59</v>
      </c>
      <c r="J678" s="7">
        <v>97806</v>
      </c>
      <c r="K678" s="1">
        <v>666</v>
      </c>
      <c r="L678" s="7">
        <v>29173</v>
      </c>
      <c r="M678" s="1">
        <v>12</v>
      </c>
      <c r="N678" s="6">
        <v>0.14199999999999999</v>
      </c>
      <c r="O678" s="1" t="s">
        <v>63</v>
      </c>
      <c r="P678" s="1" t="s">
        <v>50</v>
      </c>
      <c r="Q678" s="1">
        <v>12</v>
      </c>
      <c r="R678" s="1">
        <v>3</v>
      </c>
      <c r="S678" s="1" t="s">
        <v>31</v>
      </c>
      <c r="T678" s="1" t="s">
        <v>33</v>
      </c>
      <c r="U678" s="1">
        <v>1</v>
      </c>
      <c r="V678" s="1">
        <v>104375</v>
      </c>
      <c r="W678" s="7">
        <v>821.04</v>
      </c>
      <c r="X678" s="1">
        <v>0.76</v>
      </c>
      <c r="Y678" s="4">
        <v>44359</v>
      </c>
      <c r="Z678" s="1" t="s">
        <v>38</v>
      </c>
      <c r="AA678" s="1" t="s">
        <v>33</v>
      </c>
      <c r="AB678" s="36" t="str" cm="1">
        <f t="array" ref="AB678">_xlfn.IFS(K678&gt;650,"LOW",K678&gt;=550,"MEDIUM",K678&lt;550,"HIGH")</f>
        <v>LOW</v>
      </c>
    </row>
    <row r="679" spans="3:28" x14ac:dyDescent="0.3">
      <c r="C679" s="35" t="s">
        <v>3773</v>
      </c>
      <c r="D679" s="1" t="s">
        <v>1780</v>
      </c>
      <c r="E679" s="1">
        <v>62</v>
      </c>
      <c r="F679" s="1" t="s">
        <v>26</v>
      </c>
      <c r="G679" s="1" t="s">
        <v>45</v>
      </c>
      <c r="H679" s="1" t="s">
        <v>54</v>
      </c>
      <c r="I679" s="1" t="s">
        <v>57</v>
      </c>
      <c r="J679" s="7">
        <v>112091</v>
      </c>
      <c r="K679" s="1">
        <v>666</v>
      </c>
      <c r="L679" s="7">
        <v>21553</v>
      </c>
      <c r="M679" s="1">
        <v>36</v>
      </c>
      <c r="N679" s="6">
        <v>0.10300000000000001</v>
      </c>
      <c r="O679" s="1" t="s">
        <v>37</v>
      </c>
      <c r="P679" s="1" t="s">
        <v>47</v>
      </c>
      <c r="Q679" s="1">
        <v>9</v>
      </c>
      <c r="R679" s="1">
        <v>4</v>
      </c>
      <c r="S679" s="1" t="s">
        <v>31</v>
      </c>
      <c r="T679" s="1" t="s">
        <v>31</v>
      </c>
      <c r="U679" s="1">
        <v>2</v>
      </c>
      <c r="V679" s="1">
        <v>141558</v>
      </c>
      <c r="W679" s="7">
        <v>1439.42</v>
      </c>
      <c r="X679" s="1">
        <v>0.19</v>
      </c>
      <c r="Y679" s="4">
        <v>44478</v>
      </c>
      <c r="Z679" s="1" t="s">
        <v>32</v>
      </c>
      <c r="AA679" s="1" t="s">
        <v>33</v>
      </c>
      <c r="AB679" s="36" t="str" cm="1">
        <f t="array" ref="AB679">_xlfn.IFS(K679&gt;650,"LOW",K679&gt;=550,"MEDIUM",K679&lt;550,"HIGH")</f>
        <v>LOW</v>
      </c>
    </row>
    <row r="680" spans="3:28" x14ac:dyDescent="0.3">
      <c r="C680" s="35" t="s">
        <v>2879</v>
      </c>
      <c r="D680" s="1" t="s">
        <v>907</v>
      </c>
      <c r="E680" s="1">
        <v>42</v>
      </c>
      <c r="F680" s="1" t="s">
        <v>44</v>
      </c>
      <c r="G680" s="1" t="s">
        <v>27</v>
      </c>
      <c r="H680" s="1" t="s">
        <v>28</v>
      </c>
      <c r="I680" s="1" t="s">
        <v>40</v>
      </c>
      <c r="J680" s="7">
        <v>93953</v>
      </c>
      <c r="K680" s="1">
        <v>665</v>
      </c>
      <c r="L680" s="7">
        <v>23485</v>
      </c>
      <c r="M680" s="1">
        <v>36</v>
      </c>
      <c r="N680" s="6">
        <v>0.15109999999999998</v>
      </c>
      <c r="O680" s="1" t="s">
        <v>41</v>
      </c>
      <c r="P680" s="1" t="s">
        <v>47</v>
      </c>
      <c r="Q680" s="1">
        <v>7</v>
      </c>
      <c r="R680" s="1">
        <v>4</v>
      </c>
      <c r="S680" s="1" t="s">
        <v>31</v>
      </c>
      <c r="T680" s="1" t="s">
        <v>31</v>
      </c>
      <c r="U680" s="1">
        <v>4</v>
      </c>
      <c r="V680" s="1">
        <v>36806</v>
      </c>
      <c r="W680" s="7">
        <v>1636.36</v>
      </c>
      <c r="X680" s="1">
        <v>0.54</v>
      </c>
      <c r="Y680" s="4">
        <v>44850</v>
      </c>
      <c r="Z680" s="1" t="s">
        <v>32</v>
      </c>
      <c r="AA680" s="1" t="s">
        <v>33</v>
      </c>
      <c r="AB680" s="36" t="str" cm="1">
        <f t="array" ref="AB680">_xlfn.IFS(K680&gt;650,"LOW",K680&gt;=550,"MEDIUM",K680&lt;550,"HIGH")</f>
        <v>LOW</v>
      </c>
    </row>
    <row r="681" spans="3:28" x14ac:dyDescent="0.3">
      <c r="C681" s="35" t="s">
        <v>3781</v>
      </c>
      <c r="D681" s="1" t="s">
        <v>1788</v>
      </c>
      <c r="E681" s="1">
        <v>29</v>
      </c>
      <c r="F681" s="1" t="s">
        <v>44</v>
      </c>
      <c r="G681" s="1" t="s">
        <v>45</v>
      </c>
      <c r="H681" s="1" t="s">
        <v>28</v>
      </c>
      <c r="I681" s="1" t="s">
        <v>57</v>
      </c>
      <c r="J681" s="7">
        <v>66761</v>
      </c>
      <c r="K681" s="1">
        <v>665</v>
      </c>
      <c r="L681" s="7">
        <v>28350</v>
      </c>
      <c r="M681" s="1">
        <v>36</v>
      </c>
      <c r="N681" s="6">
        <v>0.13089999999999999</v>
      </c>
      <c r="O681" s="1" t="s">
        <v>37</v>
      </c>
      <c r="P681" s="1" t="s">
        <v>30</v>
      </c>
      <c r="Q681" s="1">
        <v>22</v>
      </c>
      <c r="R681" s="1">
        <v>3</v>
      </c>
      <c r="S681" s="1" t="s">
        <v>31</v>
      </c>
      <c r="T681" s="1" t="s">
        <v>33</v>
      </c>
      <c r="U681" s="1">
        <v>0</v>
      </c>
      <c r="V681" s="1">
        <v>82372</v>
      </c>
      <c r="W681" s="7">
        <v>1922.86</v>
      </c>
      <c r="X681" s="1">
        <v>0.77</v>
      </c>
      <c r="Y681" s="4">
        <v>45308</v>
      </c>
      <c r="Z681" s="1" t="s">
        <v>38</v>
      </c>
      <c r="AA681" s="1" t="s">
        <v>33</v>
      </c>
      <c r="AB681" s="36" t="str" cm="1">
        <f t="array" ref="AB681">_xlfn.IFS(K681&gt;650,"LOW",K681&gt;=550,"MEDIUM",K681&lt;550,"HIGH")</f>
        <v>LOW</v>
      </c>
    </row>
    <row r="682" spans="3:28" x14ac:dyDescent="0.3">
      <c r="C682" s="35" t="s">
        <v>3829</v>
      </c>
      <c r="D682" s="1" t="s">
        <v>1835</v>
      </c>
      <c r="E682" s="1">
        <v>35</v>
      </c>
      <c r="F682" s="1" t="s">
        <v>26</v>
      </c>
      <c r="G682" s="1" t="s">
        <v>45</v>
      </c>
      <c r="H682" s="1" t="s">
        <v>61</v>
      </c>
      <c r="I682" s="1" t="s">
        <v>57</v>
      </c>
      <c r="J682" s="7">
        <v>69961</v>
      </c>
      <c r="K682" s="1">
        <v>665</v>
      </c>
      <c r="L682" s="7">
        <v>37527</v>
      </c>
      <c r="M682" s="1">
        <v>36</v>
      </c>
      <c r="N682" s="6">
        <v>0.10949999999999999</v>
      </c>
      <c r="O682" s="1" t="s">
        <v>5</v>
      </c>
      <c r="P682" s="1" t="s">
        <v>50</v>
      </c>
      <c r="Q682" s="1">
        <v>7</v>
      </c>
      <c r="R682" s="1">
        <v>1</v>
      </c>
      <c r="S682" s="1" t="s">
        <v>33</v>
      </c>
      <c r="T682" s="1" t="s">
        <v>33</v>
      </c>
      <c r="U682" s="1">
        <v>0</v>
      </c>
      <c r="V682" s="1">
        <v>32853</v>
      </c>
      <c r="W682" s="7">
        <v>1969.37</v>
      </c>
      <c r="X682" s="1">
        <v>0.35</v>
      </c>
      <c r="Y682" s="4">
        <v>44793</v>
      </c>
      <c r="Z682" s="1" t="s">
        <v>38</v>
      </c>
      <c r="AA682" s="1" t="s">
        <v>33</v>
      </c>
      <c r="AB682" s="36" t="str" cm="1">
        <f t="array" ref="AB682">_xlfn.IFS(K682&gt;650,"LOW",K682&gt;=550,"MEDIUM",K682&lt;550,"HIGH")</f>
        <v>LOW</v>
      </c>
    </row>
    <row r="683" spans="3:28" x14ac:dyDescent="0.3">
      <c r="C683" s="35" t="s">
        <v>3943</v>
      </c>
      <c r="D683" s="1" t="s">
        <v>1946</v>
      </c>
      <c r="E683" s="1">
        <v>32</v>
      </c>
      <c r="F683" s="1" t="s">
        <v>26</v>
      </c>
      <c r="G683" s="1" t="s">
        <v>35</v>
      </c>
      <c r="H683" s="1" t="s">
        <v>28</v>
      </c>
      <c r="I683" s="1" t="s">
        <v>57</v>
      </c>
      <c r="J683" s="7">
        <v>83600</v>
      </c>
      <c r="K683" s="1">
        <v>665</v>
      </c>
      <c r="L683" s="7">
        <v>28632</v>
      </c>
      <c r="M683" s="1">
        <v>36</v>
      </c>
      <c r="N683" s="6">
        <v>7.6600000000000001E-2</v>
      </c>
      <c r="O683" s="1" t="s">
        <v>37</v>
      </c>
      <c r="P683" s="1" t="s">
        <v>47</v>
      </c>
      <c r="Q683" s="1">
        <v>22</v>
      </c>
      <c r="R683" s="1">
        <v>0</v>
      </c>
      <c r="S683" s="1" t="s">
        <v>33</v>
      </c>
      <c r="T683" s="1" t="s">
        <v>33</v>
      </c>
      <c r="U683" s="1">
        <v>1</v>
      </c>
      <c r="V683" s="1">
        <v>169325</v>
      </c>
      <c r="W683" s="7">
        <v>1644.27</v>
      </c>
      <c r="X683" s="1">
        <v>0.7</v>
      </c>
      <c r="Y683" s="4">
        <v>44656</v>
      </c>
      <c r="Z683" s="1" t="s">
        <v>38</v>
      </c>
      <c r="AA683" s="1" t="s">
        <v>31</v>
      </c>
      <c r="AB683" s="36" t="str" cm="1">
        <f t="array" ref="AB683">_xlfn.IFS(K683&gt;650,"LOW",K683&gt;=550,"MEDIUM",K683&lt;550,"HIGH")</f>
        <v>LOW</v>
      </c>
    </row>
    <row r="684" spans="3:28" x14ac:dyDescent="0.3">
      <c r="C684" s="35" t="s">
        <v>2590</v>
      </c>
      <c r="D684" s="1" t="s">
        <v>620</v>
      </c>
      <c r="E684" s="1">
        <v>64</v>
      </c>
      <c r="F684" s="1" t="s">
        <v>44</v>
      </c>
      <c r="G684" s="1" t="s">
        <v>45</v>
      </c>
      <c r="H684" s="1" t="s">
        <v>61</v>
      </c>
      <c r="I684" s="1" t="s">
        <v>40</v>
      </c>
      <c r="J684" s="7">
        <v>147904</v>
      </c>
      <c r="K684" s="1">
        <v>664</v>
      </c>
      <c r="L684" s="7">
        <v>49043</v>
      </c>
      <c r="M684" s="1">
        <v>60</v>
      </c>
      <c r="N684" s="6">
        <v>0.17670000000000002</v>
      </c>
      <c r="O684" s="1" t="s">
        <v>46</v>
      </c>
      <c r="P684" s="1" t="s">
        <v>30</v>
      </c>
      <c r="Q684" s="1">
        <v>21</v>
      </c>
      <c r="R684" s="1">
        <v>1</v>
      </c>
      <c r="S684" s="1" t="s">
        <v>33</v>
      </c>
      <c r="T684" s="1" t="s">
        <v>33</v>
      </c>
      <c r="U684" s="1">
        <v>3</v>
      </c>
      <c r="V684" s="1">
        <v>141727</v>
      </c>
      <c r="W684" s="7">
        <v>1276.75</v>
      </c>
      <c r="X684" s="1">
        <v>0.17</v>
      </c>
      <c r="Y684" s="4">
        <v>45212</v>
      </c>
      <c r="Z684" s="1" t="s">
        <v>32</v>
      </c>
      <c r="AA684" s="1" t="s">
        <v>33</v>
      </c>
      <c r="AB684" s="36" t="str" cm="1">
        <f t="array" ref="AB684">_xlfn.IFS(K684&gt;650,"LOW",K684&gt;=550,"MEDIUM",K684&lt;550,"HIGH")</f>
        <v>LOW</v>
      </c>
    </row>
    <row r="685" spans="3:28" x14ac:dyDescent="0.3">
      <c r="C685" s="35" t="s">
        <v>2713</v>
      </c>
      <c r="D685" s="1" t="s">
        <v>743</v>
      </c>
      <c r="E685" s="1">
        <v>41</v>
      </c>
      <c r="F685" s="1" t="s">
        <v>26</v>
      </c>
      <c r="G685" s="1" t="s">
        <v>56</v>
      </c>
      <c r="H685" s="1" t="s">
        <v>28</v>
      </c>
      <c r="I685" s="1" t="s">
        <v>57</v>
      </c>
      <c r="J685" s="7">
        <v>144357</v>
      </c>
      <c r="K685" s="1">
        <v>664</v>
      </c>
      <c r="L685" s="7">
        <v>22446</v>
      </c>
      <c r="M685" s="1">
        <v>48</v>
      </c>
      <c r="N685" s="6">
        <v>0.14929999999999999</v>
      </c>
      <c r="O685" s="1" t="s">
        <v>46</v>
      </c>
      <c r="P685" s="1" t="s">
        <v>50</v>
      </c>
      <c r="Q685" s="1">
        <v>12</v>
      </c>
      <c r="R685" s="1">
        <v>1</v>
      </c>
      <c r="S685" s="1" t="s">
        <v>33</v>
      </c>
      <c r="T685" s="1" t="s">
        <v>33</v>
      </c>
      <c r="U685" s="1">
        <v>3</v>
      </c>
      <c r="V685" s="1">
        <v>106226</v>
      </c>
      <c r="W685" s="7">
        <v>1217.54</v>
      </c>
      <c r="X685" s="1">
        <v>0.43</v>
      </c>
      <c r="Y685" s="4">
        <v>44202</v>
      </c>
      <c r="Z685" s="1" t="s">
        <v>32</v>
      </c>
      <c r="AA685" s="1" t="s">
        <v>33</v>
      </c>
      <c r="AB685" s="36" t="str" cm="1">
        <f t="array" ref="AB685">_xlfn.IFS(K685&gt;650,"LOW",K685&gt;=550,"MEDIUM",K685&lt;550,"HIGH")</f>
        <v>LOW</v>
      </c>
    </row>
    <row r="686" spans="3:28" x14ac:dyDescent="0.3">
      <c r="C686" s="35" t="s">
        <v>2722</v>
      </c>
      <c r="D686" s="1" t="s">
        <v>752</v>
      </c>
      <c r="E686" s="1">
        <v>43</v>
      </c>
      <c r="F686" s="1" t="s">
        <v>44</v>
      </c>
      <c r="G686" s="1" t="s">
        <v>56</v>
      </c>
      <c r="H686" s="1" t="s">
        <v>61</v>
      </c>
      <c r="I686" s="1" t="s">
        <v>59</v>
      </c>
      <c r="J686" s="7">
        <v>84919</v>
      </c>
      <c r="K686" s="1">
        <v>664</v>
      </c>
      <c r="L686" s="7">
        <v>48700</v>
      </c>
      <c r="M686" s="1">
        <v>48</v>
      </c>
      <c r="N686" s="6">
        <v>5.8099999999999999E-2</v>
      </c>
      <c r="O686" s="1" t="s">
        <v>41</v>
      </c>
      <c r="P686" s="1" t="s">
        <v>30</v>
      </c>
      <c r="Q686" s="1">
        <v>19</v>
      </c>
      <c r="R686" s="1">
        <v>1</v>
      </c>
      <c r="S686" s="1" t="s">
        <v>33</v>
      </c>
      <c r="T686" s="1" t="s">
        <v>33</v>
      </c>
      <c r="U686" s="1">
        <v>2</v>
      </c>
      <c r="V686" s="1">
        <v>186073</v>
      </c>
      <c r="W686" s="7">
        <v>186.07</v>
      </c>
      <c r="X686" s="1">
        <v>0.81</v>
      </c>
      <c r="Y686" s="4">
        <v>44996</v>
      </c>
      <c r="Z686" s="1" t="s">
        <v>32</v>
      </c>
      <c r="AA686" s="1" t="s">
        <v>33</v>
      </c>
      <c r="AB686" s="36" t="str" cm="1">
        <f t="array" ref="AB686">_xlfn.IFS(K686&gt;650,"LOW",K686&gt;=550,"MEDIUM",K686&lt;550,"HIGH")</f>
        <v>LOW</v>
      </c>
    </row>
    <row r="687" spans="3:28" x14ac:dyDescent="0.3">
      <c r="C687" s="35" t="s">
        <v>2801</v>
      </c>
      <c r="D687" s="1" t="s">
        <v>829</v>
      </c>
      <c r="E687" s="1">
        <v>60</v>
      </c>
      <c r="F687" s="1" t="s">
        <v>44</v>
      </c>
      <c r="G687" s="1" t="s">
        <v>56</v>
      </c>
      <c r="H687" s="1" t="s">
        <v>61</v>
      </c>
      <c r="I687" s="1" t="s">
        <v>40</v>
      </c>
      <c r="J687" s="7">
        <v>30100</v>
      </c>
      <c r="K687" s="1">
        <v>664</v>
      </c>
      <c r="L687" s="7">
        <v>48396</v>
      </c>
      <c r="M687" s="1">
        <v>60</v>
      </c>
      <c r="N687" s="6">
        <v>0.14180000000000001</v>
      </c>
      <c r="O687" s="1" t="s">
        <v>52</v>
      </c>
      <c r="P687" s="1" t="s">
        <v>50</v>
      </c>
      <c r="Q687" s="1">
        <v>1</v>
      </c>
      <c r="R687" s="1">
        <v>1</v>
      </c>
      <c r="S687" s="1" t="s">
        <v>33</v>
      </c>
      <c r="T687" s="1" t="s">
        <v>31</v>
      </c>
      <c r="U687" s="1">
        <v>1</v>
      </c>
      <c r="V687" s="1">
        <v>99976</v>
      </c>
      <c r="W687" s="7">
        <v>304.95</v>
      </c>
      <c r="X687" s="1">
        <v>0.46</v>
      </c>
      <c r="Y687" s="4">
        <v>45714</v>
      </c>
      <c r="Z687" s="1" t="s">
        <v>38</v>
      </c>
      <c r="AA687" s="1" t="s">
        <v>31</v>
      </c>
      <c r="AB687" s="36" t="str" cm="1">
        <f t="array" ref="AB687">_xlfn.IFS(K687&gt;650,"LOW",K687&gt;=550,"MEDIUM",K687&lt;550,"HIGH")</f>
        <v>LOW</v>
      </c>
    </row>
    <row r="688" spans="3:28" x14ac:dyDescent="0.3">
      <c r="C688" s="35" t="s">
        <v>3289</v>
      </c>
      <c r="D688" s="1" t="s">
        <v>1312</v>
      </c>
      <c r="E688" s="1">
        <v>42</v>
      </c>
      <c r="F688" s="1" t="s">
        <v>44</v>
      </c>
      <c r="G688" s="1" t="s">
        <v>56</v>
      </c>
      <c r="H688" s="1" t="s">
        <v>36</v>
      </c>
      <c r="I688" s="1" t="s">
        <v>40</v>
      </c>
      <c r="J688" s="7">
        <v>113650</v>
      </c>
      <c r="K688" s="1">
        <v>664</v>
      </c>
      <c r="L688" s="7">
        <v>23191</v>
      </c>
      <c r="M688" s="1">
        <v>60</v>
      </c>
      <c r="N688" s="6">
        <v>5.9200000000000003E-2</v>
      </c>
      <c r="O688" s="1" t="s">
        <v>41</v>
      </c>
      <c r="P688" s="1" t="s">
        <v>47</v>
      </c>
      <c r="Q688" s="1">
        <v>2</v>
      </c>
      <c r="R688" s="1">
        <v>4</v>
      </c>
      <c r="S688" s="1" t="s">
        <v>31</v>
      </c>
      <c r="T688" s="1" t="s">
        <v>33</v>
      </c>
      <c r="U688" s="1">
        <v>0</v>
      </c>
      <c r="V688" s="1">
        <v>20378</v>
      </c>
      <c r="W688" s="7">
        <v>1395.82</v>
      </c>
      <c r="X688" s="1">
        <v>0.39</v>
      </c>
      <c r="Y688" s="4">
        <v>44392</v>
      </c>
      <c r="Z688" s="1" t="s">
        <v>32</v>
      </c>
      <c r="AA688" s="1" t="s">
        <v>31</v>
      </c>
      <c r="AB688" s="36" t="str" cm="1">
        <f t="array" ref="AB688">_xlfn.IFS(K688&gt;650,"LOW",K688&gt;=550,"MEDIUM",K688&lt;550,"HIGH")</f>
        <v>LOW</v>
      </c>
    </row>
    <row r="689" spans="3:28" x14ac:dyDescent="0.3">
      <c r="C689" s="35" t="s">
        <v>3313</v>
      </c>
      <c r="D689" s="1" t="s">
        <v>1336</v>
      </c>
      <c r="E689" s="1">
        <v>31</v>
      </c>
      <c r="F689" s="1" t="s">
        <v>44</v>
      </c>
      <c r="G689" s="1" t="s">
        <v>27</v>
      </c>
      <c r="H689" s="1" t="s">
        <v>36</v>
      </c>
      <c r="I689" s="1" t="s">
        <v>59</v>
      </c>
      <c r="J689" s="7">
        <v>103569</v>
      </c>
      <c r="K689" s="1">
        <v>664</v>
      </c>
      <c r="L689" s="7">
        <v>31328</v>
      </c>
      <c r="M689" s="1">
        <v>24</v>
      </c>
      <c r="N689" s="6">
        <v>7.2599999999999998E-2</v>
      </c>
      <c r="O689" s="1" t="s">
        <v>5</v>
      </c>
      <c r="P689" s="1" t="s">
        <v>30</v>
      </c>
      <c r="Q689" s="1">
        <v>9</v>
      </c>
      <c r="R689" s="1">
        <v>0</v>
      </c>
      <c r="S689" s="1" t="s">
        <v>31</v>
      </c>
      <c r="T689" s="1" t="s">
        <v>33</v>
      </c>
      <c r="U689" s="1">
        <v>3</v>
      </c>
      <c r="V689" s="1">
        <v>151068</v>
      </c>
      <c r="W689" s="7">
        <v>122.73</v>
      </c>
      <c r="X689" s="1">
        <v>0.34</v>
      </c>
      <c r="Y689" s="4">
        <v>44274</v>
      </c>
      <c r="Z689" s="1" t="s">
        <v>32</v>
      </c>
      <c r="AA689" s="1" t="s">
        <v>31</v>
      </c>
      <c r="AB689" s="36" t="str" cm="1">
        <f t="array" ref="AB689">_xlfn.IFS(K689&gt;650,"LOW",K689&gt;=550,"MEDIUM",K689&lt;550,"HIGH")</f>
        <v>LOW</v>
      </c>
    </row>
    <row r="690" spans="3:28" x14ac:dyDescent="0.3">
      <c r="C690" s="35" t="s">
        <v>3849</v>
      </c>
      <c r="D690" s="1" t="s">
        <v>1855</v>
      </c>
      <c r="E690" s="1">
        <v>22</v>
      </c>
      <c r="F690" s="1" t="s">
        <v>26</v>
      </c>
      <c r="G690" s="1" t="s">
        <v>56</v>
      </c>
      <c r="H690" s="1" t="s">
        <v>28</v>
      </c>
      <c r="I690" s="1" t="s">
        <v>29</v>
      </c>
      <c r="J690" s="7">
        <v>58032</v>
      </c>
      <c r="K690" s="1">
        <v>664</v>
      </c>
      <c r="L690" s="7">
        <v>7439</v>
      </c>
      <c r="M690" s="1">
        <v>48</v>
      </c>
      <c r="N690" s="6">
        <v>0.1447</v>
      </c>
      <c r="O690" s="1" t="s">
        <v>5</v>
      </c>
      <c r="P690" s="1" t="s">
        <v>30</v>
      </c>
      <c r="Q690" s="1">
        <v>10</v>
      </c>
      <c r="R690" s="1">
        <v>3</v>
      </c>
      <c r="S690" s="1" t="s">
        <v>31</v>
      </c>
      <c r="T690" s="1" t="s">
        <v>33</v>
      </c>
      <c r="U690" s="1">
        <v>1</v>
      </c>
      <c r="V690" s="1">
        <v>193470</v>
      </c>
      <c r="W690" s="7">
        <v>981.74</v>
      </c>
      <c r="X690" s="1">
        <v>0.69</v>
      </c>
      <c r="Y690" s="4">
        <v>45038</v>
      </c>
      <c r="Z690" s="1" t="s">
        <v>38</v>
      </c>
      <c r="AA690" s="1" t="s">
        <v>33</v>
      </c>
      <c r="AB690" s="36" t="str" cm="1">
        <f t="array" ref="AB690">_xlfn.IFS(K690&gt;650,"LOW",K690&gt;=550,"MEDIUM",K690&lt;550,"HIGH")</f>
        <v>LOW</v>
      </c>
    </row>
    <row r="691" spans="3:28" x14ac:dyDescent="0.3">
      <c r="C691" s="35" t="s">
        <v>2591</v>
      </c>
      <c r="D691" s="1" t="s">
        <v>621</v>
      </c>
      <c r="E691" s="1">
        <v>37</v>
      </c>
      <c r="F691" s="1" t="s">
        <v>44</v>
      </c>
      <c r="G691" s="1" t="s">
        <v>27</v>
      </c>
      <c r="H691" s="1" t="s">
        <v>28</v>
      </c>
      <c r="I691" s="1" t="s">
        <v>57</v>
      </c>
      <c r="J691" s="7">
        <v>89603</v>
      </c>
      <c r="K691" s="1">
        <v>663</v>
      </c>
      <c r="L691" s="7">
        <v>8614</v>
      </c>
      <c r="M691" s="1">
        <v>60</v>
      </c>
      <c r="N691" s="6">
        <v>0.17670000000000002</v>
      </c>
      <c r="O691" s="1" t="s">
        <v>63</v>
      </c>
      <c r="P691" s="1" t="s">
        <v>47</v>
      </c>
      <c r="Q691" s="1">
        <v>28</v>
      </c>
      <c r="R691" s="1">
        <v>1</v>
      </c>
      <c r="S691" s="1" t="s">
        <v>33</v>
      </c>
      <c r="T691" s="1" t="s">
        <v>33</v>
      </c>
      <c r="U691" s="1">
        <v>1</v>
      </c>
      <c r="V691" s="1">
        <v>41864</v>
      </c>
      <c r="W691" s="7">
        <v>1483.53</v>
      </c>
      <c r="X691" s="1">
        <v>0.2</v>
      </c>
      <c r="Y691" s="4">
        <v>45406</v>
      </c>
      <c r="Z691" s="1" t="s">
        <v>32</v>
      </c>
      <c r="AA691" s="1" t="s">
        <v>33</v>
      </c>
      <c r="AB691" s="36" t="str" cm="1">
        <f t="array" ref="AB691">_xlfn.IFS(K691&gt;650,"LOW",K691&gt;=550,"MEDIUM",K691&lt;550,"HIGH")</f>
        <v>LOW</v>
      </c>
    </row>
    <row r="692" spans="3:28" x14ac:dyDescent="0.3">
      <c r="C692" s="35" t="s">
        <v>2950</v>
      </c>
      <c r="D692" s="1" t="s">
        <v>978</v>
      </c>
      <c r="E692" s="1">
        <v>25</v>
      </c>
      <c r="F692" s="1" t="s">
        <v>26</v>
      </c>
      <c r="G692" s="1" t="s">
        <v>27</v>
      </c>
      <c r="H692" s="1" t="s">
        <v>61</v>
      </c>
      <c r="I692" s="1" t="s">
        <v>57</v>
      </c>
      <c r="J692" s="7">
        <v>115041</v>
      </c>
      <c r="K692" s="1">
        <v>663</v>
      </c>
      <c r="L692" s="7">
        <v>21505</v>
      </c>
      <c r="M692" s="1">
        <v>60</v>
      </c>
      <c r="N692" s="6">
        <v>0.10630000000000001</v>
      </c>
      <c r="O692" s="1" t="s">
        <v>46</v>
      </c>
      <c r="P692" s="1" t="s">
        <v>47</v>
      </c>
      <c r="Q692" s="1">
        <v>4</v>
      </c>
      <c r="R692" s="1">
        <v>0</v>
      </c>
      <c r="S692" s="1" t="s">
        <v>33</v>
      </c>
      <c r="T692" s="1" t="s">
        <v>33</v>
      </c>
      <c r="U692" s="1">
        <v>4</v>
      </c>
      <c r="V692" s="1">
        <v>160302</v>
      </c>
      <c r="W692" s="7">
        <v>880.36</v>
      </c>
      <c r="X692" s="1">
        <v>0.43</v>
      </c>
      <c r="Y692" s="4">
        <v>45030</v>
      </c>
      <c r="Z692" s="1" t="s">
        <v>38</v>
      </c>
      <c r="AA692" s="1" t="s">
        <v>33</v>
      </c>
      <c r="AB692" s="36" t="str" cm="1">
        <f t="array" ref="AB692">_xlfn.IFS(K692&gt;650,"LOW",K692&gt;=550,"MEDIUM",K692&lt;550,"HIGH")</f>
        <v>LOW</v>
      </c>
    </row>
    <row r="693" spans="3:28" x14ac:dyDescent="0.3">
      <c r="C693" s="35" t="s">
        <v>3400</v>
      </c>
      <c r="D693" s="1" t="s">
        <v>1420</v>
      </c>
      <c r="E693" s="1">
        <v>59</v>
      </c>
      <c r="F693" s="1" t="s">
        <v>44</v>
      </c>
      <c r="G693" s="1" t="s">
        <v>45</v>
      </c>
      <c r="H693" s="1" t="s">
        <v>61</v>
      </c>
      <c r="I693" s="1" t="s">
        <v>40</v>
      </c>
      <c r="J693" s="7">
        <v>49283</v>
      </c>
      <c r="K693" s="1">
        <v>663</v>
      </c>
      <c r="L693" s="7">
        <v>11807</v>
      </c>
      <c r="M693" s="1">
        <v>36</v>
      </c>
      <c r="N693" s="6">
        <v>0.115</v>
      </c>
      <c r="O693" s="1" t="s">
        <v>46</v>
      </c>
      <c r="P693" s="1" t="s">
        <v>47</v>
      </c>
      <c r="Q693" s="1">
        <v>3</v>
      </c>
      <c r="R693" s="1">
        <v>2</v>
      </c>
      <c r="S693" s="1" t="s">
        <v>31</v>
      </c>
      <c r="T693" s="1" t="s">
        <v>31</v>
      </c>
      <c r="U693" s="1">
        <v>3</v>
      </c>
      <c r="V693" s="1">
        <v>45600</v>
      </c>
      <c r="W693" s="7">
        <v>969.6</v>
      </c>
      <c r="X693" s="1">
        <v>0.36</v>
      </c>
      <c r="Y693" s="4">
        <v>44282</v>
      </c>
      <c r="Z693" s="1" t="s">
        <v>38</v>
      </c>
      <c r="AA693" s="1" t="s">
        <v>33</v>
      </c>
      <c r="AB693" s="36" t="str" cm="1">
        <f t="array" ref="AB693">_xlfn.IFS(K693&gt;650,"LOW",K693&gt;=550,"MEDIUM",K693&lt;550,"HIGH")</f>
        <v>LOW</v>
      </c>
    </row>
    <row r="694" spans="3:28" x14ac:dyDescent="0.3">
      <c r="C694" s="35" t="s">
        <v>3463</v>
      </c>
      <c r="D694" s="1" t="s">
        <v>1481</v>
      </c>
      <c r="E694" s="1">
        <v>21</v>
      </c>
      <c r="F694" s="1" t="s">
        <v>26</v>
      </c>
      <c r="G694" s="1" t="s">
        <v>27</v>
      </c>
      <c r="H694" s="1" t="s">
        <v>61</v>
      </c>
      <c r="I694" s="1" t="s">
        <v>59</v>
      </c>
      <c r="J694" s="7">
        <v>40187</v>
      </c>
      <c r="K694" s="1">
        <v>663</v>
      </c>
      <c r="L694" s="7">
        <v>3010</v>
      </c>
      <c r="M694" s="1">
        <v>24</v>
      </c>
      <c r="N694" s="6">
        <v>7.2300000000000003E-2</v>
      </c>
      <c r="O694" s="1" t="s">
        <v>5</v>
      </c>
      <c r="P694" s="1" t="s">
        <v>30</v>
      </c>
      <c r="Q694" s="1">
        <v>7</v>
      </c>
      <c r="R694" s="1">
        <v>4</v>
      </c>
      <c r="S694" s="1" t="s">
        <v>31</v>
      </c>
      <c r="T694" s="1" t="s">
        <v>33</v>
      </c>
      <c r="U694" s="1">
        <v>1</v>
      </c>
      <c r="V694" s="1">
        <v>126908</v>
      </c>
      <c r="W694" s="7">
        <v>516.61</v>
      </c>
      <c r="X694" s="1">
        <v>0.12</v>
      </c>
      <c r="Y694" s="4">
        <v>45381</v>
      </c>
      <c r="Z694" s="1" t="s">
        <v>38</v>
      </c>
      <c r="AA694" s="1" t="s">
        <v>31</v>
      </c>
      <c r="AB694" s="36" t="str" cm="1">
        <f t="array" ref="AB694">_xlfn.IFS(K694&gt;650,"LOW",K694&gt;=550,"MEDIUM",K694&lt;550,"HIGH")</f>
        <v>LOW</v>
      </c>
    </row>
    <row r="695" spans="3:28" x14ac:dyDescent="0.3">
      <c r="C695" s="35" t="s">
        <v>4012</v>
      </c>
      <c r="D695" s="1" t="s">
        <v>2012</v>
      </c>
      <c r="E695" s="1">
        <v>58</v>
      </c>
      <c r="F695" s="1" t="s">
        <v>44</v>
      </c>
      <c r="G695" s="1" t="s">
        <v>45</v>
      </c>
      <c r="H695" s="1" t="s">
        <v>61</v>
      </c>
      <c r="I695" s="1" t="s">
        <v>57</v>
      </c>
      <c r="J695" s="7">
        <v>33231</v>
      </c>
      <c r="K695" s="1">
        <v>663</v>
      </c>
      <c r="L695" s="7">
        <v>19280</v>
      </c>
      <c r="M695" s="1">
        <v>48</v>
      </c>
      <c r="N695" s="6">
        <v>0.1709</v>
      </c>
      <c r="O695" s="1" t="s">
        <v>41</v>
      </c>
      <c r="P695" s="1" t="s">
        <v>47</v>
      </c>
      <c r="Q695" s="1">
        <v>16</v>
      </c>
      <c r="R695" s="1">
        <v>1</v>
      </c>
      <c r="S695" s="1" t="s">
        <v>33</v>
      </c>
      <c r="T695" s="1" t="s">
        <v>33</v>
      </c>
      <c r="U695" s="1">
        <v>3</v>
      </c>
      <c r="V695" s="1">
        <v>167906</v>
      </c>
      <c r="W695" s="7">
        <v>863.66</v>
      </c>
      <c r="X695" s="1">
        <v>0.56999999999999995</v>
      </c>
      <c r="Y695" s="4">
        <v>45243</v>
      </c>
      <c r="Z695" s="1" t="s">
        <v>38</v>
      </c>
      <c r="AA695" s="1" t="s">
        <v>33</v>
      </c>
      <c r="AB695" s="36" t="str" cm="1">
        <f t="array" ref="AB695">_xlfn.IFS(K695&gt;650,"LOW",K695&gt;=550,"MEDIUM",K695&lt;550,"HIGH")</f>
        <v>LOW</v>
      </c>
    </row>
    <row r="696" spans="3:28" x14ac:dyDescent="0.3">
      <c r="C696" s="35" t="s">
        <v>2067</v>
      </c>
      <c r="D696" s="1" t="s">
        <v>98</v>
      </c>
      <c r="E696" s="1">
        <v>22</v>
      </c>
      <c r="F696" s="1" t="s">
        <v>26</v>
      </c>
      <c r="G696" s="1" t="s">
        <v>56</v>
      </c>
      <c r="H696" s="1" t="s">
        <v>61</v>
      </c>
      <c r="I696" s="1" t="s">
        <v>59</v>
      </c>
      <c r="J696" s="7">
        <v>139622</v>
      </c>
      <c r="K696" s="1">
        <v>662</v>
      </c>
      <c r="L696" s="7">
        <v>34356</v>
      </c>
      <c r="M696" s="1">
        <v>48</v>
      </c>
      <c r="N696" s="6">
        <v>9.9499999999999991E-2</v>
      </c>
      <c r="O696" s="1" t="s">
        <v>63</v>
      </c>
      <c r="P696" s="1" t="s">
        <v>30</v>
      </c>
      <c r="Q696" s="1">
        <v>8</v>
      </c>
      <c r="R696" s="1">
        <v>1</v>
      </c>
      <c r="S696" s="1" t="s">
        <v>31</v>
      </c>
      <c r="T696" s="1" t="s">
        <v>33</v>
      </c>
      <c r="U696" s="1">
        <v>3</v>
      </c>
      <c r="V696" s="1">
        <v>131469</v>
      </c>
      <c r="W696" s="7">
        <v>1545.76</v>
      </c>
      <c r="X696" s="1">
        <v>0.24</v>
      </c>
      <c r="Y696" s="4">
        <v>44892</v>
      </c>
      <c r="Z696" s="1" t="s">
        <v>38</v>
      </c>
      <c r="AA696" s="1" t="s">
        <v>33</v>
      </c>
      <c r="AB696" s="36" t="str" cm="1">
        <f t="array" ref="AB696">_xlfn.IFS(K696&gt;650,"LOW",K696&gt;=550,"MEDIUM",K696&lt;550,"HIGH")</f>
        <v>LOW</v>
      </c>
    </row>
    <row r="697" spans="3:28" x14ac:dyDescent="0.3">
      <c r="C697" s="35" t="s">
        <v>2138</v>
      </c>
      <c r="D697" s="1" t="s">
        <v>169</v>
      </c>
      <c r="E697" s="1">
        <v>42</v>
      </c>
      <c r="F697" s="1" t="s">
        <v>44</v>
      </c>
      <c r="G697" s="1" t="s">
        <v>35</v>
      </c>
      <c r="H697" s="1" t="s">
        <v>36</v>
      </c>
      <c r="I697" s="1" t="s">
        <v>57</v>
      </c>
      <c r="J697" s="7">
        <v>38316</v>
      </c>
      <c r="K697" s="1">
        <v>662</v>
      </c>
      <c r="L697" s="7">
        <v>41639</v>
      </c>
      <c r="M697" s="1">
        <v>36</v>
      </c>
      <c r="N697" s="6">
        <v>9.8599999999999993E-2</v>
      </c>
      <c r="O697" s="1" t="s">
        <v>5</v>
      </c>
      <c r="P697" s="1" t="s">
        <v>30</v>
      </c>
      <c r="Q697" s="1">
        <v>26</v>
      </c>
      <c r="R697" s="1">
        <v>0</v>
      </c>
      <c r="S697" s="1" t="s">
        <v>33</v>
      </c>
      <c r="T697" s="1" t="s">
        <v>33</v>
      </c>
      <c r="U697" s="1">
        <v>3</v>
      </c>
      <c r="V697" s="1">
        <v>115458</v>
      </c>
      <c r="W697" s="7">
        <v>1056.56</v>
      </c>
      <c r="X697" s="1">
        <v>0.31</v>
      </c>
      <c r="Y697" s="4">
        <v>45513</v>
      </c>
      <c r="Z697" s="1" t="s">
        <v>32</v>
      </c>
      <c r="AA697" s="1" t="s">
        <v>31</v>
      </c>
      <c r="AB697" s="36" t="str" cm="1">
        <f t="array" ref="AB697">_xlfn.IFS(K697&gt;650,"LOW",K697&gt;=550,"MEDIUM",K697&lt;550,"HIGH")</f>
        <v>LOW</v>
      </c>
    </row>
    <row r="698" spans="3:28" x14ac:dyDescent="0.3">
      <c r="C698" s="35" t="s">
        <v>2274</v>
      </c>
      <c r="D698" s="1" t="s">
        <v>305</v>
      </c>
      <c r="E698" s="1">
        <v>22</v>
      </c>
      <c r="F698" s="1" t="s">
        <v>44</v>
      </c>
      <c r="G698" s="1" t="s">
        <v>45</v>
      </c>
      <c r="H698" s="1" t="s">
        <v>28</v>
      </c>
      <c r="I698" s="1" t="s">
        <v>29</v>
      </c>
      <c r="J698" s="7">
        <v>123262</v>
      </c>
      <c r="K698" s="1">
        <v>662</v>
      </c>
      <c r="L698" s="7">
        <v>44978</v>
      </c>
      <c r="M698" s="1">
        <v>48</v>
      </c>
      <c r="N698" s="6">
        <v>0.16519999999999999</v>
      </c>
      <c r="O698" s="1" t="s">
        <v>52</v>
      </c>
      <c r="P698" s="1" t="s">
        <v>47</v>
      </c>
      <c r="Q698" s="1">
        <v>16</v>
      </c>
      <c r="R698" s="1">
        <v>3</v>
      </c>
      <c r="S698" s="1" t="s">
        <v>33</v>
      </c>
      <c r="T698" s="1" t="s">
        <v>31</v>
      </c>
      <c r="U698" s="1">
        <v>1</v>
      </c>
      <c r="V698" s="1">
        <v>13269</v>
      </c>
      <c r="W698" s="7">
        <v>1698.56</v>
      </c>
      <c r="X698" s="1">
        <v>0.48</v>
      </c>
      <c r="Y698" s="4">
        <v>44133</v>
      </c>
      <c r="Z698" s="1" t="s">
        <v>32</v>
      </c>
      <c r="AA698" s="1" t="s">
        <v>33</v>
      </c>
      <c r="AB698" s="36" t="str" cm="1">
        <f t="array" ref="AB698">_xlfn.IFS(K698&gt;650,"LOW",K698&gt;=550,"MEDIUM",K698&lt;550,"HIGH")</f>
        <v>LOW</v>
      </c>
    </row>
    <row r="699" spans="3:28" x14ac:dyDescent="0.3">
      <c r="C699" s="35" t="s">
        <v>2643</v>
      </c>
      <c r="D699" s="1" t="s">
        <v>673</v>
      </c>
      <c r="E699" s="1">
        <v>41</v>
      </c>
      <c r="F699" s="1" t="s">
        <v>26</v>
      </c>
      <c r="G699" s="1" t="s">
        <v>56</v>
      </c>
      <c r="H699" s="1" t="s">
        <v>36</v>
      </c>
      <c r="I699" s="1" t="s">
        <v>40</v>
      </c>
      <c r="J699" s="7">
        <v>73028</v>
      </c>
      <c r="K699" s="1">
        <v>661</v>
      </c>
      <c r="L699" s="7">
        <v>4060</v>
      </c>
      <c r="M699" s="1">
        <v>24</v>
      </c>
      <c r="N699" s="6">
        <v>0.1857</v>
      </c>
      <c r="O699" s="1" t="s">
        <v>52</v>
      </c>
      <c r="P699" s="1" t="s">
        <v>30</v>
      </c>
      <c r="Q699" s="1">
        <v>14</v>
      </c>
      <c r="R699" s="1">
        <v>2</v>
      </c>
      <c r="S699" s="1" t="s">
        <v>31</v>
      </c>
      <c r="T699" s="1" t="s">
        <v>31</v>
      </c>
      <c r="U699" s="1">
        <v>0</v>
      </c>
      <c r="V699" s="1">
        <v>120956</v>
      </c>
      <c r="W699" s="7">
        <v>163.6</v>
      </c>
      <c r="X699" s="1">
        <v>0.71</v>
      </c>
      <c r="Y699" s="4">
        <v>44989</v>
      </c>
      <c r="Z699" s="1" t="s">
        <v>38</v>
      </c>
      <c r="AA699" s="1" t="s">
        <v>33</v>
      </c>
      <c r="AB699" s="36" t="str" cm="1">
        <f t="array" ref="AB699">_xlfn.IFS(K699&gt;650,"LOW",K699&gt;=550,"MEDIUM",K699&lt;550,"HIGH")</f>
        <v>LOW</v>
      </c>
    </row>
    <row r="700" spans="3:28" x14ac:dyDescent="0.3">
      <c r="C700" s="35" t="s">
        <v>3586</v>
      </c>
      <c r="D700" s="1" t="s">
        <v>1600</v>
      </c>
      <c r="E700" s="1">
        <v>34</v>
      </c>
      <c r="F700" s="1" t="s">
        <v>44</v>
      </c>
      <c r="G700" s="1" t="s">
        <v>27</v>
      </c>
      <c r="H700" s="1" t="s">
        <v>61</v>
      </c>
      <c r="I700" s="1" t="s">
        <v>40</v>
      </c>
      <c r="J700" s="7">
        <v>138017</v>
      </c>
      <c r="K700" s="1">
        <v>661</v>
      </c>
      <c r="L700" s="7">
        <v>9221</v>
      </c>
      <c r="M700" s="1">
        <v>48</v>
      </c>
      <c r="N700" s="6">
        <v>0.14050000000000001</v>
      </c>
      <c r="O700" s="1" t="s">
        <v>37</v>
      </c>
      <c r="P700" s="1" t="s">
        <v>50</v>
      </c>
      <c r="Q700" s="1">
        <v>21</v>
      </c>
      <c r="R700" s="1">
        <v>0</v>
      </c>
      <c r="S700" s="1" t="s">
        <v>33</v>
      </c>
      <c r="T700" s="1" t="s">
        <v>31</v>
      </c>
      <c r="U700" s="1">
        <v>3</v>
      </c>
      <c r="V700" s="1">
        <v>186891</v>
      </c>
      <c r="W700" s="7">
        <v>142.78</v>
      </c>
      <c r="X700" s="1">
        <v>0.35</v>
      </c>
      <c r="Y700" s="4">
        <v>44869</v>
      </c>
      <c r="Z700" s="1" t="s">
        <v>38</v>
      </c>
      <c r="AA700" s="1" t="s">
        <v>31</v>
      </c>
      <c r="AB700" s="36" t="str" cm="1">
        <f t="array" ref="AB700">_xlfn.IFS(K700&gt;650,"LOW",K700&gt;=550,"MEDIUM",K700&lt;550,"HIGH")</f>
        <v>LOW</v>
      </c>
    </row>
    <row r="701" spans="3:28" x14ac:dyDescent="0.3">
      <c r="C701" s="35" t="s">
        <v>2549</v>
      </c>
      <c r="D701" s="1" t="s">
        <v>579</v>
      </c>
      <c r="E701" s="1">
        <v>37</v>
      </c>
      <c r="F701" s="1" t="s">
        <v>26</v>
      </c>
      <c r="G701" s="1" t="s">
        <v>27</v>
      </c>
      <c r="H701" s="1" t="s">
        <v>36</v>
      </c>
      <c r="I701" s="1" t="s">
        <v>59</v>
      </c>
      <c r="J701" s="7">
        <v>40655</v>
      </c>
      <c r="K701" s="1">
        <v>660</v>
      </c>
      <c r="L701" s="7">
        <v>3808</v>
      </c>
      <c r="M701" s="1">
        <v>60</v>
      </c>
      <c r="N701" s="6">
        <v>0.18260000000000001</v>
      </c>
      <c r="O701" s="1" t="s">
        <v>37</v>
      </c>
      <c r="P701" s="1" t="s">
        <v>50</v>
      </c>
      <c r="Q701" s="1">
        <v>8</v>
      </c>
      <c r="R701" s="1">
        <v>0</v>
      </c>
      <c r="S701" s="1" t="s">
        <v>33</v>
      </c>
      <c r="T701" s="1" t="s">
        <v>31</v>
      </c>
      <c r="U701" s="1">
        <v>1</v>
      </c>
      <c r="V701" s="1">
        <v>98548</v>
      </c>
      <c r="W701" s="7">
        <v>272.82</v>
      </c>
      <c r="X701" s="1">
        <v>0.92</v>
      </c>
      <c r="Y701" s="4">
        <v>45532</v>
      </c>
      <c r="Z701" s="1" t="s">
        <v>32</v>
      </c>
      <c r="AA701" s="1" t="s">
        <v>33</v>
      </c>
      <c r="AB701" s="36" t="str" cm="1">
        <f t="array" ref="AB701">_xlfn.IFS(K701&gt;650,"LOW",K701&gt;=550,"MEDIUM",K701&lt;550,"HIGH")</f>
        <v>LOW</v>
      </c>
    </row>
    <row r="702" spans="3:28" x14ac:dyDescent="0.3">
      <c r="C702" s="35" t="s">
        <v>3639</v>
      </c>
      <c r="D702" s="1" t="s">
        <v>1651</v>
      </c>
      <c r="E702" s="1">
        <v>31</v>
      </c>
      <c r="F702" s="1" t="s">
        <v>26</v>
      </c>
      <c r="G702" s="1" t="s">
        <v>35</v>
      </c>
      <c r="H702" s="1" t="s">
        <v>54</v>
      </c>
      <c r="I702" s="1" t="s">
        <v>40</v>
      </c>
      <c r="J702" s="7">
        <v>55757</v>
      </c>
      <c r="K702" s="1">
        <v>660</v>
      </c>
      <c r="L702" s="7">
        <v>24279</v>
      </c>
      <c r="M702" s="1">
        <v>60</v>
      </c>
      <c r="N702" s="6">
        <v>0.17180000000000001</v>
      </c>
      <c r="O702" s="1" t="s">
        <v>52</v>
      </c>
      <c r="P702" s="1" t="s">
        <v>50</v>
      </c>
      <c r="Q702" s="1">
        <v>24</v>
      </c>
      <c r="R702" s="1">
        <v>2</v>
      </c>
      <c r="S702" s="1" t="s">
        <v>31</v>
      </c>
      <c r="T702" s="1" t="s">
        <v>31</v>
      </c>
      <c r="U702" s="1">
        <v>0</v>
      </c>
      <c r="V702" s="1">
        <v>61907</v>
      </c>
      <c r="W702" s="7">
        <v>1899.75</v>
      </c>
      <c r="X702" s="1">
        <v>0.57999999999999996</v>
      </c>
      <c r="Y702" s="4">
        <v>45691</v>
      </c>
      <c r="Z702" s="1" t="s">
        <v>32</v>
      </c>
      <c r="AA702" s="1" t="s">
        <v>33</v>
      </c>
      <c r="AB702" s="36" t="str" cm="1">
        <f t="array" ref="AB702">_xlfn.IFS(K702&gt;650,"LOW",K702&gt;=550,"MEDIUM",K702&lt;550,"HIGH")</f>
        <v>LOW</v>
      </c>
    </row>
    <row r="703" spans="3:28" x14ac:dyDescent="0.3">
      <c r="C703" s="35" t="s">
        <v>3798</v>
      </c>
      <c r="D703" s="1" t="s">
        <v>1804</v>
      </c>
      <c r="E703" s="1">
        <v>46</v>
      </c>
      <c r="F703" s="1" t="s">
        <v>26</v>
      </c>
      <c r="G703" s="1" t="s">
        <v>35</v>
      </c>
      <c r="H703" s="1" t="s">
        <v>61</v>
      </c>
      <c r="I703" s="1" t="s">
        <v>57</v>
      </c>
      <c r="J703" s="7">
        <v>149263</v>
      </c>
      <c r="K703" s="1">
        <v>659</v>
      </c>
      <c r="L703" s="7">
        <v>7961</v>
      </c>
      <c r="M703" s="1">
        <v>48</v>
      </c>
      <c r="N703" s="6">
        <v>0.1638</v>
      </c>
      <c r="O703" s="1" t="s">
        <v>63</v>
      </c>
      <c r="P703" s="1" t="s">
        <v>47</v>
      </c>
      <c r="Q703" s="1">
        <v>20</v>
      </c>
      <c r="R703" s="1">
        <v>1</v>
      </c>
      <c r="S703" s="1" t="s">
        <v>33</v>
      </c>
      <c r="T703" s="1" t="s">
        <v>31</v>
      </c>
      <c r="U703" s="1">
        <v>2</v>
      </c>
      <c r="V703" s="1">
        <v>120347</v>
      </c>
      <c r="W703" s="7">
        <v>1522.45</v>
      </c>
      <c r="X703" s="1">
        <v>0.86</v>
      </c>
      <c r="Y703" s="4">
        <v>44957</v>
      </c>
      <c r="Z703" s="1" t="s">
        <v>38</v>
      </c>
      <c r="AA703" s="1" t="s">
        <v>31</v>
      </c>
      <c r="AB703" s="36" t="str" cm="1">
        <f t="array" ref="AB703">_xlfn.IFS(K703&gt;650,"LOW",K703&gt;=550,"MEDIUM",K703&lt;550,"HIGH")</f>
        <v>LOW</v>
      </c>
    </row>
    <row r="704" spans="3:28" x14ac:dyDescent="0.3">
      <c r="C704" s="35" t="s">
        <v>2050</v>
      </c>
      <c r="D704" s="1" t="s">
        <v>81</v>
      </c>
      <c r="E704" s="1">
        <v>62</v>
      </c>
      <c r="F704" s="1" t="s">
        <v>26</v>
      </c>
      <c r="G704" s="1" t="s">
        <v>56</v>
      </c>
      <c r="H704" s="1" t="s">
        <v>28</v>
      </c>
      <c r="I704" s="1" t="s">
        <v>59</v>
      </c>
      <c r="J704" s="7">
        <v>138647</v>
      </c>
      <c r="K704" s="1">
        <v>658</v>
      </c>
      <c r="L704" s="7">
        <v>20199</v>
      </c>
      <c r="M704" s="1">
        <v>36</v>
      </c>
      <c r="N704" s="6">
        <v>0.15130000000000002</v>
      </c>
      <c r="O704" s="1" t="s">
        <v>37</v>
      </c>
      <c r="P704" s="1" t="s">
        <v>47</v>
      </c>
      <c r="Q704" s="1">
        <v>22</v>
      </c>
      <c r="R704" s="1">
        <v>4</v>
      </c>
      <c r="S704" s="1" t="s">
        <v>33</v>
      </c>
      <c r="T704" s="1" t="s">
        <v>31</v>
      </c>
      <c r="U704" s="1">
        <v>1</v>
      </c>
      <c r="V704" s="1">
        <v>166585</v>
      </c>
      <c r="W704" s="7">
        <v>1619.94</v>
      </c>
      <c r="X704" s="1">
        <v>0.55000000000000004</v>
      </c>
      <c r="Y704" s="4">
        <v>44136</v>
      </c>
      <c r="Z704" s="1" t="s">
        <v>38</v>
      </c>
      <c r="AA704" s="1" t="s">
        <v>31</v>
      </c>
      <c r="AB704" s="36" t="str" cm="1">
        <f t="array" ref="AB704">_xlfn.IFS(K704&gt;650,"LOW",K704&gt;=550,"MEDIUM",K704&lt;550,"HIGH")</f>
        <v>LOW</v>
      </c>
    </row>
    <row r="705" spans="3:28" x14ac:dyDescent="0.3">
      <c r="C705" s="35" t="s">
        <v>2068</v>
      </c>
      <c r="D705" s="1" t="s">
        <v>99</v>
      </c>
      <c r="E705" s="1">
        <v>40</v>
      </c>
      <c r="F705" s="1" t="s">
        <v>44</v>
      </c>
      <c r="G705" s="1" t="s">
        <v>27</v>
      </c>
      <c r="H705" s="1" t="s">
        <v>54</v>
      </c>
      <c r="I705" s="1" t="s">
        <v>59</v>
      </c>
      <c r="J705" s="7">
        <v>138764</v>
      </c>
      <c r="K705" s="1">
        <v>658</v>
      </c>
      <c r="L705" s="7">
        <v>36999</v>
      </c>
      <c r="M705" s="1">
        <v>12</v>
      </c>
      <c r="N705" s="6">
        <v>0.17120000000000002</v>
      </c>
      <c r="O705" s="1" t="s">
        <v>46</v>
      </c>
      <c r="P705" s="1" t="s">
        <v>47</v>
      </c>
      <c r="Q705" s="1">
        <v>23</v>
      </c>
      <c r="R705" s="1">
        <v>3</v>
      </c>
      <c r="S705" s="1" t="s">
        <v>31</v>
      </c>
      <c r="T705" s="1" t="s">
        <v>31</v>
      </c>
      <c r="U705" s="1">
        <v>1</v>
      </c>
      <c r="V705" s="1">
        <v>14665</v>
      </c>
      <c r="W705" s="7">
        <v>1473.03</v>
      </c>
      <c r="X705" s="1">
        <v>0.12</v>
      </c>
      <c r="Y705" s="4">
        <v>44976</v>
      </c>
      <c r="Z705" s="1" t="s">
        <v>32</v>
      </c>
      <c r="AA705" s="1" t="s">
        <v>33</v>
      </c>
      <c r="AB705" s="36" t="str" cm="1">
        <f t="array" ref="AB705">_xlfn.IFS(K705&gt;650,"LOW",K705&gt;=550,"MEDIUM",K705&lt;550,"HIGH")</f>
        <v>LOW</v>
      </c>
    </row>
    <row r="706" spans="3:28" x14ac:dyDescent="0.3">
      <c r="C706" s="35" t="s">
        <v>2395</v>
      </c>
      <c r="D706" s="1" t="s">
        <v>425</v>
      </c>
      <c r="E706" s="1">
        <v>48</v>
      </c>
      <c r="F706" s="1" t="s">
        <v>44</v>
      </c>
      <c r="G706" s="1" t="s">
        <v>35</v>
      </c>
      <c r="H706" s="1" t="s">
        <v>61</v>
      </c>
      <c r="I706" s="1" t="s">
        <v>29</v>
      </c>
      <c r="J706" s="7">
        <v>22251</v>
      </c>
      <c r="K706" s="1">
        <v>658</v>
      </c>
      <c r="L706" s="7">
        <v>35674</v>
      </c>
      <c r="M706" s="1">
        <v>48</v>
      </c>
      <c r="N706" s="6">
        <v>0.19159999999999999</v>
      </c>
      <c r="O706" s="1" t="s">
        <v>41</v>
      </c>
      <c r="P706" s="1" t="s">
        <v>30</v>
      </c>
      <c r="Q706" s="1">
        <v>6</v>
      </c>
      <c r="R706" s="1">
        <v>0</v>
      </c>
      <c r="S706" s="1" t="s">
        <v>31</v>
      </c>
      <c r="T706" s="1" t="s">
        <v>31</v>
      </c>
      <c r="U706" s="1">
        <v>0</v>
      </c>
      <c r="V706" s="1">
        <v>18426</v>
      </c>
      <c r="W706" s="7">
        <v>122.33</v>
      </c>
      <c r="X706" s="1">
        <v>0.3</v>
      </c>
      <c r="Y706" s="4">
        <v>45269</v>
      </c>
      <c r="Z706" s="1" t="s">
        <v>32</v>
      </c>
      <c r="AA706" s="1" t="s">
        <v>33</v>
      </c>
      <c r="AB706" s="36" t="str" cm="1">
        <f t="array" ref="AB706">_xlfn.IFS(K706&gt;650,"LOW",K706&gt;=550,"MEDIUM",K706&lt;550,"HIGH")</f>
        <v>LOW</v>
      </c>
    </row>
    <row r="707" spans="3:28" x14ac:dyDescent="0.3">
      <c r="C707" s="35" t="s">
        <v>2708</v>
      </c>
      <c r="D707" s="1" t="s">
        <v>738</v>
      </c>
      <c r="E707" s="1">
        <v>53</v>
      </c>
      <c r="F707" s="1" t="s">
        <v>44</v>
      </c>
      <c r="G707" s="1" t="s">
        <v>35</v>
      </c>
      <c r="H707" s="1" t="s">
        <v>36</v>
      </c>
      <c r="I707" s="1" t="s">
        <v>57</v>
      </c>
      <c r="J707" s="7">
        <v>60097</v>
      </c>
      <c r="K707" s="1">
        <v>658</v>
      </c>
      <c r="L707" s="7">
        <v>31226</v>
      </c>
      <c r="M707" s="1">
        <v>36</v>
      </c>
      <c r="N707" s="6">
        <v>0.11269999999999999</v>
      </c>
      <c r="O707" s="1" t="s">
        <v>46</v>
      </c>
      <c r="P707" s="1" t="s">
        <v>30</v>
      </c>
      <c r="Q707" s="1">
        <v>5</v>
      </c>
      <c r="R707" s="1">
        <v>3</v>
      </c>
      <c r="S707" s="1" t="s">
        <v>33</v>
      </c>
      <c r="T707" s="1" t="s">
        <v>33</v>
      </c>
      <c r="U707" s="1">
        <v>0</v>
      </c>
      <c r="V707" s="1">
        <v>23068</v>
      </c>
      <c r="W707" s="7">
        <v>191.55</v>
      </c>
      <c r="X707" s="1">
        <v>0.82</v>
      </c>
      <c r="Y707" s="4">
        <v>44667</v>
      </c>
      <c r="Z707" s="1" t="s">
        <v>32</v>
      </c>
      <c r="AA707" s="1" t="s">
        <v>33</v>
      </c>
      <c r="AB707" s="36" t="str" cm="1">
        <f t="array" ref="AB707">_xlfn.IFS(K707&gt;650,"LOW",K707&gt;=550,"MEDIUM",K707&lt;550,"HIGH")</f>
        <v>LOW</v>
      </c>
    </row>
    <row r="708" spans="3:28" x14ac:dyDescent="0.3">
      <c r="C708" s="35" t="s">
        <v>2779</v>
      </c>
      <c r="D708" s="1" t="s">
        <v>807</v>
      </c>
      <c r="E708" s="1">
        <v>24</v>
      </c>
      <c r="F708" s="1" t="s">
        <v>44</v>
      </c>
      <c r="G708" s="1" t="s">
        <v>27</v>
      </c>
      <c r="H708" s="1" t="s">
        <v>28</v>
      </c>
      <c r="I708" s="1" t="s">
        <v>29</v>
      </c>
      <c r="J708" s="7">
        <v>77265</v>
      </c>
      <c r="K708" s="1">
        <v>658</v>
      </c>
      <c r="L708" s="7">
        <v>12805</v>
      </c>
      <c r="M708" s="1">
        <v>12</v>
      </c>
      <c r="N708" s="6">
        <v>0.16620000000000001</v>
      </c>
      <c r="O708" s="1" t="s">
        <v>41</v>
      </c>
      <c r="P708" s="1" t="s">
        <v>30</v>
      </c>
      <c r="Q708" s="1">
        <v>14</v>
      </c>
      <c r="R708" s="1">
        <v>3</v>
      </c>
      <c r="S708" s="1" t="s">
        <v>33</v>
      </c>
      <c r="T708" s="1" t="s">
        <v>31</v>
      </c>
      <c r="U708" s="1">
        <v>3</v>
      </c>
      <c r="V708" s="1">
        <v>41456</v>
      </c>
      <c r="W708" s="7">
        <v>1216.4000000000001</v>
      </c>
      <c r="X708" s="1">
        <v>0.63</v>
      </c>
      <c r="Y708" s="4">
        <v>44305</v>
      </c>
      <c r="Z708" s="1" t="s">
        <v>32</v>
      </c>
      <c r="AA708" s="1" t="s">
        <v>31</v>
      </c>
      <c r="AB708" s="36" t="str" cm="1">
        <f t="array" ref="AB708">_xlfn.IFS(K708&gt;650,"LOW",K708&gt;=550,"MEDIUM",K708&lt;550,"HIGH")</f>
        <v>LOW</v>
      </c>
    </row>
    <row r="709" spans="3:28" x14ac:dyDescent="0.3">
      <c r="C709" s="35" t="s">
        <v>3277</v>
      </c>
      <c r="D709" s="1" t="s">
        <v>1300</v>
      </c>
      <c r="E709" s="1">
        <v>62</v>
      </c>
      <c r="F709" s="1" t="s">
        <v>26</v>
      </c>
      <c r="G709" s="1" t="s">
        <v>56</v>
      </c>
      <c r="H709" s="1" t="s">
        <v>61</v>
      </c>
      <c r="I709" s="1" t="s">
        <v>29</v>
      </c>
      <c r="J709" s="7">
        <v>140721</v>
      </c>
      <c r="K709" s="1">
        <v>658</v>
      </c>
      <c r="L709" s="7">
        <v>37051</v>
      </c>
      <c r="M709" s="1">
        <v>24</v>
      </c>
      <c r="N709" s="6">
        <v>0.1966</v>
      </c>
      <c r="O709" s="1" t="s">
        <v>46</v>
      </c>
      <c r="P709" s="1" t="s">
        <v>47</v>
      </c>
      <c r="Q709" s="1">
        <v>1</v>
      </c>
      <c r="R709" s="1">
        <v>2</v>
      </c>
      <c r="S709" s="1" t="s">
        <v>33</v>
      </c>
      <c r="T709" s="1" t="s">
        <v>31</v>
      </c>
      <c r="U709" s="1">
        <v>0</v>
      </c>
      <c r="V709" s="1">
        <v>132566</v>
      </c>
      <c r="W709" s="7">
        <v>1246.8900000000001</v>
      </c>
      <c r="X709" s="1">
        <v>0.89</v>
      </c>
      <c r="Y709" s="4">
        <v>44124</v>
      </c>
      <c r="Z709" s="1" t="s">
        <v>38</v>
      </c>
      <c r="AA709" s="1" t="s">
        <v>33</v>
      </c>
      <c r="AB709" s="36" t="str" cm="1">
        <f t="array" ref="AB709">_xlfn.IFS(K709&gt;650,"LOW",K709&gt;=550,"MEDIUM",K709&lt;550,"HIGH")</f>
        <v>LOW</v>
      </c>
    </row>
    <row r="710" spans="3:28" x14ac:dyDescent="0.3">
      <c r="C710" s="35" t="s">
        <v>3501</v>
      </c>
      <c r="D710" s="1" t="s">
        <v>1518</v>
      </c>
      <c r="E710" s="1">
        <v>37</v>
      </c>
      <c r="F710" s="1" t="s">
        <v>44</v>
      </c>
      <c r="G710" s="1" t="s">
        <v>35</v>
      </c>
      <c r="H710" s="1" t="s">
        <v>54</v>
      </c>
      <c r="I710" s="1" t="s">
        <v>57</v>
      </c>
      <c r="J710" s="7">
        <v>71153</v>
      </c>
      <c r="K710" s="1">
        <v>658</v>
      </c>
      <c r="L710" s="7">
        <v>11139</v>
      </c>
      <c r="M710" s="1">
        <v>48</v>
      </c>
      <c r="N710" s="6">
        <v>0.17800000000000002</v>
      </c>
      <c r="O710" s="1" t="s">
        <v>63</v>
      </c>
      <c r="P710" s="1" t="s">
        <v>47</v>
      </c>
      <c r="Q710" s="1">
        <v>12</v>
      </c>
      <c r="R710" s="1">
        <v>2</v>
      </c>
      <c r="S710" s="1" t="s">
        <v>33</v>
      </c>
      <c r="T710" s="1" t="s">
        <v>33</v>
      </c>
      <c r="U710" s="1">
        <v>4</v>
      </c>
      <c r="V710" s="1">
        <v>22169</v>
      </c>
      <c r="W710" s="7">
        <v>776.42</v>
      </c>
      <c r="X710" s="1">
        <v>0.99</v>
      </c>
      <c r="Y710" s="4">
        <v>44871</v>
      </c>
      <c r="Z710" s="1" t="s">
        <v>38</v>
      </c>
      <c r="AA710" s="1" t="s">
        <v>33</v>
      </c>
      <c r="AB710" s="36" t="str" cm="1">
        <f t="array" ref="AB710">_xlfn.IFS(K710&gt;650,"LOW",K710&gt;=550,"MEDIUM",K710&lt;550,"HIGH")</f>
        <v>LOW</v>
      </c>
    </row>
    <row r="711" spans="3:28" x14ac:dyDescent="0.3">
      <c r="C711" s="35" t="s">
        <v>3951</v>
      </c>
      <c r="D711" s="1" t="s">
        <v>1953</v>
      </c>
      <c r="E711" s="1">
        <v>59</v>
      </c>
      <c r="F711" s="1" t="s">
        <v>26</v>
      </c>
      <c r="G711" s="1" t="s">
        <v>45</v>
      </c>
      <c r="H711" s="1" t="s">
        <v>61</v>
      </c>
      <c r="I711" s="1" t="s">
        <v>40</v>
      </c>
      <c r="J711" s="7">
        <v>69112</v>
      </c>
      <c r="K711" s="1">
        <v>658</v>
      </c>
      <c r="L711" s="7">
        <v>3696</v>
      </c>
      <c r="M711" s="1">
        <v>60</v>
      </c>
      <c r="N711" s="6">
        <v>6.480000000000001E-2</v>
      </c>
      <c r="O711" s="1" t="s">
        <v>37</v>
      </c>
      <c r="P711" s="1" t="s">
        <v>47</v>
      </c>
      <c r="Q711" s="1">
        <v>27</v>
      </c>
      <c r="R711" s="1">
        <v>3</v>
      </c>
      <c r="S711" s="1" t="s">
        <v>33</v>
      </c>
      <c r="T711" s="1" t="s">
        <v>31</v>
      </c>
      <c r="U711" s="1">
        <v>4</v>
      </c>
      <c r="V711" s="1">
        <v>142585</v>
      </c>
      <c r="W711" s="7">
        <v>1918.79</v>
      </c>
      <c r="X711" s="1">
        <v>0.46</v>
      </c>
      <c r="Y711" s="4">
        <v>44786</v>
      </c>
      <c r="Z711" s="1" t="s">
        <v>32</v>
      </c>
      <c r="AA711" s="1" t="s">
        <v>33</v>
      </c>
      <c r="AB711" s="36" t="str" cm="1">
        <f t="array" ref="AB711">_xlfn.IFS(K711&gt;650,"LOW",K711&gt;=550,"MEDIUM",K711&lt;550,"HIGH")</f>
        <v>LOW</v>
      </c>
    </row>
    <row r="712" spans="3:28" x14ac:dyDescent="0.3">
      <c r="C712" s="35" t="s">
        <v>2859</v>
      </c>
      <c r="D712" s="1" t="s">
        <v>887</v>
      </c>
      <c r="E712" s="1">
        <v>57</v>
      </c>
      <c r="F712" s="1" t="s">
        <v>44</v>
      </c>
      <c r="G712" s="1" t="s">
        <v>27</v>
      </c>
      <c r="H712" s="1" t="s">
        <v>54</v>
      </c>
      <c r="I712" s="1" t="s">
        <v>57</v>
      </c>
      <c r="J712" s="7">
        <v>91218</v>
      </c>
      <c r="K712" s="1">
        <v>656</v>
      </c>
      <c r="L712" s="7">
        <v>11489</v>
      </c>
      <c r="M712" s="1">
        <v>60</v>
      </c>
      <c r="N712" s="6">
        <v>6.5000000000000002E-2</v>
      </c>
      <c r="O712" s="1" t="s">
        <v>52</v>
      </c>
      <c r="P712" s="1" t="s">
        <v>30</v>
      </c>
      <c r="Q712" s="1">
        <v>10</v>
      </c>
      <c r="R712" s="1">
        <v>1</v>
      </c>
      <c r="S712" s="1" t="s">
        <v>31</v>
      </c>
      <c r="T712" s="1" t="s">
        <v>33</v>
      </c>
      <c r="U712" s="1">
        <v>2</v>
      </c>
      <c r="V712" s="1">
        <v>13144</v>
      </c>
      <c r="W712" s="7">
        <v>132.99</v>
      </c>
      <c r="X712" s="1">
        <v>0.35</v>
      </c>
      <c r="Y712" s="4">
        <v>45616</v>
      </c>
      <c r="Z712" s="1" t="s">
        <v>38</v>
      </c>
      <c r="AA712" s="1" t="s">
        <v>33</v>
      </c>
      <c r="AB712" s="36" t="str" cm="1">
        <f t="array" ref="AB712">_xlfn.IFS(K712&gt;650,"LOW",K712&gt;=550,"MEDIUM",K712&lt;550,"HIGH")</f>
        <v>LOW</v>
      </c>
    </row>
    <row r="713" spans="3:28" x14ac:dyDescent="0.3">
      <c r="C713" s="35" t="s">
        <v>3894</v>
      </c>
      <c r="D713" s="1" t="s">
        <v>1898</v>
      </c>
      <c r="E713" s="1">
        <v>32</v>
      </c>
      <c r="F713" s="1" t="s">
        <v>44</v>
      </c>
      <c r="G713" s="1" t="s">
        <v>56</v>
      </c>
      <c r="H713" s="1" t="s">
        <v>54</v>
      </c>
      <c r="I713" s="1" t="s">
        <v>40</v>
      </c>
      <c r="J713" s="7">
        <v>33703</v>
      </c>
      <c r="K713" s="1">
        <v>656</v>
      </c>
      <c r="L713" s="7">
        <v>25021</v>
      </c>
      <c r="M713" s="1">
        <v>48</v>
      </c>
      <c r="N713" s="6">
        <v>0.19219999999999998</v>
      </c>
      <c r="O713" s="1" t="s">
        <v>46</v>
      </c>
      <c r="P713" s="1" t="s">
        <v>47</v>
      </c>
      <c r="Q713" s="1">
        <v>19</v>
      </c>
      <c r="R713" s="1">
        <v>2</v>
      </c>
      <c r="S713" s="1" t="s">
        <v>31</v>
      </c>
      <c r="T713" s="1" t="s">
        <v>31</v>
      </c>
      <c r="U713" s="1">
        <v>4</v>
      </c>
      <c r="V713" s="1">
        <v>34699</v>
      </c>
      <c r="W713" s="7">
        <v>1558.01</v>
      </c>
      <c r="X713" s="1">
        <v>0.75</v>
      </c>
      <c r="Y713" s="4">
        <v>44030</v>
      </c>
      <c r="Z713" s="1" t="s">
        <v>32</v>
      </c>
      <c r="AA713" s="1" t="s">
        <v>31</v>
      </c>
      <c r="AB713" s="36" t="str" cm="1">
        <f t="array" ref="AB713">_xlfn.IFS(K713&gt;650,"LOW",K713&gt;=550,"MEDIUM",K713&lt;550,"HIGH")</f>
        <v>LOW</v>
      </c>
    </row>
    <row r="714" spans="3:28" x14ac:dyDescent="0.3">
      <c r="C714" s="35" t="s">
        <v>2140</v>
      </c>
      <c r="D714" s="1" t="s">
        <v>171</v>
      </c>
      <c r="E714" s="1">
        <v>55</v>
      </c>
      <c r="F714" s="1" t="s">
        <v>26</v>
      </c>
      <c r="G714" s="1" t="s">
        <v>27</v>
      </c>
      <c r="H714" s="1" t="s">
        <v>54</v>
      </c>
      <c r="I714" s="1" t="s">
        <v>29</v>
      </c>
      <c r="J714" s="7">
        <v>121839</v>
      </c>
      <c r="K714" s="1">
        <v>655</v>
      </c>
      <c r="L714" s="7">
        <v>24482</v>
      </c>
      <c r="M714" s="1">
        <v>48</v>
      </c>
      <c r="N714" s="6">
        <v>0.182</v>
      </c>
      <c r="O714" s="1" t="s">
        <v>63</v>
      </c>
      <c r="P714" s="1" t="s">
        <v>30</v>
      </c>
      <c r="Q714" s="1">
        <v>8</v>
      </c>
      <c r="R714" s="1">
        <v>0</v>
      </c>
      <c r="S714" s="1" t="s">
        <v>33</v>
      </c>
      <c r="T714" s="1" t="s">
        <v>33</v>
      </c>
      <c r="U714" s="1">
        <v>4</v>
      </c>
      <c r="V714" s="1">
        <v>77652</v>
      </c>
      <c r="W714" s="7">
        <v>997.55</v>
      </c>
      <c r="X714" s="1">
        <v>0.96</v>
      </c>
      <c r="Y714" s="4">
        <v>45040</v>
      </c>
      <c r="Z714" s="1" t="s">
        <v>38</v>
      </c>
      <c r="AA714" s="1" t="s">
        <v>31</v>
      </c>
      <c r="AB714" s="36" t="str" cm="1">
        <f t="array" ref="AB714">_xlfn.IFS(K714&gt;650,"LOW",K714&gt;=550,"MEDIUM",K714&lt;550,"HIGH")</f>
        <v>LOW</v>
      </c>
    </row>
    <row r="715" spans="3:28" x14ac:dyDescent="0.3">
      <c r="C715" s="35" t="s">
        <v>2247</v>
      </c>
      <c r="D715" s="1" t="s">
        <v>278</v>
      </c>
      <c r="E715" s="1">
        <v>40</v>
      </c>
      <c r="F715" s="1" t="s">
        <v>44</v>
      </c>
      <c r="G715" s="1" t="s">
        <v>45</v>
      </c>
      <c r="H715" s="1" t="s">
        <v>36</v>
      </c>
      <c r="I715" s="1" t="s">
        <v>29</v>
      </c>
      <c r="J715" s="7">
        <v>137743</v>
      </c>
      <c r="K715" s="1">
        <v>655</v>
      </c>
      <c r="L715" s="7">
        <v>3429</v>
      </c>
      <c r="M715" s="1">
        <v>12</v>
      </c>
      <c r="N715" s="6">
        <v>0.17829999999999999</v>
      </c>
      <c r="O715" s="1" t="s">
        <v>52</v>
      </c>
      <c r="P715" s="1" t="s">
        <v>30</v>
      </c>
      <c r="Q715" s="1">
        <v>15</v>
      </c>
      <c r="R715" s="1">
        <v>0</v>
      </c>
      <c r="S715" s="1" t="s">
        <v>31</v>
      </c>
      <c r="T715" s="1" t="s">
        <v>31</v>
      </c>
      <c r="U715" s="1">
        <v>4</v>
      </c>
      <c r="V715" s="1">
        <v>140435</v>
      </c>
      <c r="W715" s="7">
        <v>1608.02</v>
      </c>
      <c r="X715" s="1">
        <v>0.85</v>
      </c>
      <c r="Y715" s="4">
        <v>44733</v>
      </c>
      <c r="Z715" s="1" t="s">
        <v>38</v>
      </c>
      <c r="AA715" s="1" t="s">
        <v>33</v>
      </c>
      <c r="AB715" s="36" t="str" cm="1">
        <f t="array" ref="AB715">_xlfn.IFS(K715&gt;650,"LOW",K715&gt;=550,"MEDIUM",K715&lt;550,"HIGH")</f>
        <v>LOW</v>
      </c>
    </row>
    <row r="716" spans="3:28" x14ac:dyDescent="0.3">
      <c r="C716" s="35" t="s">
        <v>2358</v>
      </c>
      <c r="D716" s="1" t="s">
        <v>389</v>
      </c>
      <c r="E716" s="1">
        <v>45</v>
      </c>
      <c r="F716" s="1" t="s">
        <v>44</v>
      </c>
      <c r="G716" s="1" t="s">
        <v>27</v>
      </c>
      <c r="H716" s="1" t="s">
        <v>36</v>
      </c>
      <c r="I716" s="1" t="s">
        <v>29</v>
      </c>
      <c r="J716" s="7">
        <v>80231</v>
      </c>
      <c r="K716" s="1">
        <v>655</v>
      </c>
      <c r="L716" s="7">
        <v>15610</v>
      </c>
      <c r="M716" s="1">
        <v>60</v>
      </c>
      <c r="N716" s="6">
        <v>0.1641</v>
      </c>
      <c r="O716" s="1" t="s">
        <v>5</v>
      </c>
      <c r="P716" s="1" t="s">
        <v>47</v>
      </c>
      <c r="Q716" s="1">
        <v>20</v>
      </c>
      <c r="R716" s="1">
        <v>4</v>
      </c>
      <c r="S716" s="1" t="s">
        <v>31</v>
      </c>
      <c r="T716" s="1" t="s">
        <v>31</v>
      </c>
      <c r="U716" s="1">
        <v>3</v>
      </c>
      <c r="V716" s="1">
        <v>143603</v>
      </c>
      <c r="W716" s="7">
        <v>224.2</v>
      </c>
      <c r="X716" s="1">
        <v>0.71</v>
      </c>
      <c r="Y716" s="4">
        <v>45832</v>
      </c>
      <c r="Z716" s="1" t="s">
        <v>32</v>
      </c>
      <c r="AA716" s="1" t="s">
        <v>31</v>
      </c>
      <c r="AB716" s="36" t="str" cm="1">
        <f t="array" ref="AB716">_xlfn.IFS(K716&gt;650,"LOW",K716&gt;=550,"MEDIUM",K716&lt;550,"HIGH")</f>
        <v>LOW</v>
      </c>
    </row>
    <row r="717" spans="3:28" x14ac:dyDescent="0.3">
      <c r="C717" s="35" t="s">
        <v>2588</v>
      </c>
      <c r="D717" s="1" t="s">
        <v>618</v>
      </c>
      <c r="E717" s="1">
        <v>29</v>
      </c>
      <c r="F717" s="1" t="s">
        <v>44</v>
      </c>
      <c r="G717" s="1" t="s">
        <v>56</v>
      </c>
      <c r="H717" s="1" t="s">
        <v>28</v>
      </c>
      <c r="I717" s="1" t="s">
        <v>59</v>
      </c>
      <c r="J717" s="7">
        <v>40104</v>
      </c>
      <c r="K717" s="1">
        <v>655</v>
      </c>
      <c r="L717" s="7">
        <v>16021</v>
      </c>
      <c r="M717" s="1">
        <v>36</v>
      </c>
      <c r="N717" s="6">
        <v>5.2999999999999999E-2</v>
      </c>
      <c r="O717" s="1" t="s">
        <v>52</v>
      </c>
      <c r="P717" s="1" t="s">
        <v>30</v>
      </c>
      <c r="Q717" s="1">
        <v>1</v>
      </c>
      <c r="R717" s="1">
        <v>3</v>
      </c>
      <c r="S717" s="1" t="s">
        <v>31</v>
      </c>
      <c r="T717" s="1" t="s">
        <v>33</v>
      </c>
      <c r="U717" s="1">
        <v>1</v>
      </c>
      <c r="V717" s="1">
        <v>50141</v>
      </c>
      <c r="W717" s="7">
        <v>1921.45</v>
      </c>
      <c r="X717" s="1">
        <v>0.41</v>
      </c>
      <c r="Y717" s="4">
        <v>45039</v>
      </c>
      <c r="Z717" s="1" t="s">
        <v>38</v>
      </c>
      <c r="AA717" s="1" t="s">
        <v>31</v>
      </c>
      <c r="AB717" s="36" t="str" cm="1">
        <f t="array" ref="AB717">_xlfn.IFS(K717&gt;650,"LOW",K717&gt;=550,"MEDIUM",K717&lt;550,"HIGH")</f>
        <v>LOW</v>
      </c>
    </row>
    <row r="718" spans="3:28" x14ac:dyDescent="0.3">
      <c r="C718" s="35" t="s">
        <v>2756</v>
      </c>
      <c r="D718" s="1" t="s">
        <v>785</v>
      </c>
      <c r="E718" s="1">
        <v>41</v>
      </c>
      <c r="F718" s="1" t="s">
        <v>44</v>
      </c>
      <c r="G718" s="1" t="s">
        <v>35</v>
      </c>
      <c r="H718" s="1" t="s">
        <v>36</v>
      </c>
      <c r="I718" s="1" t="s">
        <v>40</v>
      </c>
      <c r="J718" s="7">
        <v>41304</v>
      </c>
      <c r="K718" s="1">
        <v>655</v>
      </c>
      <c r="L718" s="7">
        <v>27943</v>
      </c>
      <c r="M718" s="1">
        <v>24</v>
      </c>
      <c r="N718" s="6">
        <v>0.18160000000000001</v>
      </c>
      <c r="O718" s="1" t="s">
        <v>63</v>
      </c>
      <c r="P718" s="1" t="s">
        <v>50</v>
      </c>
      <c r="Q718" s="1">
        <v>18</v>
      </c>
      <c r="R718" s="1">
        <v>4</v>
      </c>
      <c r="S718" s="1" t="s">
        <v>31</v>
      </c>
      <c r="T718" s="1" t="s">
        <v>31</v>
      </c>
      <c r="U718" s="1">
        <v>0</v>
      </c>
      <c r="V718" s="1">
        <v>54588</v>
      </c>
      <c r="W718" s="7">
        <v>1672.75</v>
      </c>
      <c r="X718" s="1">
        <v>0.25</v>
      </c>
      <c r="Y718" s="4">
        <v>44108</v>
      </c>
      <c r="Z718" s="1" t="s">
        <v>38</v>
      </c>
      <c r="AA718" s="1" t="s">
        <v>31</v>
      </c>
      <c r="AB718" s="36" t="str" cm="1">
        <f t="array" ref="AB718">_xlfn.IFS(K718&gt;650,"LOW",K718&gt;=550,"MEDIUM",K718&lt;550,"HIGH")</f>
        <v>LOW</v>
      </c>
    </row>
    <row r="719" spans="3:28" x14ac:dyDescent="0.3">
      <c r="C719" s="35" t="s">
        <v>2819</v>
      </c>
      <c r="D719" s="1" t="s">
        <v>847</v>
      </c>
      <c r="E719" s="1">
        <v>21</v>
      </c>
      <c r="F719" s="1" t="s">
        <v>44</v>
      </c>
      <c r="G719" s="1" t="s">
        <v>35</v>
      </c>
      <c r="H719" s="1" t="s">
        <v>61</v>
      </c>
      <c r="I719" s="1" t="s">
        <v>59</v>
      </c>
      <c r="J719" s="7">
        <v>85305</v>
      </c>
      <c r="K719" s="1">
        <v>655</v>
      </c>
      <c r="L719" s="7">
        <v>37903</v>
      </c>
      <c r="M719" s="1">
        <v>36</v>
      </c>
      <c r="N719" s="6">
        <v>0.1406</v>
      </c>
      <c r="O719" s="1" t="s">
        <v>46</v>
      </c>
      <c r="P719" s="1" t="s">
        <v>47</v>
      </c>
      <c r="Q719" s="1">
        <v>24</v>
      </c>
      <c r="R719" s="1">
        <v>0</v>
      </c>
      <c r="S719" s="1" t="s">
        <v>31</v>
      </c>
      <c r="T719" s="1" t="s">
        <v>31</v>
      </c>
      <c r="U719" s="1">
        <v>0</v>
      </c>
      <c r="V719" s="1">
        <v>185135</v>
      </c>
      <c r="W719" s="7">
        <v>1812.87</v>
      </c>
      <c r="X719" s="1">
        <v>0.16</v>
      </c>
      <c r="Y719" s="4">
        <v>45325</v>
      </c>
      <c r="Z719" s="1" t="s">
        <v>32</v>
      </c>
      <c r="AA719" s="1" t="s">
        <v>33</v>
      </c>
      <c r="AB719" s="36" t="str" cm="1">
        <f t="array" ref="AB719">_xlfn.IFS(K719&gt;650,"LOW",K719&gt;=550,"MEDIUM",K719&lt;550,"HIGH")</f>
        <v>LOW</v>
      </c>
    </row>
    <row r="720" spans="3:28" x14ac:dyDescent="0.3">
      <c r="C720" s="35" t="s">
        <v>3538</v>
      </c>
      <c r="D720" s="1" t="s">
        <v>1555</v>
      </c>
      <c r="E720" s="1">
        <v>38</v>
      </c>
      <c r="F720" s="1" t="s">
        <v>26</v>
      </c>
      <c r="G720" s="1" t="s">
        <v>35</v>
      </c>
      <c r="H720" s="1" t="s">
        <v>28</v>
      </c>
      <c r="I720" s="1" t="s">
        <v>29</v>
      </c>
      <c r="J720" s="7">
        <v>136908</v>
      </c>
      <c r="K720" s="1">
        <v>655</v>
      </c>
      <c r="L720" s="7">
        <v>35617</v>
      </c>
      <c r="M720" s="1">
        <v>12</v>
      </c>
      <c r="N720" s="6">
        <v>0.17910000000000001</v>
      </c>
      <c r="O720" s="1" t="s">
        <v>52</v>
      </c>
      <c r="P720" s="1" t="s">
        <v>30</v>
      </c>
      <c r="Q720" s="1">
        <v>24</v>
      </c>
      <c r="R720" s="1">
        <v>2</v>
      </c>
      <c r="S720" s="1" t="s">
        <v>31</v>
      </c>
      <c r="T720" s="1" t="s">
        <v>33</v>
      </c>
      <c r="U720" s="1">
        <v>0</v>
      </c>
      <c r="V720" s="1">
        <v>39237</v>
      </c>
      <c r="W720" s="7">
        <v>513.41</v>
      </c>
      <c r="X720" s="1">
        <v>0.17</v>
      </c>
      <c r="Y720" s="4">
        <v>45731</v>
      </c>
      <c r="Z720" s="1" t="s">
        <v>38</v>
      </c>
      <c r="AA720" s="1" t="s">
        <v>33</v>
      </c>
      <c r="AB720" s="36" t="str" cm="1">
        <f t="array" ref="AB720">_xlfn.IFS(K720&gt;650,"LOW",K720&gt;=550,"MEDIUM",K720&lt;550,"HIGH")</f>
        <v>LOW</v>
      </c>
    </row>
    <row r="721" spans="3:28" x14ac:dyDescent="0.3">
      <c r="C721" s="35" t="s">
        <v>2604</v>
      </c>
      <c r="D721" s="1" t="s">
        <v>634</v>
      </c>
      <c r="E721" s="1">
        <v>39</v>
      </c>
      <c r="F721" s="1" t="s">
        <v>26</v>
      </c>
      <c r="G721" s="1" t="s">
        <v>45</v>
      </c>
      <c r="H721" s="1" t="s">
        <v>36</v>
      </c>
      <c r="I721" s="1" t="s">
        <v>57</v>
      </c>
      <c r="J721" s="7">
        <v>69833</v>
      </c>
      <c r="K721" s="1">
        <v>654</v>
      </c>
      <c r="L721" s="7">
        <v>19740</v>
      </c>
      <c r="M721" s="1">
        <v>60</v>
      </c>
      <c r="N721" s="6">
        <v>0.14279999999999998</v>
      </c>
      <c r="O721" s="1" t="s">
        <v>5</v>
      </c>
      <c r="P721" s="1" t="s">
        <v>50</v>
      </c>
      <c r="Q721" s="1">
        <v>20</v>
      </c>
      <c r="R721" s="1">
        <v>3</v>
      </c>
      <c r="S721" s="1" t="s">
        <v>31</v>
      </c>
      <c r="T721" s="1" t="s">
        <v>31</v>
      </c>
      <c r="U721" s="1">
        <v>0</v>
      </c>
      <c r="V721" s="1">
        <v>110261</v>
      </c>
      <c r="W721" s="7">
        <v>1628.44</v>
      </c>
      <c r="X721" s="1">
        <v>0.25</v>
      </c>
      <c r="Y721" s="4">
        <v>45317</v>
      </c>
      <c r="Z721" s="1" t="s">
        <v>38</v>
      </c>
      <c r="AA721" s="1" t="s">
        <v>33</v>
      </c>
      <c r="AB721" s="36" t="str" cm="1">
        <f t="array" ref="AB721">_xlfn.IFS(K721&gt;650,"LOW",K721&gt;=550,"MEDIUM",K721&lt;550,"HIGH")</f>
        <v>LOW</v>
      </c>
    </row>
    <row r="722" spans="3:28" x14ac:dyDescent="0.3">
      <c r="C722" s="35" t="s">
        <v>2637</v>
      </c>
      <c r="D722" s="1" t="s">
        <v>667</v>
      </c>
      <c r="E722" s="1">
        <v>58</v>
      </c>
      <c r="F722" s="1" t="s">
        <v>26</v>
      </c>
      <c r="G722" s="1" t="s">
        <v>35</v>
      </c>
      <c r="H722" s="1" t="s">
        <v>36</v>
      </c>
      <c r="I722" s="1" t="s">
        <v>59</v>
      </c>
      <c r="J722" s="7">
        <v>35043</v>
      </c>
      <c r="K722" s="1">
        <v>654</v>
      </c>
      <c r="L722" s="7">
        <v>49282</v>
      </c>
      <c r="M722" s="1">
        <v>60</v>
      </c>
      <c r="N722" s="6">
        <v>0.18390000000000001</v>
      </c>
      <c r="O722" s="1" t="s">
        <v>52</v>
      </c>
      <c r="P722" s="1" t="s">
        <v>30</v>
      </c>
      <c r="Q722" s="1">
        <v>17</v>
      </c>
      <c r="R722" s="1">
        <v>4</v>
      </c>
      <c r="S722" s="1" t="s">
        <v>31</v>
      </c>
      <c r="T722" s="1" t="s">
        <v>33</v>
      </c>
      <c r="U722" s="1">
        <v>4</v>
      </c>
      <c r="V722" s="1">
        <v>197822</v>
      </c>
      <c r="W722" s="7">
        <v>477.17</v>
      </c>
      <c r="X722" s="1">
        <v>0.94</v>
      </c>
      <c r="Y722" s="4">
        <v>45619</v>
      </c>
      <c r="Z722" s="1" t="s">
        <v>38</v>
      </c>
      <c r="AA722" s="1" t="s">
        <v>33</v>
      </c>
      <c r="AB722" s="36" t="str" cm="1">
        <f t="array" ref="AB722">_xlfn.IFS(K722&gt;650,"LOW",K722&gt;=550,"MEDIUM",K722&lt;550,"HIGH")</f>
        <v>LOW</v>
      </c>
    </row>
    <row r="723" spans="3:28" x14ac:dyDescent="0.3">
      <c r="C723" s="35" t="s">
        <v>2332</v>
      </c>
      <c r="D723" s="1" t="s">
        <v>363</v>
      </c>
      <c r="E723" s="1">
        <v>48</v>
      </c>
      <c r="F723" s="1" t="s">
        <v>26</v>
      </c>
      <c r="G723" s="1" t="s">
        <v>27</v>
      </c>
      <c r="H723" s="1" t="s">
        <v>28</v>
      </c>
      <c r="I723" s="1" t="s">
        <v>59</v>
      </c>
      <c r="J723" s="7">
        <v>82888</v>
      </c>
      <c r="K723" s="1">
        <v>653</v>
      </c>
      <c r="L723" s="7">
        <v>27490</v>
      </c>
      <c r="M723" s="1">
        <v>60</v>
      </c>
      <c r="N723" s="6">
        <v>7.5199999999999989E-2</v>
      </c>
      <c r="O723" s="1" t="s">
        <v>5</v>
      </c>
      <c r="P723" s="1" t="s">
        <v>47</v>
      </c>
      <c r="Q723" s="1">
        <v>19</v>
      </c>
      <c r="R723" s="1">
        <v>1</v>
      </c>
      <c r="S723" s="1" t="s">
        <v>31</v>
      </c>
      <c r="T723" s="1" t="s">
        <v>33</v>
      </c>
      <c r="U723" s="1">
        <v>3</v>
      </c>
      <c r="V723" s="1">
        <v>43923</v>
      </c>
      <c r="W723" s="7">
        <v>753.55</v>
      </c>
      <c r="X723" s="1">
        <v>0.48</v>
      </c>
      <c r="Y723" s="4">
        <v>44519</v>
      </c>
      <c r="Z723" s="1" t="s">
        <v>38</v>
      </c>
      <c r="AA723" s="1" t="s">
        <v>31</v>
      </c>
      <c r="AB723" s="36" t="str" cm="1">
        <f t="array" ref="AB723">_xlfn.IFS(K723&gt;650,"LOW",K723&gt;=550,"MEDIUM",K723&lt;550,"HIGH")</f>
        <v>LOW</v>
      </c>
    </row>
    <row r="724" spans="3:28" x14ac:dyDescent="0.3">
      <c r="C724" s="35" t="s">
        <v>2387</v>
      </c>
      <c r="D724" s="1" t="s">
        <v>417</v>
      </c>
      <c r="E724" s="1">
        <v>40</v>
      </c>
      <c r="F724" s="1" t="s">
        <v>44</v>
      </c>
      <c r="G724" s="1" t="s">
        <v>35</v>
      </c>
      <c r="H724" s="1" t="s">
        <v>54</v>
      </c>
      <c r="I724" s="1" t="s">
        <v>57</v>
      </c>
      <c r="J724" s="7">
        <v>146277</v>
      </c>
      <c r="K724" s="1">
        <v>653</v>
      </c>
      <c r="L724" s="7">
        <v>27415</v>
      </c>
      <c r="M724" s="1">
        <v>36</v>
      </c>
      <c r="N724" s="6">
        <v>5.5500000000000001E-2</v>
      </c>
      <c r="O724" s="1" t="s">
        <v>52</v>
      </c>
      <c r="P724" s="1" t="s">
        <v>50</v>
      </c>
      <c r="Q724" s="1">
        <v>13</v>
      </c>
      <c r="R724" s="1">
        <v>1</v>
      </c>
      <c r="S724" s="1" t="s">
        <v>33</v>
      </c>
      <c r="T724" s="1" t="s">
        <v>33</v>
      </c>
      <c r="U724" s="1">
        <v>3</v>
      </c>
      <c r="V724" s="1">
        <v>91796</v>
      </c>
      <c r="W724" s="7">
        <v>1823.07</v>
      </c>
      <c r="X724" s="1">
        <v>0.45</v>
      </c>
      <c r="Y724" s="4">
        <v>45446</v>
      </c>
      <c r="Z724" s="1" t="s">
        <v>38</v>
      </c>
      <c r="AA724" s="1" t="s">
        <v>31</v>
      </c>
      <c r="AB724" s="36" t="str" cm="1">
        <f t="array" ref="AB724">_xlfn.IFS(K724&gt;650,"LOW",K724&gt;=550,"MEDIUM",K724&lt;550,"HIGH")</f>
        <v>LOW</v>
      </c>
    </row>
    <row r="725" spans="3:28" x14ac:dyDescent="0.3">
      <c r="C725" s="35" t="s">
        <v>3691</v>
      </c>
      <c r="D725" s="1" t="s">
        <v>1702</v>
      </c>
      <c r="E725" s="1">
        <v>36</v>
      </c>
      <c r="F725" s="1" t="s">
        <v>26</v>
      </c>
      <c r="G725" s="1" t="s">
        <v>45</v>
      </c>
      <c r="H725" s="1" t="s">
        <v>28</v>
      </c>
      <c r="I725" s="1" t="s">
        <v>57</v>
      </c>
      <c r="J725" s="7">
        <v>116557</v>
      </c>
      <c r="K725" s="1">
        <v>653</v>
      </c>
      <c r="L725" s="7">
        <v>9266</v>
      </c>
      <c r="M725" s="1">
        <v>36</v>
      </c>
      <c r="N725" s="6">
        <v>0.1057</v>
      </c>
      <c r="O725" s="1" t="s">
        <v>63</v>
      </c>
      <c r="P725" s="1" t="s">
        <v>30</v>
      </c>
      <c r="Q725" s="1">
        <v>12</v>
      </c>
      <c r="R725" s="1">
        <v>4</v>
      </c>
      <c r="S725" s="1" t="s">
        <v>31</v>
      </c>
      <c r="T725" s="1" t="s">
        <v>31</v>
      </c>
      <c r="U725" s="1">
        <v>2</v>
      </c>
      <c r="V725" s="1">
        <v>30897</v>
      </c>
      <c r="W725" s="7">
        <v>658.64</v>
      </c>
      <c r="X725" s="1">
        <v>0.51</v>
      </c>
      <c r="Y725" s="4">
        <v>45534</v>
      </c>
      <c r="Z725" s="1" t="s">
        <v>32</v>
      </c>
      <c r="AA725" s="1" t="s">
        <v>33</v>
      </c>
      <c r="AB725" s="36" t="str" cm="1">
        <f t="array" ref="AB725">_xlfn.IFS(K725&gt;650,"LOW",K725&gt;=550,"MEDIUM",K725&lt;550,"HIGH")</f>
        <v>LOW</v>
      </c>
    </row>
    <row r="726" spans="3:28" x14ac:dyDescent="0.3">
      <c r="C726" s="35" t="s">
        <v>3747</v>
      </c>
      <c r="D726" s="1" t="s">
        <v>1755</v>
      </c>
      <c r="E726" s="1">
        <v>36</v>
      </c>
      <c r="F726" s="1" t="s">
        <v>26</v>
      </c>
      <c r="G726" s="1" t="s">
        <v>45</v>
      </c>
      <c r="H726" s="1" t="s">
        <v>61</v>
      </c>
      <c r="I726" s="1" t="s">
        <v>59</v>
      </c>
      <c r="J726" s="7">
        <v>41498</v>
      </c>
      <c r="K726" s="1">
        <v>653</v>
      </c>
      <c r="L726" s="7">
        <v>39976</v>
      </c>
      <c r="M726" s="1">
        <v>36</v>
      </c>
      <c r="N726" s="6">
        <v>5.6799999999999996E-2</v>
      </c>
      <c r="O726" s="1" t="s">
        <v>37</v>
      </c>
      <c r="P726" s="1" t="s">
        <v>30</v>
      </c>
      <c r="Q726" s="1">
        <v>29</v>
      </c>
      <c r="R726" s="1">
        <v>2</v>
      </c>
      <c r="S726" s="1" t="s">
        <v>33</v>
      </c>
      <c r="T726" s="1" t="s">
        <v>33</v>
      </c>
      <c r="U726" s="1">
        <v>1</v>
      </c>
      <c r="V726" s="1">
        <v>179410</v>
      </c>
      <c r="W726" s="7">
        <v>536.99</v>
      </c>
      <c r="X726" s="1">
        <v>0.84</v>
      </c>
      <c r="Y726" s="4">
        <v>44847</v>
      </c>
      <c r="Z726" s="1" t="s">
        <v>32</v>
      </c>
      <c r="AA726" s="1" t="s">
        <v>33</v>
      </c>
      <c r="AB726" s="36" t="str" cm="1">
        <f t="array" ref="AB726">_xlfn.IFS(K726&gt;650,"LOW",K726&gt;=550,"MEDIUM",K726&lt;550,"HIGH")</f>
        <v>LOW</v>
      </c>
    </row>
    <row r="727" spans="3:28" x14ac:dyDescent="0.3">
      <c r="C727" s="35" t="s">
        <v>2044</v>
      </c>
      <c r="D727" s="1" t="s">
        <v>75</v>
      </c>
      <c r="E727" s="1">
        <v>53</v>
      </c>
      <c r="F727" s="1" t="s">
        <v>26</v>
      </c>
      <c r="G727" s="1" t="s">
        <v>27</v>
      </c>
      <c r="H727" s="1" t="s">
        <v>54</v>
      </c>
      <c r="I727" s="1" t="s">
        <v>40</v>
      </c>
      <c r="J727" s="7">
        <v>138645</v>
      </c>
      <c r="K727" s="1">
        <v>652</v>
      </c>
      <c r="L727" s="7">
        <v>30486</v>
      </c>
      <c r="M727" s="1">
        <v>12</v>
      </c>
      <c r="N727" s="6">
        <v>0.18350000000000002</v>
      </c>
      <c r="O727" s="1" t="s">
        <v>37</v>
      </c>
      <c r="P727" s="1" t="s">
        <v>30</v>
      </c>
      <c r="Q727" s="1">
        <v>21</v>
      </c>
      <c r="R727" s="1">
        <v>1</v>
      </c>
      <c r="S727" s="1" t="s">
        <v>31</v>
      </c>
      <c r="T727" s="1" t="s">
        <v>33</v>
      </c>
      <c r="U727" s="1">
        <v>3</v>
      </c>
      <c r="V727" s="1">
        <v>38741</v>
      </c>
      <c r="W727" s="7">
        <v>927.75</v>
      </c>
      <c r="X727" s="1">
        <v>0.66</v>
      </c>
      <c r="Y727" s="4">
        <v>44593</v>
      </c>
      <c r="Z727" s="1" t="s">
        <v>32</v>
      </c>
      <c r="AA727" s="1" t="s">
        <v>33</v>
      </c>
      <c r="AB727" s="36" t="str" cm="1">
        <f t="array" ref="AB727">_xlfn.IFS(K727&gt;650,"LOW",K727&gt;=550,"MEDIUM",K727&lt;550,"HIGH")</f>
        <v>LOW</v>
      </c>
    </row>
    <row r="728" spans="3:28" x14ac:dyDescent="0.3">
      <c r="C728" s="35" t="s">
        <v>2112</v>
      </c>
      <c r="D728" s="1" t="s">
        <v>143</v>
      </c>
      <c r="E728" s="1">
        <v>64</v>
      </c>
      <c r="F728" s="1" t="s">
        <v>44</v>
      </c>
      <c r="G728" s="1" t="s">
        <v>35</v>
      </c>
      <c r="H728" s="1" t="s">
        <v>36</v>
      </c>
      <c r="I728" s="1" t="s">
        <v>29</v>
      </c>
      <c r="J728" s="7">
        <v>88369</v>
      </c>
      <c r="K728" s="1">
        <v>652</v>
      </c>
      <c r="L728" s="7">
        <v>43039</v>
      </c>
      <c r="M728" s="1">
        <v>24</v>
      </c>
      <c r="N728" s="6">
        <v>0.11109999999999999</v>
      </c>
      <c r="O728" s="1" t="s">
        <v>46</v>
      </c>
      <c r="P728" s="1" t="s">
        <v>50</v>
      </c>
      <c r="Q728" s="1">
        <v>26</v>
      </c>
      <c r="R728" s="1">
        <v>0</v>
      </c>
      <c r="S728" s="1" t="s">
        <v>33</v>
      </c>
      <c r="T728" s="1" t="s">
        <v>31</v>
      </c>
      <c r="U728" s="1">
        <v>2</v>
      </c>
      <c r="V728" s="1">
        <v>78880</v>
      </c>
      <c r="W728" s="7">
        <v>253</v>
      </c>
      <c r="X728" s="1">
        <v>0.69</v>
      </c>
      <c r="Y728" s="4">
        <v>44897</v>
      </c>
      <c r="Z728" s="1" t="s">
        <v>38</v>
      </c>
      <c r="AA728" s="1" t="s">
        <v>31</v>
      </c>
      <c r="AB728" s="36" t="str" cm="1">
        <f t="array" ref="AB728">_xlfn.IFS(K728&gt;650,"LOW",K728&gt;=550,"MEDIUM",K728&lt;550,"HIGH")</f>
        <v>LOW</v>
      </c>
    </row>
    <row r="729" spans="3:28" x14ac:dyDescent="0.3">
      <c r="C729" s="35" t="s">
        <v>2723</v>
      </c>
      <c r="D729" s="1" t="s">
        <v>753</v>
      </c>
      <c r="E729" s="1">
        <v>57</v>
      </c>
      <c r="F729" s="1" t="s">
        <v>44</v>
      </c>
      <c r="G729" s="1" t="s">
        <v>35</v>
      </c>
      <c r="H729" s="1" t="s">
        <v>54</v>
      </c>
      <c r="I729" s="1" t="s">
        <v>59</v>
      </c>
      <c r="J729" s="7">
        <v>148564</v>
      </c>
      <c r="K729" s="1">
        <v>652</v>
      </c>
      <c r="L729" s="7">
        <v>34607</v>
      </c>
      <c r="M729" s="1">
        <v>60</v>
      </c>
      <c r="N729" s="6">
        <v>6.0499999999999998E-2</v>
      </c>
      <c r="O729" s="1" t="s">
        <v>5</v>
      </c>
      <c r="P729" s="1" t="s">
        <v>47</v>
      </c>
      <c r="Q729" s="1">
        <v>16</v>
      </c>
      <c r="R729" s="1">
        <v>2</v>
      </c>
      <c r="S729" s="1" t="s">
        <v>33</v>
      </c>
      <c r="T729" s="1" t="s">
        <v>31</v>
      </c>
      <c r="U729" s="1">
        <v>1</v>
      </c>
      <c r="V729" s="1">
        <v>179431</v>
      </c>
      <c r="W729" s="7">
        <v>1869.97</v>
      </c>
      <c r="X729" s="1">
        <v>0.52</v>
      </c>
      <c r="Y729" s="4">
        <v>44736</v>
      </c>
      <c r="Z729" s="1" t="s">
        <v>32</v>
      </c>
      <c r="AA729" s="1" t="s">
        <v>33</v>
      </c>
      <c r="AB729" s="36" t="str" cm="1">
        <f t="array" ref="AB729">_xlfn.IFS(K729&gt;650,"LOW",K729&gt;=550,"MEDIUM",K729&lt;550,"HIGH")</f>
        <v>LOW</v>
      </c>
    </row>
    <row r="730" spans="3:28" x14ac:dyDescent="0.3">
      <c r="C730" s="35" t="s">
        <v>3265</v>
      </c>
      <c r="D730" s="1" t="s">
        <v>1288</v>
      </c>
      <c r="E730" s="1">
        <v>42</v>
      </c>
      <c r="F730" s="1" t="s">
        <v>44</v>
      </c>
      <c r="G730" s="1" t="s">
        <v>27</v>
      </c>
      <c r="H730" s="1" t="s">
        <v>61</v>
      </c>
      <c r="I730" s="1" t="s">
        <v>40</v>
      </c>
      <c r="J730" s="7">
        <v>23513</v>
      </c>
      <c r="K730" s="1">
        <v>652</v>
      </c>
      <c r="L730" s="7">
        <v>33269</v>
      </c>
      <c r="M730" s="1">
        <v>24</v>
      </c>
      <c r="N730" s="6">
        <v>6.1799999999999994E-2</v>
      </c>
      <c r="O730" s="1" t="s">
        <v>5</v>
      </c>
      <c r="P730" s="1" t="s">
        <v>50</v>
      </c>
      <c r="Q730" s="1">
        <v>14</v>
      </c>
      <c r="R730" s="1">
        <v>3</v>
      </c>
      <c r="S730" s="1" t="s">
        <v>33</v>
      </c>
      <c r="T730" s="1" t="s">
        <v>33</v>
      </c>
      <c r="U730" s="1">
        <v>3</v>
      </c>
      <c r="V730" s="1">
        <v>25811</v>
      </c>
      <c r="W730" s="7">
        <v>397.95</v>
      </c>
      <c r="X730" s="1">
        <v>0.13</v>
      </c>
      <c r="Y730" s="4">
        <v>44442</v>
      </c>
      <c r="Z730" s="1" t="s">
        <v>32</v>
      </c>
      <c r="AA730" s="1" t="s">
        <v>33</v>
      </c>
      <c r="AB730" s="36" t="str" cm="1">
        <f t="array" ref="AB730">_xlfn.IFS(K730&gt;650,"LOW",K730&gt;=550,"MEDIUM",K730&lt;550,"HIGH")</f>
        <v>LOW</v>
      </c>
    </row>
    <row r="731" spans="3:28" x14ac:dyDescent="0.3">
      <c r="C731" s="35" t="s">
        <v>3417</v>
      </c>
      <c r="D731" s="1" t="s">
        <v>1437</v>
      </c>
      <c r="E731" s="1">
        <v>43</v>
      </c>
      <c r="F731" s="1" t="s">
        <v>26</v>
      </c>
      <c r="G731" s="1" t="s">
        <v>56</v>
      </c>
      <c r="H731" s="1" t="s">
        <v>61</v>
      </c>
      <c r="I731" s="1" t="s">
        <v>40</v>
      </c>
      <c r="J731" s="7">
        <v>62399</v>
      </c>
      <c r="K731" s="1">
        <v>652</v>
      </c>
      <c r="L731" s="7">
        <v>1615</v>
      </c>
      <c r="M731" s="1">
        <v>24</v>
      </c>
      <c r="N731" s="6">
        <v>6.8099999999999994E-2</v>
      </c>
      <c r="O731" s="1" t="s">
        <v>52</v>
      </c>
      <c r="P731" s="1" t="s">
        <v>30</v>
      </c>
      <c r="Q731" s="1">
        <v>14</v>
      </c>
      <c r="R731" s="1">
        <v>2</v>
      </c>
      <c r="S731" s="1" t="s">
        <v>31</v>
      </c>
      <c r="T731" s="1" t="s">
        <v>31</v>
      </c>
      <c r="U731" s="1">
        <v>3</v>
      </c>
      <c r="V731" s="1">
        <v>38731</v>
      </c>
      <c r="W731" s="7">
        <v>605.01</v>
      </c>
      <c r="X731" s="1">
        <v>0.92</v>
      </c>
      <c r="Y731" s="4">
        <v>44843</v>
      </c>
      <c r="Z731" s="1" t="s">
        <v>32</v>
      </c>
      <c r="AA731" s="1" t="s">
        <v>33</v>
      </c>
      <c r="AB731" s="36" t="str" cm="1">
        <f t="array" ref="AB731">_xlfn.IFS(K731&gt;650,"LOW",K731&gt;=550,"MEDIUM",K731&lt;550,"HIGH")</f>
        <v>LOW</v>
      </c>
    </row>
    <row r="732" spans="3:28" x14ac:dyDescent="0.3">
      <c r="C732" s="35" t="s">
        <v>3905</v>
      </c>
      <c r="D732" s="1" t="s">
        <v>1909</v>
      </c>
      <c r="E732" s="1">
        <v>30</v>
      </c>
      <c r="F732" s="1" t="s">
        <v>44</v>
      </c>
      <c r="G732" s="1" t="s">
        <v>27</v>
      </c>
      <c r="H732" s="1" t="s">
        <v>28</v>
      </c>
      <c r="I732" s="1" t="s">
        <v>57</v>
      </c>
      <c r="J732" s="7">
        <v>134296</v>
      </c>
      <c r="K732" s="1">
        <v>652</v>
      </c>
      <c r="L732" s="7">
        <v>37446</v>
      </c>
      <c r="M732" s="1">
        <v>60</v>
      </c>
      <c r="N732" s="6">
        <v>0.19800000000000001</v>
      </c>
      <c r="O732" s="1" t="s">
        <v>37</v>
      </c>
      <c r="P732" s="1" t="s">
        <v>30</v>
      </c>
      <c r="Q732" s="1">
        <v>18</v>
      </c>
      <c r="R732" s="1">
        <v>2</v>
      </c>
      <c r="S732" s="1" t="s">
        <v>33</v>
      </c>
      <c r="T732" s="1" t="s">
        <v>31</v>
      </c>
      <c r="U732" s="1">
        <v>4</v>
      </c>
      <c r="V732" s="1">
        <v>62358</v>
      </c>
      <c r="W732" s="7">
        <v>139.13999999999999</v>
      </c>
      <c r="X732" s="1">
        <v>0.63</v>
      </c>
      <c r="Y732" s="4">
        <v>44668</v>
      </c>
      <c r="Z732" s="1" t="s">
        <v>32</v>
      </c>
      <c r="AA732" s="1" t="s">
        <v>33</v>
      </c>
      <c r="AB732" s="36" t="str" cm="1">
        <f t="array" ref="AB732">_xlfn.IFS(K732&gt;650,"LOW",K732&gt;=550,"MEDIUM",K732&lt;550,"HIGH")</f>
        <v>LOW</v>
      </c>
    </row>
    <row r="733" spans="3:28" x14ac:dyDescent="0.3">
      <c r="C733" s="35" t="s">
        <v>2496</v>
      </c>
      <c r="D733" s="1" t="s">
        <v>526</v>
      </c>
      <c r="E733" s="1">
        <v>32</v>
      </c>
      <c r="F733" s="1" t="s">
        <v>44</v>
      </c>
      <c r="G733" s="1" t="s">
        <v>56</v>
      </c>
      <c r="H733" s="1" t="s">
        <v>54</v>
      </c>
      <c r="I733" s="1" t="s">
        <v>29</v>
      </c>
      <c r="J733" s="7">
        <v>54808</v>
      </c>
      <c r="K733" s="1">
        <v>651</v>
      </c>
      <c r="L733" s="7">
        <v>17427</v>
      </c>
      <c r="M733" s="1">
        <v>48</v>
      </c>
      <c r="N733" s="6">
        <v>0.14400000000000002</v>
      </c>
      <c r="O733" s="1" t="s">
        <v>37</v>
      </c>
      <c r="P733" s="1" t="s">
        <v>30</v>
      </c>
      <c r="Q733" s="1">
        <v>24</v>
      </c>
      <c r="R733" s="1">
        <v>1</v>
      </c>
      <c r="S733" s="1" t="s">
        <v>31</v>
      </c>
      <c r="T733" s="1" t="s">
        <v>31</v>
      </c>
      <c r="U733" s="1">
        <v>1</v>
      </c>
      <c r="V733" s="1">
        <v>97216</v>
      </c>
      <c r="W733" s="7">
        <v>600.54</v>
      </c>
      <c r="X733" s="1">
        <v>0.44</v>
      </c>
      <c r="Y733" s="4">
        <v>44082</v>
      </c>
      <c r="Z733" s="1" t="s">
        <v>38</v>
      </c>
      <c r="AA733" s="1" t="s">
        <v>33</v>
      </c>
      <c r="AB733" s="36" t="str" cm="1">
        <f t="array" ref="AB733">_xlfn.IFS(K733&gt;650,"LOW",K733&gt;=550,"MEDIUM",K733&lt;550,"HIGH")</f>
        <v>LOW</v>
      </c>
    </row>
    <row r="734" spans="3:28" x14ac:dyDescent="0.3">
      <c r="C734" s="35" t="s">
        <v>2605</v>
      </c>
      <c r="D734" s="1" t="s">
        <v>635</v>
      </c>
      <c r="E734" s="1">
        <v>28</v>
      </c>
      <c r="F734" s="1" t="s">
        <v>44</v>
      </c>
      <c r="G734" s="1" t="s">
        <v>45</v>
      </c>
      <c r="H734" s="1" t="s">
        <v>61</v>
      </c>
      <c r="I734" s="1" t="s">
        <v>59</v>
      </c>
      <c r="J734" s="7">
        <v>83644</v>
      </c>
      <c r="K734" s="1">
        <v>651</v>
      </c>
      <c r="L734" s="7">
        <v>4810</v>
      </c>
      <c r="M734" s="1">
        <v>60</v>
      </c>
      <c r="N734" s="6">
        <v>0.1166</v>
      </c>
      <c r="O734" s="1" t="s">
        <v>52</v>
      </c>
      <c r="P734" s="1" t="s">
        <v>47</v>
      </c>
      <c r="Q734" s="1">
        <v>28</v>
      </c>
      <c r="R734" s="1">
        <v>3</v>
      </c>
      <c r="S734" s="1" t="s">
        <v>31</v>
      </c>
      <c r="T734" s="1" t="s">
        <v>31</v>
      </c>
      <c r="U734" s="1">
        <v>4</v>
      </c>
      <c r="V734" s="1">
        <v>198223</v>
      </c>
      <c r="W734" s="7">
        <v>681.25</v>
      </c>
      <c r="X734" s="1">
        <v>0.62</v>
      </c>
      <c r="Y734" s="4">
        <v>44633</v>
      </c>
      <c r="Z734" s="1" t="s">
        <v>32</v>
      </c>
      <c r="AA734" s="1" t="s">
        <v>33</v>
      </c>
      <c r="AB734" s="36" t="str" cm="1">
        <f t="array" ref="AB734">_xlfn.IFS(K734&gt;650,"LOW",K734&gt;=550,"MEDIUM",K734&lt;550,"HIGH")</f>
        <v>LOW</v>
      </c>
    </row>
    <row r="735" spans="3:28" x14ac:dyDescent="0.3">
      <c r="C735" s="35" t="s">
        <v>2663</v>
      </c>
      <c r="D735" s="1" t="s">
        <v>693</v>
      </c>
      <c r="E735" s="1">
        <v>36</v>
      </c>
      <c r="F735" s="1" t="s">
        <v>44</v>
      </c>
      <c r="G735" s="1" t="s">
        <v>27</v>
      </c>
      <c r="H735" s="1" t="s">
        <v>54</v>
      </c>
      <c r="I735" s="1" t="s">
        <v>40</v>
      </c>
      <c r="J735" s="7">
        <v>51362</v>
      </c>
      <c r="K735" s="1">
        <v>650</v>
      </c>
      <c r="L735" s="7">
        <v>12698</v>
      </c>
      <c r="M735" s="1">
        <v>24</v>
      </c>
      <c r="N735" s="6">
        <v>5.3899999999999997E-2</v>
      </c>
      <c r="O735" s="1" t="s">
        <v>63</v>
      </c>
      <c r="P735" s="1" t="s">
        <v>50</v>
      </c>
      <c r="Q735" s="1">
        <v>10</v>
      </c>
      <c r="R735" s="1">
        <v>0</v>
      </c>
      <c r="S735" s="1" t="s">
        <v>33</v>
      </c>
      <c r="T735" s="1" t="s">
        <v>31</v>
      </c>
      <c r="U735" s="1">
        <v>4</v>
      </c>
      <c r="V735" s="1">
        <v>183576</v>
      </c>
      <c r="W735" s="7">
        <v>108.62</v>
      </c>
      <c r="X735" s="1">
        <v>0.49</v>
      </c>
      <c r="Y735" s="4">
        <v>45127</v>
      </c>
      <c r="Z735" s="1" t="s">
        <v>32</v>
      </c>
      <c r="AA735" s="1" t="s">
        <v>33</v>
      </c>
      <c r="AB735" s="36" t="str" cm="1">
        <f t="array" ref="AB735">_xlfn.IFS(K735&gt;650,"LOW",K735&gt;=550,"MEDIUM",K735&lt;550,"HIGH")</f>
        <v>MEDIUM</v>
      </c>
    </row>
    <row r="736" spans="3:28" x14ac:dyDescent="0.3">
      <c r="C736" s="35" t="s">
        <v>2716</v>
      </c>
      <c r="D736" s="1" t="s">
        <v>746</v>
      </c>
      <c r="E736" s="1">
        <v>37</v>
      </c>
      <c r="F736" s="1" t="s">
        <v>44</v>
      </c>
      <c r="G736" s="1" t="s">
        <v>56</v>
      </c>
      <c r="H736" s="1" t="s">
        <v>28</v>
      </c>
      <c r="I736" s="1" t="s">
        <v>59</v>
      </c>
      <c r="J736" s="7">
        <v>56674</v>
      </c>
      <c r="K736" s="1">
        <v>650</v>
      </c>
      <c r="L736" s="7">
        <v>5839</v>
      </c>
      <c r="M736" s="1">
        <v>12</v>
      </c>
      <c r="N736" s="6">
        <v>5.4900000000000004E-2</v>
      </c>
      <c r="O736" s="1" t="s">
        <v>41</v>
      </c>
      <c r="P736" s="1" t="s">
        <v>30</v>
      </c>
      <c r="Q736" s="1">
        <v>11</v>
      </c>
      <c r="R736" s="1">
        <v>3</v>
      </c>
      <c r="S736" s="1" t="s">
        <v>33</v>
      </c>
      <c r="T736" s="1" t="s">
        <v>33</v>
      </c>
      <c r="U736" s="1">
        <v>4</v>
      </c>
      <c r="V736" s="1">
        <v>142841</v>
      </c>
      <c r="W736" s="7">
        <v>625.07000000000005</v>
      </c>
      <c r="X736" s="1">
        <v>0.46</v>
      </c>
      <c r="Y736" s="4">
        <v>45181</v>
      </c>
      <c r="Z736" s="1" t="s">
        <v>32</v>
      </c>
      <c r="AA736" s="1" t="s">
        <v>33</v>
      </c>
      <c r="AB736" s="36" t="str" cm="1">
        <f t="array" ref="AB736">_xlfn.IFS(K736&gt;650,"LOW",K736&gt;=550,"MEDIUM",K736&lt;550,"HIGH")</f>
        <v>MEDIUM</v>
      </c>
    </row>
    <row r="737" spans="3:28" x14ac:dyDescent="0.3">
      <c r="C737" s="35" t="s">
        <v>3529</v>
      </c>
      <c r="D737" s="1" t="s">
        <v>1546</v>
      </c>
      <c r="E737" s="1">
        <v>25</v>
      </c>
      <c r="F737" s="1" t="s">
        <v>44</v>
      </c>
      <c r="G737" s="1" t="s">
        <v>56</v>
      </c>
      <c r="H737" s="1" t="s">
        <v>36</v>
      </c>
      <c r="I737" s="1" t="s">
        <v>57</v>
      </c>
      <c r="J737" s="7">
        <v>140681</v>
      </c>
      <c r="K737" s="1">
        <v>650</v>
      </c>
      <c r="L737" s="7">
        <v>49432</v>
      </c>
      <c r="M737" s="1">
        <v>48</v>
      </c>
      <c r="N737" s="6">
        <v>0.1573</v>
      </c>
      <c r="O737" s="1" t="s">
        <v>63</v>
      </c>
      <c r="P737" s="1" t="s">
        <v>47</v>
      </c>
      <c r="Q737" s="1">
        <v>29</v>
      </c>
      <c r="R737" s="1">
        <v>1</v>
      </c>
      <c r="S737" s="1" t="s">
        <v>33</v>
      </c>
      <c r="T737" s="1" t="s">
        <v>33</v>
      </c>
      <c r="U737" s="1">
        <v>4</v>
      </c>
      <c r="V737" s="1">
        <v>122480</v>
      </c>
      <c r="W737" s="7">
        <v>1914.23</v>
      </c>
      <c r="X737" s="1">
        <v>0.15</v>
      </c>
      <c r="Y737" s="4">
        <v>45633</v>
      </c>
      <c r="Z737" s="1" t="s">
        <v>32</v>
      </c>
      <c r="AA737" s="1" t="s">
        <v>33</v>
      </c>
      <c r="AB737" s="36" t="str" cm="1">
        <f t="array" ref="AB737">_xlfn.IFS(K737&gt;650,"LOW",K737&gt;=550,"MEDIUM",K737&lt;550,"HIGH")</f>
        <v>MEDIUM</v>
      </c>
    </row>
    <row r="738" spans="3:28" x14ac:dyDescent="0.3">
      <c r="C738" s="35" t="s">
        <v>2368</v>
      </c>
      <c r="D738" s="1" t="s">
        <v>398</v>
      </c>
      <c r="E738" s="1">
        <v>47</v>
      </c>
      <c r="F738" s="1" t="s">
        <v>44</v>
      </c>
      <c r="G738" s="1" t="s">
        <v>35</v>
      </c>
      <c r="H738" s="1" t="s">
        <v>36</v>
      </c>
      <c r="I738" s="1" t="s">
        <v>59</v>
      </c>
      <c r="J738" s="7">
        <v>86617</v>
      </c>
      <c r="K738" s="1">
        <v>649</v>
      </c>
      <c r="L738" s="7">
        <v>22282</v>
      </c>
      <c r="M738" s="1">
        <v>24</v>
      </c>
      <c r="N738" s="6">
        <v>0.11109999999999999</v>
      </c>
      <c r="O738" s="1" t="s">
        <v>46</v>
      </c>
      <c r="P738" s="1" t="s">
        <v>50</v>
      </c>
      <c r="Q738" s="1">
        <v>5</v>
      </c>
      <c r="R738" s="1">
        <v>2</v>
      </c>
      <c r="S738" s="1" t="s">
        <v>33</v>
      </c>
      <c r="T738" s="1" t="s">
        <v>31</v>
      </c>
      <c r="U738" s="1">
        <v>3</v>
      </c>
      <c r="V738" s="1">
        <v>169080</v>
      </c>
      <c r="W738" s="7">
        <v>175.91</v>
      </c>
      <c r="X738" s="1">
        <v>0.97</v>
      </c>
      <c r="Y738" s="4">
        <v>44776</v>
      </c>
      <c r="Z738" s="1" t="s">
        <v>32</v>
      </c>
      <c r="AA738" s="1" t="s">
        <v>33</v>
      </c>
      <c r="AB738" s="36" t="str" cm="1">
        <f t="array" ref="AB738">_xlfn.IFS(K738&gt;650,"LOW",K738&gt;=550,"MEDIUM",K738&lt;550,"HIGH")</f>
        <v>MEDIUM</v>
      </c>
    </row>
    <row r="739" spans="3:28" x14ac:dyDescent="0.3">
      <c r="C739" s="35" t="s">
        <v>3127</v>
      </c>
      <c r="D739" s="1" t="s">
        <v>1152</v>
      </c>
      <c r="E739" s="1">
        <v>38</v>
      </c>
      <c r="F739" s="1" t="s">
        <v>26</v>
      </c>
      <c r="G739" s="1" t="s">
        <v>27</v>
      </c>
      <c r="H739" s="1" t="s">
        <v>36</v>
      </c>
      <c r="I739" s="1" t="s">
        <v>29</v>
      </c>
      <c r="J739" s="7">
        <v>25424</v>
      </c>
      <c r="K739" s="1">
        <v>649</v>
      </c>
      <c r="L739" s="7">
        <v>2091</v>
      </c>
      <c r="M739" s="1">
        <v>24</v>
      </c>
      <c r="N739" s="6">
        <v>0.12740000000000001</v>
      </c>
      <c r="O739" s="1" t="s">
        <v>5</v>
      </c>
      <c r="P739" s="1" t="s">
        <v>30</v>
      </c>
      <c r="Q739" s="1">
        <v>11</v>
      </c>
      <c r="R739" s="1">
        <v>1</v>
      </c>
      <c r="S739" s="1" t="s">
        <v>31</v>
      </c>
      <c r="T739" s="1" t="s">
        <v>31</v>
      </c>
      <c r="U739" s="1">
        <v>2</v>
      </c>
      <c r="V739" s="1">
        <v>23033</v>
      </c>
      <c r="W739" s="7">
        <v>1987.97</v>
      </c>
      <c r="X739" s="1">
        <v>0.67</v>
      </c>
      <c r="Y739" s="4">
        <v>45545</v>
      </c>
      <c r="Z739" s="1" t="s">
        <v>38</v>
      </c>
      <c r="AA739" s="1" t="s">
        <v>33</v>
      </c>
      <c r="AB739" s="36" t="str" cm="1">
        <f t="array" ref="AB739">_xlfn.IFS(K739&gt;650,"LOW",K739&gt;=550,"MEDIUM",K739&lt;550,"HIGH")</f>
        <v>MEDIUM</v>
      </c>
    </row>
    <row r="740" spans="3:28" x14ac:dyDescent="0.3">
      <c r="C740" s="35" t="s">
        <v>2304</v>
      </c>
      <c r="D740" s="1" t="s">
        <v>335</v>
      </c>
      <c r="E740" s="1">
        <v>55</v>
      </c>
      <c r="F740" s="1" t="s">
        <v>44</v>
      </c>
      <c r="G740" s="1" t="s">
        <v>56</v>
      </c>
      <c r="H740" s="1" t="s">
        <v>36</v>
      </c>
      <c r="I740" s="1" t="s">
        <v>59</v>
      </c>
      <c r="J740" s="7">
        <v>71134</v>
      </c>
      <c r="K740" s="1">
        <v>648</v>
      </c>
      <c r="L740" s="7">
        <v>2860</v>
      </c>
      <c r="M740" s="1">
        <v>60</v>
      </c>
      <c r="N740" s="6">
        <v>0.19269999999999998</v>
      </c>
      <c r="O740" s="1" t="s">
        <v>37</v>
      </c>
      <c r="P740" s="1" t="s">
        <v>50</v>
      </c>
      <c r="Q740" s="1">
        <v>6</v>
      </c>
      <c r="R740" s="1">
        <v>3</v>
      </c>
      <c r="S740" s="1" t="s">
        <v>33</v>
      </c>
      <c r="T740" s="1" t="s">
        <v>33</v>
      </c>
      <c r="U740" s="1">
        <v>3</v>
      </c>
      <c r="V740" s="1">
        <v>15322</v>
      </c>
      <c r="W740" s="7">
        <v>556.12</v>
      </c>
      <c r="X740" s="1">
        <v>0.55000000000000004</v>
      </c>
      <c r="Y740" s="4">
        <v>45328</v>
      </c>
      <c r="Z740" s="1" t="s">
        <v>38</v>
      </c>
      <c r="AA740" s="1" t="s">
        <v>33</v>
      </c>
      <c r="AB740" s="36" t="str" cm="1">
        <f t="array" ref="AB740">_xlfn.IFS(K740&gt;650,"LOW",K740&gt;=550,"MEDIUM",K740&lt;550,"HIGH")</f>
        <v>MEDIUM</v>
      </c>
    </row>
    <row r="741" spans="3:28" x14ac:dyDescent="0.3">
      <c r="C741" s="35" t="s">
        <v>2559</v>
      </c>
      <c r="D741" s="1" t="s">
        <v>589</v>
      </c>
      <c r="E741" s="1">
        <v>32</v>
      </c>
      <c r="F741" s="1" t="s">
        <v>26</v>
      </c>
      <c r="G741" s="1" t="s">
        <v>35</v>
      </c>
      <c r="H741" s="1" t="s">
        <v>61</v>
      </c>
      <c r="I741" s="1" t="s">
        <v>57</v>
      </c>
      <c r="J741" s="7">
        <v>100818</v>
      </c>
      <c r="K741" s="1">
        <v>648</v>
      </c>
      <c r="L741" s="7">
        <v>45645</v>
      </c>
      <c r="M741" s="1">
        <v>60</v>
      </c>
      <c r="N741" s="6">
        <v>7.6499999999999999E-2</v>
      </c>
      <c r="O741" s="1" t="s">
        <v>52</v>
      </c>
      <c r="P741" s="1" t="s">
        <v>30</v>
      </c>
      <c r="Q741" s="1">
        <v>9</v>
      </c>
      <c r="R741" s="1">
        <v>0</v>
      </c>
      <c r="S741" s="1" t="s">
        <v>31</v>
      </c>
      <c r="T741" s="1" t="s">
        <v>33</v>
      </c>
      <c r="U741" s="1">
        <v>4</v>
      </c>
      <c r="V741" s="1">
        <v>164927</v>
      </c>
      <c r="W741" s="7">
        <v>159.87</v>
      </c>
      <c r="X741" s="1">
        <v>0.39</v>
      </c>
      <c r="Y741" s="4">
        <v>45486</v>
      </c>
      <c r="Z741" s="1" t="s">
        <v>32</v>
      </c>
      <c r="AA741" s="1" t="s">
        <v>31</v>
      </c>
      <c r="AB741" s="36" t="str" cm="1">
        <f t="array" ref="AB741">_xlfn.IFS(K741&gt;650,"LOW",K741&gt;=550,"MEDIUM",K741&lt;550,"HIGH")</f>
        <v>MEDIUM</v>
      </c>
    </row>
    <row r="742" spans="3:28" x14ac:dyDescent="0.3">
      <c r="C742" s="35" t="s">
        <v>2760</v>
      </c>
      <c r="D742" s="1" t="s">
        <v>789</v>
      </c>
      <c r="E742" s="1">
        <v>59</v>
      </c>
      <c r="F742" s="1" t="s">
        <v>44</v>
      </c>
      <c r="G742" s="1" t="s">
        <v>56</v>
      </c>
      <c r="H742" s="1" t="s">
        <v>36</v>
      </c>
      <c r="I742" s="1" t="s">
        <v>40</v>
      </c>
      <c r="J742" s="7">
        <v>101171</v>
      </c>
      <c r="K742" s="1">
        <v>648</v>
      </c>
      <c r="L742" s="7">
        <v>26143</v>
      </c>
      <c r="M742" s="1">
        <v>36</v>
      </c>
      <c r="N742" s="6">
        <v>0.10009999999999999</v>
      </c>
      <c r="O742" s="1" t="s">
        <v>37</v>
      </c>
      <c r="P742" s="1" t="s">
        <v>30</v>
      </c>
      <c r="Q742" s="1">
        <v>12</v>
      </c>
      <c r="R742" s="1">
        <v>2</v>
      </c>
      <c r="S742" s="1" t="s">
        <v>31</v>
      </c>
      <c r="T742" s="1" t="s">
        <v>31</v>
      </c>
      <c r="U742" s="1">
        <v>1</v>
      </c>
      <c r="V742" s="1">
        <v>164622</v>
      </c>
      <c r="W742" s="7">
        <v>1849.65</v>
      </c>
      <c r="X742" s="1">
        <v>0.55000000000000004</v>
      </c>
      <c r="Y742" s="4">
        <v>45767</v>
      </c>
      <c r="Z742" s="1" t="s">
        <v>32</v>
      </c>
      <c r="AA742" s="1" t="s">
        <v>33</v>
      </c>
      <c r="AB742" s="36" t="str" cm="1">
        <f t="array" ref="AB742">_xlfn.IFS(K742&gt;650,"LOW",K742&gt;=550,"MEDIUM",K742&lt;550,"HIGH")</f>
        <v>MEDIUM</v>
      </c>
    </row>
    <row r="743" spans="3:28" x14ac:dyDescent="0.3">
      <c r="C743" s="35" t="s">
        <v>3526</v>
      </c>
      <c r="D743" s="1" t="s">
        <v>1543</v>
      </c>
      <c r="E743" s="1">
        <v>35</v>
      </c>
      <c r="F743" s="1" t="s">
        <v>44</v>
      </c>
      <c r="G743" s="1" t="s">
        <v>45</v>
      </c>
      <c r="H743" s="1" t="s">
        <v>61</v>
      </c>
      <c r="I743" s="1" t="s">
        <v>40</v>
      </c>
      <c r="J743" s="7">
        <v>141286</v>
      </c>
      <c r="K743" s="1">
        <v>648</v>
      </c>
      <c r="L743" s="7">
        <v>15817</v>
      </c>
      <c r="M743" s="1">
        <v>36</v>
      </c>
      <c r="N743" s="6">
        <v>6.5000000000000002E-2</v>
      </c>
      <c r="O743" s="1" t="s">
        <v>37</v>
      </c>
      <c r="P743" s="1" t="s">
        <v>30</v>
      </c>
      <c r="Q743" s="1">
        <v>17</v>
      </c>
      <c r="R743" s="1">
        <v>0</v>
      </c>
      <c r="S743" s="1" t="s">
        <v>31</v>
      </c>
      <c r="T743" s="1" t="s">
        <v>33</v>
      </c>
      <c r="U743" s="1">
        <v>1</v>
      </c>
      <c r="V743" s="1">
        <v>26615</v>
      </c>
      <c r="W743" s="7">
        <v>706.1</v>
      </c>
      <c r="X743" s="1">
        <v>0.73</v>
      </c>
      <c r="Y743" s="4">
        <v>45347</v>
      </c>
      <c r="Z743" s="1" t="s">
        <v>32</v>
      </c>
      <c r="AA743" s="1" t="s">
        <v>31</v>
      </c>
      <c r="AB743" s="36" t="str" cm="1">
        <f t="array" ref="AB743">_xlfn.IFS(K743&gt;650,"LOW",K743&gt;=550,"MEDIUM",K743&lt;550,"HIGH")</f>
        <v>MEDIUM</v>
      </c>
    </row>
    <row r="744" spans="3:28" x14ac:dyDescent="0.3">
      <c r="C744" s="35" t="s">
        <v>3794</v>
      </c>
      <c r="D744" s="1" t="s">
        <v>1800</v>
      </c>
      <c r="E744" s="1">
        <v>36</v>
      </c>
      <c r="F744" s="1" t="s">
        <v>26</v>
      </c>
      <c r="G744" s="1" t="s">
        <v>27</v>
      </c>
      <c r="H744" s="1" t="s">
        <v>61</v>
      </c>
      <c r="I744" s="1" t="s">
        <v>57</v>
      </c>
      <c r="J744" s="7">
        <v>46708</v>
      </c>
      <c r="K744" s="1">
        <v>648</v>
      </c>
      <c r="L744" s="7">
        <v>22793</v>
      </c>
      <c r="M744" s="1">
        <v>60</v>
      </c>
      <c r="N744" s="6">
        <v>8.9600000000000013E-2</v>
      </c>
      <c r="O744" s="1" t="s">
        <v>63</v>
      </c>
      <c r="P744" s="1" t="s">
        <v>50</v>
      </c>
      <c r="Q744" s="1">
        <v>8</v>
      </c>
      <c r="R744" s="1">
        <v>0</v>
      </c>
      <c r="S744" s="1" t="s">
        <v>31</v>
      </c>
      <c r="T744" s="1" t="s">
        <v>33</v>
      </c>
      <c r="U744" s="1">
        <v>4</v>
      </c>
      <c r="V744" s="1">
        <v>59823</v>
      </c>
      <c r="W744" s="7">
        <v>740.95</v>
      </c>
      <c r="X744" s="1">
        <v>0.77</v>
      </c>
      <c r="Y744" s="4">
        <v>45545</v>
      </c>
      <c r="Z744" s="1" t="s">
        <v>32</v>
      </c>
      <c r="AA744" s="1" t="s">
        <v>33</v>
      </c>
      <c r="AB744" s="36" t="str" cm="1">
        <f t="array" ref="AB744">_xlfn.IFS(K744&gt;650,"LOW",K744&gt;=550,"MEDIUM",K744&lt;550,"HIGH")</f>
        <v>MEDIUM</v>
      </c>
    </row>
    <row r="745" spans="3:28" x14ac:dyDescent="0.3">
      <c r="C745" s="35" t="s">
        <v>3407</v>
      </c>
      <c r="D745" s="1" t="s">
        <v>1427</v>
      </c>
      <c r="E745" s="1">
        <v>51</v>
      </c>
      <c r="F745" s="1" t="s">
        <v>44</v>
      </c>
      <c r="G745" s="1" t="s">
        <v>27</v>
      </c>
      <c r="H745" s="1" t="s">
        <v>61</v>
      </c>
      <c r="I745" s="1" t="s">
        <v>59</v>
      </c>
      <c r="J745" s="7">
        <v>22972</v>
      </c>
      <c r="K745" s="1">
        <v>647</v>
      </c>
      <c r="L745" s="7">
        <v>35986</v>
      </c>
      <c r="M745" s="1">
        <v>48</v>
      </c>
      <c r="N745" s="6">
        <v>0.13800000000000001</v>
      </c>
      <c r="O745" s="1" t="s">
        <v>46</v>
      </c>
      <c r="P745" s="1" t="s">
        <v>47</v>
      </c>
      <c r="Q745" s="1">
        <v>2</v>
      </c>
      <c r="R745" s="1">
        <v>0</v>
      </c>
      <c r="S745" s="1" t="s">
        <v>33</v>
      </c>
      <c r="T745" s="1" t="s">
        <v>31</v>
      </c>
      <c r="U745" s="1">
        <v>3</v>
      </c>
      <c r="V745" s="1">
        <v>25392</v>
      </c>
      <c r="W745" s="7">
        <v>1083.6500000000001</v>
      </c>
      <c r="X745" s="1">
        <v>0.82</v>
      </c>
      <c r="Y745" s="4">
        <v>44119</v>
      </c>
      <c r="Z745" s="1" t="s">
        <v>32</v>
      </c>
      <c r="AA745" s="1" t="s">
        <v>33</v>
      </c>
      <c r="AB745" s="36" t="str" cm="1">
        <f t="array" ref="AB745">_xlfn.IFS(K745&gt;650,"LOW",K745&gt;=550,"MEDIUM",K745&lt;550,"HIGH")</f>
        <v>MEDIUM</v>
      </c>
    </row>
    <row r="746" spans="3:28" x14ac:dyDescent="0.3">
      <c r="C746" s="35" t="s">
        <v>3987</v>
      </c>
      <c r="D746" s="1" t="s">
        <v>1987</v>
      </c>
      <c r="E746" s="1">
        <v>21</v>
      </c>
      <c r="F746" s="1" t="s">
        <v>44</v>
      </c>
      <c r="G746" s="1" t="s">
        <v>56</v>
      </c>
      <c r="H746" s="1" t="s">
        <v>28</v>
      </c>
      <c r="I746" s="1" t="s">
        <v>57</v>
      </c>
      <c r="J746" s="7">
        <v>147677</v>
      </c>
      <c r="K746" s="1">
        <v>647</v>
      </c>
      <c r="L746" s="7">
        <v>27898</v>
      </c>
      <c r="M746" s="1">
        <v>24</v>
      </c>
      <c r="N746" s="6">
        <v>0.11710000000000001</v>
      </c>
      <c r="O746" s="1" t="s">
        <v>46</v>
      </c>
      <c r="P746" s="1" t="s">
        <v>30</v>
      </c>
      <c r="Q746" s="1">
        <v>26</v>
      </c>
      <c r="R746" s="1">
        <v>0</v>
      </c>
      <c r="S746" s="1" t="s">
        <v>33</v>
      </c>
      <c r="T746" s="1" t="s">
        <v>31</v>
      </c>
      <c r="U746" s="1">
        <v>2</v>
      </c>
      <c r="V746" s="1">
        <v>166500</v>
      </c>
      <c r="W746" s="7">
        <v>677.63</v>
      </c>
      <c r="X746" s="1">
        <v>0.53</v>
      </c>
      <c r="Y746" s="4">
        <v>45173</v>
      </c>
      <c r="Z746" s="1" t="s">
        <v>32</v>
      </c>
      <c r="AA746" s="1" t="s">
        <v>33</v>
      </c>
      <c r="AB746" s="36" t="str" cm="1">
        <f t="array" ref="AB746">_xlfn.IFS(K746&gt;650,"LOW",K746&gt;=550,"MEDIUM",K746&lt;550,"HIGH")</f>
        <v>MEDIUM</v>
      </c>
    </row>
    <row r="747" spans="3:28" x14ac:dyDescent="0.3">
      <c r="C747" s="35" t="s">
        <v>3989</v>
      </c>
      <c r="D747" s="1" t="s">
        <v>1989</v>
      </c>
      <c r="E747" s="1">
        <v>51</v>
      </c>
      <c r="F747" s="1" t="s">
        <v>44</v>
      </c>
      <c r="G747" s="1" t="s">
        <v>27</v>
      </c>
      <c r="H747" s="1" t="s">
        <v>54</v>
      </c>
      <c r="I747" s="1" t="s">
        <v>29</v>
      </c>
      <c r="J747" s="7">
        <v>47937</v>
      </c>
      <c r="K747" s="1">
        <v>647</v>
      </c>
      <c r="L747" s="7">
        <v>48318</v>
      </c>
      <c r="M747" s="1">
        <v>48</v>
      </c>
      <c r="N747" s="6">
        <v>0.17809999999999998</v>
      </c>
      <c r="O747" s="1" t="s">
        <v>5</v>
      </c>
      <c r="P747" s="1" t="s">
        <v>30</v>
      </c>
      <c r="Q747" s="1">
        <v>20</v>
      </c>
      <c r="R747" s="1">
        <v>3</v>
      </c>
      <c r="S747" s="1" t="s">
        <v>33</v>
      </c>
      <c r="T747" s="1" t="s">
        <v>33</v>
      </c>
      <c r="U747" s="1">
        <v>3</v>
      </c>
      <c r="V747" s="1">
        <v>91154</v>
      </c>
      <c r="W747" s="7">
        <v>285.61</v>
      </c>
      <c r="X747" s="1">
        <v>0.19</v>
      </c>
      <c r="Y747" s="4">
        <v>45817</v>
      </c>
      <c r="Z747" s="1" t="s">
        <v>38</v>
      </c>
      <c r="AA747" s="1" t="s">
        <v>33</v>
      </c>
      <c r="AB747" s="36" t="str" cm="1">
        <f t="array" ref="AB747">_xlfn.IFS(K747&gt;650,"LOW",K747&gt;=550,"MEDIUM",K747&lt;550,"HIGH")</f>
        <v>MEDIUM</v>
      </c>
    </row>
    <row r="748" spans="3:28" x14ac:dyDescent="0.3">
      <c r="C748" s="35" t="s">
        <v>3936</v>
      </c>
      <c r="D748" s="1" t="s">
        <v>1940</v>
      </c>
      <c r="E748" s="1">
        <v>21</v>
      </c>
      <c r="F748" s="1" t="s">
        <v>44</v>
      </c>
      <c r="G748" s="1" t="s">
        <v>56</v>
      </c>
      <c r="H748" s="1" t="s">
        <v>61</v>
      </c>
      <c r="I748" s="1" t="s">
        <v>57</v>
      </c>
      <c r="J748" s="7">
        <v>95386</v>
      </c>
      <c r="K748" s="1">
        <v>646</v>
      </c>
      <c r="L748" s="7">
        <v>8543</v>
      </c>
      <c r="M748" s="1">
        <v>24</v>
      </c>
      <c r="N748" s="6">
        <v>0.13550000000000001</v>
      </c>
      <c r="O748" s="1" t="s">
        <v>41</v>
      </c>
      <c r="P748" s="1" t="s">
        <v>47</v>
      </c>
      <c r="Q748" s="1">
        <v>7</v>
      </c>
      <c r="R748" s="1">
        <v>0</v>
      </c>
      <c r="S748" s="1" t="s">
        <v>31</v>
      </c>
      <c r="T748" s="1" t="s">
        <v>31</v>
      </c>
      <c r="U748" s="1">
        <v>2</v>
      </c>
      <c r="V748" s="1">
        <v>183886</v>
      </c>
      <c r="W748" s="7">
        <v>1062.47</v>
      </c>
      <c r="X748" s="1">
        <v>0.43</v>
      </c>
      <c r="Y748" s="4">
        <v>45075</v>
      </c>
      <c r="Z748" s="1" t="s">
        <v>38</v>
      </c>
      <c r="AA748" s="1" t="s">
        <v>33</v>
      </c>
      <c r="AB748" s="36" t="str" cm="1">
        <f t="array" ref="AB748">_xlfn.IFS(K748&gt;650,"LOW",K748&gt;=550,"MEDIUM",K748&lt;550,"HIGH")</f>
        <v>MEDIUM</v>
      </c>
    </row>
    <row r="749" spans="3:28" x14ac:dyDescent="0.3">
      <c r="C749" s="35" t="s">
        <v>2622</v>
      </c>
      <c r="D749" s="1" t="s">
        <v>652</v>
      </c>
      <c r="E749" s="1">
        <v>59</v>
      </c>
      <c r="F749" s="1" t="s">
        <v>44</v>
      </c>
      <c r="G749" s="1" t="s">
        <v>56</v>
      </c>
      <c r="H749" s="1" t="s">
        <v>28</v>
      </c>
      <c r="I749" s="1" t="s">
        <v>29</v>
      </c>
      <c r="J749" s="7">
        <v>65929</v>
      </c>
      <c r="K749" s="1">
        <v>645</v>
      </c>
      <c r="L749" s="7">
        <v>21229</v>
      </c>
      <c r="M749" s="1">
        <v>36</v>
      </c>
      <c r="N749" s="6">
        <v>0.19519999999999998</v>
      </c>
      <c r="O749" s="1" t="s">
        <v>41</v>
      </c>
      <c r="P749" s="1" t="s">
        <v>30</v>
      </c>
      <c r="Q749" s="1">
        <v>18</v>
      </c>
      <c r="R749" s="1">
        <v>0</v>
      </c>
      <c r="S749" s="1" t="s">
        <v>31</v>
      </c>
      <c r="T749" s="1" t="s">
        <v>33</v>
      </c>
      <c r="U749" s="1">
        <v>4</v>
      </c>
      <c r="V749" s="1">
        <v>144675</v>
      </c>
      <c r="W749" s="7">
        <v>1140.1600000000001</v>
      </c>
      <c r="X749" s="1">
        <v>0.79</v>
      </c>
      <c r="Y749" s="4">
        <v>45551</v>
      </c>
      <c r="Z749" s="1" t="s">
        <v>38</v>
      </c>
      <c r="AA749" s="1" t="s">
        <v>33</v>
      </c>
      <c r="AB749" s="36" t="str" cm="1">
        <f t="array" ref="AB749">_xlfn.IFS(K749&gt;650,"LOW",K749&gt;=550,"MEDIUM",K749&lt;550,"HIGH")</f>
        <v>MEDIUM</v>
      </c>
    </row>
    <row r="750" spans="3:28" x14ac:dyDescent="0.3">
      <c r="C750" s="35" t="s">
        <v>2648</v>
      </c>
      <c r="D750" s="1" t="s">
        <v>678</v>
      </c>
      <c r="E750" s="1">
        <v>39</v>
      </c>
      <c r="F750" s="1" t="s">
        <v>26</v>
      </c>
      <c r="G750" s="1" t="s">
        <v>56</v>
      </c>
      <c r="H750" s="1" t="s">
        <v>36</v>
      </c>
      <c r="I750" s="1" t="s">
        <v>29</v>
      </c>
      <c r="J750" s="7">
        <v>95652</v>
      </c>
      <c r="K750" s="1">
        <v>645</v>
      </c>
      <c r="L750" s="7">
        <v>27325</v>
      </c>
      <c r="M750" s="1">
        <v>60</v>
      </c>
      <c r="N750" s="6">
        <v>0.17319999999999999</v>
      </c>
      <c r="O750" s="1" t="s">
        <v>63</v>
      </c>
      <c r="P750" s="1" t="s">
        <v>30</v>
      </c>
      <c r="Q750" s="1">
        <v>11</v>
      </c>
      <c r="R750" s="1">
        <v>1</v>
      </c>
      <c r="S750" s="1" t="s">
        <v>31</v>
      </c>
      <c r="T750" s="1" t="s">
        <v>33</v>
      </c>
      <c r="U750" s="1">
        <v>3</v>
      </c>
      <c r="V750" s="1">
        <v>17270</v>
      </c>
      <c r="W750" s="7">
        <v>1493.4</v>
      </c>
      <c r="X750" s="1">
        <v>0.85</v>
      </c>
      <c r="Y750" s="4">
        <v>44797</v>
      </c>
      <c r="Z750" s="1" t="s">
        <v>32</v>
      </c>
      <c r="AA750" s="1" t="s">
        <v>33</v>
      </c>
      <c r="AB750" s="36" t="str" cm="1">
        <f t="array" ref="AB750">_xlfn.IFS(K750&gt;650,"LOW",K750&gt;=550,"MEDIUM",K750&lt;550,"HIGH")</f>
        <v>MEDIUM</v>
      </c>
    </row>
    <row r="751" spans="3:28" x14ac:dyDescent="0.3">
      <c r="C751" s="35" t="s">
        <v>3828</v>
      </c>
      <c r="D751" s="1" t="s">
        <v>1834</v>
      </c>
      <c r="E751" s="1">
        <v>49</v>
      </c>
      <c r="F751" s="1" t="s">
        <v>26</v>
      </c>
      <c r="G751" s="1" t="s">
        <v>56</v>
      </c>
      <c r="H751" s="1" t="s">
        <v>36</v>
      </c>
      <c r="I751" s="1" t="s">
        <v>29</v>
      </c>
      <c r="J751" s="7">
        <v>38768</v>
      </c>
      <c r="K751" s="1">
        <v>645</v>
      </c>
      <c r="L751" s="7">
        <v>16245</v>
      </c>
      <c r="M751" s="1">
        <v>60</v>
      </c>
      <c r="N751" s="6">
        <v>0.1048</v>
      </c>
      <c r="O751" s="1" t="s">
        <v>41</v>
      </c>
      <c r="P751" s="1" t="s">
        <v>30</v>
      </c>
      <c r="Q751" s="1">
        <v>20</v>
      </c>
      <c r="R751" s="1">
        <v>1</v>
      </c>
      <c r="S751" s="1" t="s">
        <v>31</v>
      </c>
      <c r="T751" s="1" t="s">
        <v>33</v>
      </c>
      <c r="U751" s="1">
        <v>4</v>
      </c>
      <c r="V751" s="1">
        <v>138611</v>
      </c>
      <c r="W751" s="7">
        <v>797.89</v>
      </c>
      <c r="X751" s="1">
        <v>0.76</v>
      </c>
      <c r="Y751" s="4">
        <v>44960</v>
      </c>
      <c r="Z751" s="1" t="s">
        <v>32</v>
      </c>
      <c r="AA751" s="1" t="s">
        <v>33</v>
      </c>
      <c r="AB751" s="36" t="str" cm="1">
        <f t="array" ref="AB751">_xlfn.IFS(K751&gt;650,"LOW",K751&gt;=550,"MEDIUM",K751&lt;550,"HIGH")</f>
        <v>MEDIUM</v>
      </c>
    </row>
    <row r="752" spans="3:28" x14ac:dyDescent="0.3">
      <c r="C752" s="35" t="s">
        <v>2406</v>
      </c>
      <c r="D752" s="1" t="s">
        <v>436</v>
      </c>
      <c r="E752" s="1">
        <v>35</v>
      </c>
      <c r="F752" s="1" t="s">
        <v>44</v>
      </c>
      <c r="G752" s="1" t="s">
        <v>35</v>
      </c>
      <c r="H752" s="1" t="s">
        <v>36</v>
      </c>
      <c r="I752" s="1" t="s">
        <v>57</v>
      </c>
      <c r="J752" s="7">
        <v>76058</v>
      </c>
      <c r="K752" s="1">
        <v>644</v>
      </c>
      <c r="L752" s="7">
        <v>4849</v>
      </c>
      <c r="M752" s="1">
        <v>48</v>
      </c>
      <c r="N752" s="6">
        <v>0.12710000000000002</v>
      </c>
      <c r="O752" s="1" t="s">
        <v>46</v>
      </c>
      <c r="P752" s="1" t="s">
        <v>30</v>
      </c>
      <c r="Q752" s="1">
        <v>9</v>
      </c>
      <c r="R752" s="1">
        <v>4</v>
      </c>
      <c r="S752" s="1" t="s">
        <v>33</v>
      </c>
      <c r="T752" s="1" t="s">
        <v>31</v>
      </c>
      <c r="U752" s="1">
        <v>0</v>
      </c>
      <c r="V752" s="1">
        <v>84028</v>
      </c>
      <c r="W752" s="7">
        <v>1428.8</v>
      </c>
      <c r="X752" s="1">
        <v>0.38</v>
      </c>
      <c r="Y752" s="4">
        <v>45734</v>
      </c>
      <c r="Z752" s="1" t="s">
        <v>32</v>
      </c>
      <c r="AA752" s="1" t="s">
        <v>31</v>
      </c>
      <c r="AB752" s="36" t="str" cm="1">
        <f t="array" ref="AB752">_xlfn.IFS(K752&gt;650,"LOW",K752&gt;=550,"MEDIUM",K752&lt;550,"HIGH")</f>
        <v>MEDIUM</v>
      </c>
    </row>
    <row r="753" spans="3:28" x14ac:dyDescent="0.3">
      <c r="C753" s="35" t="s">
        <v>2623</v>
      </c>
      <c r="D753" s="1" t="s">
        <v>653</v>
      </c>
      <c r="E753" s="1">
        <v>23</v>
      </c>
      <c r="F753" s="1" t="s">
        <v>44</v>
      </c>
      <c r="G753" s="1" t="s">
        <v>35</v>
      </c>
      <c r="H753" s="1" t="s">
        <v>28</v>
      </c>
      <c r="I753" s="1" t="s">
        <v>29</v>
      </c>
      <c r="J753" s="7">
        <v>143199</v>
      </c>
      <c r="K753" s="1">
        <v>644</v>
      </c>
      <c r="L753" s="7">
        <v>27997</v>
      </c>
      <c r="M753" s="1">
        <v>48</v>
      </c>
      <c r="N753" s="6">
        <v>0.15859999999999999</v>
      </c>
      <c r="O753" s="1" t="s">
        <v>46</v>
      </c>
      <c r="P753" s="1" t="s">
        <v>50</v>
      </c>
      <c r="Q753" s="1">
        <v>11</v>
      </c>
      <c r="R753" s="1">
        <v>1</v>
      </c>
      <c r="S753" s="1" t="s">
        <v>33</v>
      </c>
      <c r="T753" s="1" t="s">
        <v>31</v>
      </c>
      <c r="U753" s="1">
        <v>0</v>
      </c>
      <c r="V753" s="1">
        <v>43702</v>
      </c>
      <c r="W753" s="7">
        <v>1091.81</v>
      </c>
      <c r="X753" s="1">
        <v>0.94</v>
      </c>
      <c r="Y753" s="4">
        <v>44988</v>
      </c>
      <c r="Z753" s="1" t="s">
        <v>38</v>
      </c>
      <c r="AA753" s="1" t="s">
        <v>33</v>
      </c>
      <c r="AB753" s="36" t="str" cm="1">
        <f t="array" ref="AB753">_xlfn.IFS(K753&gt;650,"LOW",K753&gt;=550,"MEDIUM",K753&lt;550,"HIGH")</f>
        <v>MEDIUM</v>
      </c>
    </row>
    <row r="754" spans="3:28" x14ac:dyDescent="0.3">
      <c r="C754" s="35" t="s">
        <v>3196</v>
      </c>
      <c r="D754" s="1" t="s">
        <v>1220</v>
      </c>
      <c r="E754" s="1">
        <v>44</v>
      </c>
      <c r="F754" s="1" t="s">
        <v>26</v>
      </c>
      <c r="G754" s="1" t="s">
        <v>56</v>
      </c>
      <c r="H754" s="1" t="s">
        <v>54</v>
      </c>
      <c r="I754" s="1" t="s">
        <v>57</v>
      </c>
      <c r="J754" s="7">
        <v>62748</v>
      </c>
      <c r="K754" s="1">
        <v>644</v>
      </c>
      <c r="L754" s="7">
        <v>46641</v>
      </c>
      <c r="M754" s="1">
        <v>24</v>
      </c>
      <c r="N754" s="6">
        <v>0.16339999999999999</v>
      </c>
      <c r="O754" s="1" t="s">
        <v>52</v>
      </c>
      <c r="P754" s="1" t="s">
        <v>30</v>
      </c>
      <c r="Q754" s="1">
        <v>6</v>
      </c>
      <c r="R754" s="1">
        <v>2</v>
      </c>
      <c r="S754" s="1" t="s">
        <v>33</v>
      </c>
      <c r="T754" s="1" t="s">
        <v>31</v>
      </c>
      <c r="U754" s="1">
        <v>0</v>
      </c>
      <c r="V754" s="1">
        <v>120451</v>
      </c>
      <c r="W754" s="7">
        <v>1782.75</v>
      </c>
      <c r="X754" s="1">
        <v>0.37</v>
      </c>
      <c r="Y754" s="4">
        <v>44576</v>
      </c>
      <c r="Z754" s="1" t="s">
        <v>38</v>
      </c>
      <c r="AA754" s="1" t="s">
        <v>31</v>
      </c>
      <c r="AB754" s="36" t="str" cm="1">
        <f t="array" ref="AB754">_xlfn.IFS(K754&gt;650,"LOW",K754&gt;=550,"MEDIUM",K754&lt;550,"HIGH")</f>
        <v>MEDIUM</v>
      </c>
    </row>
    <row r="755" spans="3:28" x14ac:dyDescent="0.3">
      <c r="C755" s="35" t="s">
        <v>3201</v>
      </c>
      <c r="D755" s="1" t="s">
        <v>1225</v>
      </c>
      <c r="E755" s="1">
        <v>53</v>
      </c>
      <c r="F755" s="1" t="s">
        <v>44</v>
      </c>
      <c r="G755" s="1" t="s">
        <v>27</v>
      </c>
      <c r="H755" s="1" t="s">
        <v>61</v>
      </c>
      <c r="I755" s="1" t="s">
        <v>59</v>
      </c>
      <c r="J755" s="7">
        <v>53798</v>
      </c>
      <c r="K755" s="1">
        <v>644</v>
      </c>
      <c r="L755" s="7">
        <v>18101</v>
      </c>
      <c r="M755" s="1">
        <v>48</v>
      </c>
      <c r="N755" s="6">
        <v>0.15</v>
      </c>
      <c r="O755" s="1" t="s">
        <v>63</v>
      </c>
      <c r="P755" s="1" t="s">
        <v>47</v>
      </c>
      <c r="Q755" s="1">
        <v>22</v>
      </c>
      <c r="R755" s="1">
        <v>2</v>
      </c>
      <c r="S755" s="1" t="s">
        <v>33</v>
      </c>
      <c r="T755" s="1" t="s">
        <v>31</v>
      </c>
      <c r="U755" s="1">
        <v>3</v>
      </c>
      <c r="V755" s="1">
        <v>74625</v>
      </c>
      <c r="W755" s="7">
        <v>1135.5899999999999</v>
      </c>
      <c r="X755" s="1">
        <v>0.48</v>
      </c>
      <c r="Y755" s="4">
        <v>44680</v>
      </c>
      <c r="Z755" s="1" t="s">
        <v>32</v>
      </c>
      <c r="AA755" s="1" t="s">
        <v>33</v>
      </c>
      <c r="AB755" s="36" t="str" cm="1">
        <f t="array" ref="AB755">_xlfn.IFS(K755&gt;650,"LOW",K755&gt;=550,"MEDIUM",K755&lt;550,"HIGH")</f>
        <v>MEDIUM</v>
      </c>
    </row>
    <row r="756" spans="3:28" x14ac:dyDescent="0.3">
      <c r="C756" s="35" t="s">
        <v>3354</v>
      </c>
      <c r="D756" s="1" t="s">
        <v>1376</v>
      </c>
      <c r="E756" s="1">
        <v>39</v>
      </c>
      <c r="F756" s="1" t="s">
        <v>44</v>
      </c>
      <c r="G756" s="1" t="s">
        <v>45</v>
      </c>
      <c r="H756" s="1" t="s">
        <v>36</v>
      </c>
      <c r="I756" s="1" t="s">
        <v>40</v>
      </c>
      <c r="J756" s="7">
        <v>66157</v>
      </c>
      <c r="K756" s="1">
        <v>644</v>
      </c>
      <c r="L756" s="7">
        <v>48498</v>
      </c>
      <c r="M756" s="1">
        <v>12</v>
      </c>
      <c r="N756" s="6">
        <v>0.1288</v>
      </c>
      <c r="O756" s="1" t="s">
        <v>37</v>
      </c>
      <c r="P756" s="1" t="s">
        <v>47</v>
      </c>
      <c r="Q756" s="1">
        <v>6</v>
      </c>
      <c r="R756" s="1">
        <v>4</v>
      </c>
      <c r="S756" s="1" t="s">
        <v>33</v>
      </c>
      <c r="T756" s="1" t="s">
        <v>33</v>
      </c>
      <c r="U756" s="1">
        <v>2</v>
      </c>
      <c r="V756" s="1">
        <v>178740</v>
      </c>
      <c r="W756" s="7">
        <v>1731.54</v>
      </c>
      <c r="X756" s="1">
        <v>0.15</v>
      </c>
      <c r="Y756" s="4">
        <v>45651</v>
      </c>
      <c r="Z756" s="1" t="s">
        <v>38</v>
      </c>
      <c r="AA756" s="1" t="s">
        <v>33</v>
      </c>
      <c r="AB756" s="36" t="str" cm="1">
        <f t="array" ref="AB756">_xlfn.IFS(K756&gt;650,"LOW",K756&gt;=550,"MEDIUM",K756&lt;550,"HIGH")</f>
        <v>MEDIUM</v>
      </c>
    </row>
    <row r="757" spans="3:28" x14ac:dyDescent="0.3">
      <c r="C757" s="35" t="s">
        <v>3719</v>
      </c>
      <c r="D757" s="1" t="s">
        <v>1459</v>
      </c>
      <c r="E757" s="1">
        <v>22</v>
      </c>
      <c r="F757" s="1" t="s">
        <v>44</v>
      </c>
      <c r="G757" s="1" t="s">
        <v>56</v>
      </c>
      <c r="H757" s="1" t="s">
        <v>54</v>
      </c>
      <c r="I757" s="1" t="s">
        <v>40</v>
      </c>
      <c r="J757" s="7">
        <v>76572</v>
      </c>
      <c r="K757" s="1">
        <v>644</v>
      </c>
      <c r="L757" s="7">
        <v>10597</v>
      </c>
      <c r="M757" s="1">
        <v>60</v>
      </c>
      <c r="N757" s="6">
        <v>0.18239999999999998</v>
      </c>
      <c r="O757" s="1" t="s">
        <v>37</v>
      </c>
      <c r="P757" s="1" t="s">
        <v>30</v>
      </c>
      <c r="Q757" s="1">
        <v>3</v>
      </c>
      <c r="R757" s="1">
        <v>3</v>
      </c>
      <c r="S757" s="1" t="s">
        <v>33</v>
      </c>
      <c r="T757" s="1" t="s">
        <v>33</v>
      </c>
      <c r="U757" s="1">
        <v>3</v>
      </c>
      <c r="V757" s="1">
        <v>48906</v>
      </c>
      <c r="W757" s="7">
        <v>1890.11</v>
      </c>
      <c r="X757" s="1">
        <v>0.87</v>
      </c>
      <c r="Y757" s="4">
        <v>44667</v>
      </c>
      <c r="Z757" s="1" t="s">
        <v>38</v>
      </c>
      <c r="AA757" s="1" t="s">
        <v>33</v>
      </c>
      <c r="AB757" s="36" t="str" cm="1">
        <f t="array" ref="AB757">_xlfn.IFS(K757&gt;650,"LOW",K757&gt;=550,"MEDIUM",K757&lt;550,"HIGH")</f>
        <v>MEDIUM</v>
      </c>
    </row>
    <row r="758" spans="3:28" x14ac:dyDescent="0.3">
      <c r="C758" s="35" t="s">
        <v>2042</v>
      </c>
      <c r="D758" s="1" t="s">
        <v>73</v>
      </c>
      <c r="E758" s="1">
        <v>22</v>
      </c>
      <c r="F758" s="1" t="s">
        <v>26</v>
      </c>
      <c r="G758" s="1" t="s">
        <v>45</v>
      </c>
      <c r="H758" s="1" t="s">
        <v>28</v>
      </c>
      <c r="I758" s="1" t="s">
        <v>59</v>
      </c>
      <c r="J758" s="7">
        <v>108416</v>
      </c>
      <c r="K758" s="1">
        <v>643</v>
      </c>
      <c r="L758" s="7">
        <v>22699</v>
      </c>
      <c r="M758" s="1">
        <v>36</v>
      </c>
      <c r="N758" s="6">
        <v>0.1444</v>
      </c>
      <c r="O758" s="1" t="s">
        <v>41</v>
      </c>
      <c r="P758" s="1" t="s">
        <v>47</v>
      </c>
      <c r="Q758" s="1">
        <v>29</v>
      </c>
      <c r="R758" s="1">
        <v>1</v>
      </c>
      <c r="S758" s="1" t="s">
        <v>31</v>
      </c>
      <c r="T758" s="1" t="s">
        <v>31</v>
      </c>
      <c r="U758" s="1">
        <v>0</v>
      </c>
      <c r="V758" s="1">
        <v>115737</v>
      </c>
      <c r="W758" s="7">
        <v>299.63</v>
      </c>
      <c r="X758" s="1">
        <v>0.59</v>
      </c>
      <c r="Y758" s="4">
        <v>45350</v>
      </c>
      <c r="Z758" s="1" t="s">
        <v>38</v>
      </c>
      <c r="AA758" s="1" t="s">
        <v>33</v>
      </c>
      <c r="AB758" s="36" t="str" cm="1">
        <f t="array" ref="AB758">_xlfn.IFS(K758&gt;650,"LOW",K758&gt;=550,"MEDIUM",K758&lt;550,"HIGH")</f>
        <v>MEDIUM</v>
      </c>
    </row>
    <row r="759" spans="3:28" x14ac:dyDescent="0.3">
      <c r="C759" s="35" t="s">
        <v>2108</v>
      </c>
      <c r="D759" s="1" t="s">
        <v>139</v>
      </c>
      <c r="E759" s="1">
        <v>27</v>
      </c>
      <c r="F759" s="1" t="s">
        <v>44</v>
      </c>
      <c r="G759" s="1" t="s">
        <v>35</v>
      </c>
      <c r="H759" s="1" t="s">
        <v>28</v>
      </c>
      <c r="I759" s="1" t="s">
        <v>59</v>
      </c>
      <c r="J759" s="7">
        <v>66705</v>
      </c>
      <c r="K759" s="1">
        <v>643</v>
      </c>
      <c r="L759" s="7">
        <v>16926</v>
      </c>
      <c r="M759" s="1">
        <v>60</v>
      </c>
      <c r="N759" s="6">
        <v>7.3200000000000001E-2</v>
      </c>
      <c r="O759" s="1" t="s">
        <v>63</v>
      </c>
      <c r="P759" s="1" t="s">
        <v>50</v>
      </c>
      <c r="Q759" s="1">
        <v>9</v>
      </c>
      <c r="R759" s="1">
        <v>1</v>
      </c>
      <c r="S759" s="1" t="s">
        <v>33</v>
      </c>
      <c r="T759" s="1" t="s">
        <v>33</v>
      </c>
      <c r="U759" s="1">
        <v>0</v>
      </c>
      <c r="V759" s="1">
        <v>80823</v>
      </c>
      <c r="W759" s="7">
        <v>320.69</v>
      </c>
      <c r="X759" s="1">
        <v>0.57999999999999996</v>
      </c>
      <c r="Y759" s="4">
        <v>44394</v>
      </c>
      <c r="Z759" s="1" t="s">
        <v>38</v>
      </c>
      <c r="AA759" s="1" t="s">
        <v>33</v>
      </c>
      <c r="AB759" s="36" t="str" cm="1">
        <f t="array" ref="AB759">_xlfn.IFS(K759&gt;650,"LOW",K759&gt;=550,"MEDIUM",K759&lt;550,"HIGH")</f>
        <v>MEDIUM</v>
      </c>
    </row>
    <row r="760" spans="3:28" x14ac:dyDescent="0.3">
      <c r="C760" s="35" t="s">
        <v>3147</v>
      </c>
      <c r="D760" s="1" t="s">
        <v>319</v>
      </c>
      <c r="E760" s="1">
        <v>37</v>
      </c>
      <c r="F760" s="1" t="s">
        <v>44</v>
      </c>
      <c r="G760" s="1" t="s">
        <v>35</v>
      </c>
      <c r="H760" s="1" t="s">
        <v>54</v>
      </c>
      <c r="I760" s="1" t="s">
        <v>40</v>
      </c>
      <c r="J760" s="7">
        <v>109876</v>
      </c>
      <c r="K760" s="1">
        <v>643</v>
      </c>
      <c r="L760" s="7">
        <v>9556</v>
      </c>
      <c r="M760" s="1">
        <v>36</v>
      </c>
      <c r="N760" s="6">
        <v>0.1061</v>
      </c>
      <c r="O760" s="1" t="s">
        <v>63</v>
      </c>
      <c r="P760" s="1" t="s">
        <v>50</v>
      </c>
      <c r="Q760" s="1">
        <v>1</v>
      </c>
      <c r="R760" s="1">
        <v>2</v>
      </c>
      <c r="S760" s="1" t="s">
        <v>33</v>
      </c>
      <c r="T760" s="1" t="s">
        <v>33</v>
      </c>
      <c r="U760" s="1">
        <v>3</v>
      </c>
      <c r="V760" s="1">
        <v>119433</v>
      </c>
      <c r="W760" s="7">
        <v>1115.06</v>
      </c>
      <c r="X760" s="1">
        <v>0.35</v>
      </c>
      <c r="Y760" s="4">
        <v>44641</v>
      </c>
      <c r="Z760" s="1" t="s">
        <v>38</v>
      </c>
      <c r="AA760" s="1" t="s">
        <v>33</v>
      </c>
      <c r="AB760" s="36" t="str" cm="1">
        <f t="array" ref="AB760">_xlfn.IFS(K760&gt;650,"LOW",K760&gt;=550,"MEDIUM",K760&lt;550,"HIGH")</f>
        <v>MEDIUM</v>
      </c>
    </row>
    <row r="761" spans="3:28" x14ac:dyDescent="0.3">
      <c r="C761" s="35" t="s">
        <v>3714</v>
      </c>
      <c r="D761" s="1" t="s">
        <v>1724</v>
      </c>
      <c r="E761" s="1">
        <v>40</v>
      </c>
      <c r="F761" s="1" t="s">
        <v>44</v>
      </c>
      <c r="G761" s="1" t="s">
        <v>56</v>
      </c>
      <c r="H761" s="1" t="s">
        <v>61</v>
      </c>
      <c r="I761" s="1" t="s">
        <v>40</v>
      </c>
      <c r="J761" s="7">
        <v>121735</v>
      </c>
      <c r="K761" s="1">
        <v>643</v>
      </c>
      <c r="L761" s="7">
        <v>36904</v>
      </c>
      <c r="M761" s="1">
        <v>60</v>
      </c>
      <c r="N761" s="6">
        <v>0.15390000000000001</v>
      </c>
      <c r="O761" s="1" t="s">
        <v>63</v>
      </c>
      <c r="P761" s="1" t="s">
        <v>47</v>
      </c>
      <c r="Q761" s="1">
        <v>10</v>
      </c>
      <c r="R761" s="1">
        <v>0</v>
      </c>
      <c r="S761" s="1" t="s">
        <v>31</v>
      </c>
      <c r="T761" s="1" t="s">
        <v>31</v>
      </c>
      <c r="U761" s="1">
        <v>0</v>
      </c>
      <c r="V761" s="1">
        <v>166769</v>
      </c>
      <c r="W761" s="7">
        <v>1121.18</v>
      </c>
      <c r="X761" s="1">
        <v>0.64</v>
      </c>
      <c r="Y761" s="4">
        <v>45031</v>
      </c>
      <c r="Z761" s="1" t="s">
        <v>32</v>
      </c>
      <c r="AA761" s="1" t="s">
        <v>33</v>
      </c>
      <c r="AB761" s="36" t="str" cm="1">
        <f t="array" ref="AB761">_xlfn.IFS(K761&gt;650,"LOW",K761&gt;=550,"MEDIUM",K761&lt;550,"HIGH")</f>
        <v>MEDIUM</v>
      </c>
    </row>
    <row r="762" spans="3:28" x14ac:dyDescent="0.3">
      <c r="C762" s="35" t="s">
        <v>2326</v>
      </c>
      <c r="D762" s="1" t="s">
        <v>357</v>
      </c>
      <c r="E762" s="1">
        <v>47</v>
      </c>
      <c r="F762" s="1" t="s">
        <v>44</v>
      </c>
      <c r="G762" s="1" t="s">
        <v>45</v>
      </c>
      <c r="H762" s="1" t="s">
        <v>36</v>
      </c>
      <c r="I762" s="1" t="s">
        <v>29</v>
      </c>
      <c r="J762" s="7">
        <v>109452</v>
      </c>
      <c r="K762" s="1">
        <v>642</v>
      </c>
      <c r="L762" s="7">
        <v>11567</v>
      </c>
      <c r="M762" s="1">
        <v>24</v>
      </c>
      <c r="N762" s="6">
        <v>0.16010000000000002</v>
      </c>
      <c r="O762" s="1" t="s">
        <v>52</v>
      </c>
      <c r="P762" s="1" t="s">
        <v>30</v>
      </c>
      <c r="Q762" s="1">
        <v>22</v>
      </c>
      <c r="R762" s="1">
        <v>0</v>
      </c>
      <c r="S762" s="1" t="s">
        <v>33</v>
      </c>
      <c r="T762" s="1" t="s">
        <v>31</v>
      </c>
      <c r="U762" s="1">
        <v>3</v>
      </c>
      <c r="V762" s="1">
        <v>108818</v>
      </c>
      <c r="W762" s="7">
        <v>1806.19</v>
      </c>
      <c r="X762" s="1">
        <v>0.83</v>
      </c>
      <c r="Y762" s="4">
        <v>44196</v>
      </c>
      <c r="Z762" s="1" t="s">
        <v>32</v>
      </c>
      <c r="AA762" s="1" t="s">
        <v>31</v>
      </c>
      <c r="AB762" s="36" t="str" cm="1">
        <f t="array" ref="AB762">_xlfn.IFS(K762&gt;650,"LOW",K762&gt;=550,"MEDIUM",K762&lt;550,"HIGH")</f>
        <v>MEDIUM</v>
      </c>
    </row>
    <row r="763" spans="3:28" x14ac:dyDescent="0.3">
      <c r="C763" s="35" t="s">
        <v>2535</v>
      </c>
      <c r="D763" s="1" t="s">
        <v>565</v>
      </c>
      <c r="E763" s="1">
        <v>38</v>
      </c>
      <c r="F763" s="1" t="s">
        <v>44</v>
      </c>
      <c r="G763" s="1" t="s">
        <v>35</v>
      </c>
      <c r="H763" s="1" t="s">
        <v>36</v>
      </c>
      <c r="I763" s="1" t="s">
        <v>40</v>
      </c>
      <c r="J763" s="7">
        <v>94329</v>
      </c>
      <c r="K763" s="1">
        <v>642</v>
      </c>
      <c r="L763" s="7">
        <v>42684</v>
      </c>
      <c r="M763" s="1">
        <v>36</v>
      </c>
      <c r="N763" s="6">
        <v>0.17269999999999999</v>
      </c>
      <c r="O763" s="1" t="s">
        <v>63</v>
      </c>
      <c r="P763" s="1" t="s">
        <v>50</v>
      </c>
      <c r="Q763" s="1">
        <v>14</v>
      </c>
      <c r="R763" s="1">
        <v>3</v>
      </c>
      <c r="S763" s="1" t="s">
        <v>33</v>
      </c>
      <c r="T763" s="1" t="s">
        <v>31</v>
      </c>
      <c r="U763" s="1">
        <v>0</v>
      </c>
      <c r="V763" s="1">
        <v>66273</v>
      </c>
      <c r="W763" s="7">
        <v>1477.87</v>
      </c>
      <c r="X763" s="1">
        <v>0.68</v>
      </c>
      <c r="Y763" s="4">
        <v>44735</v>
      </c>
      <c r="Z763" s="1" t="s">
        <v>32</v>
      </c>
      <c r="AA763" s="1" t="s">
        <v>31</v>
      </c>
      <c r="AB763" s="36" t="str" cm="1">
        <f t="array" ref="AB763">_xlfn.IFS(K763&gt;650,"LOW",K763&gt;=550,"MEDIUM",K763&lt;550,"HIGH")</f>
        <v>MEDIUM</v>
      </c>
    </row>
    <row r="764" spans="3:28" x14ac:dyDescent="0.3">
      <c r="C764" s="35" t="s">
        <v>3927</v>
      </c>
      <c r="D764" s="1" t="s">
        <v>1931</v>
      </c>
      <c r="E764" s="1">
        <v>64</v>
      </c>
      <c r="F764" s="1" t="s">
        <v>26</v>
      </c>
      <c r="G764" s="1" t="s">
        <v>56</v>
      </c>
      <c r="H764" s="1" t="s">
        <v>61</v>
      </c>
      <c r="I764" s="1" t="s">
        <v>59</v>
      </c>
      <c r="J764" s="7">
        <v>24134</v>
      </c>
      <c r="K764" s="1">
        <v>642</v>
      </c>
      <c r="L764" s="7">
        <v>8619</v>
      </c>
      <c r="M764" s="1">
        <v>24</v>
      </c>
      <c r="N764" s="6">
        <v>0.19170000000000001</v>
      </c>
      <c r="O764" s="1" t="s">
        <v>52</v>
      </c>
      <c r="P764" s="1" t="s">
        <v>50</v>
      </c>
      <c r="Q764" s="1">
        <v>28</v>
      </c>
      <c r="R764" s="1">
        <v>4</v>
      </c>
      <c r="S764" s="1" t="s">
        <v>33</v>
      </c>
      <c r="T764" s="1" t="s">
        <v>31</v>
      </c>
      <c r="U764" s="1">
        <v>4</v>
      </c>
      <c r="V764" s="1">
        <v>126202</v>
      </c>
      <c r="W764" s="7">
        <v>1001.05</v>
      </c>
      <c r="X764" s="1">
        <v>0.54</v>
      </c>
      <c r="Y764" s="4">
        <v>44119</v>
      </c>
      <c r="Z764" s="1" t="s">
        <v>38</v>
      </c>
      <c r="AA764" s="1" t="s">
        <v>33</v>
      </c>
      <c r="AB764" s="36" t="str" cm="1">
        <f t="array" ref="AB764">_xlfn.IFS(K764&gt;650,"LOW",K764&gt;=550,"MEDIUM",K764&lt;550,"HIGH")</f>
        <v>MEDIUM</v>
      </c>
    </row>
    <row r="765" spans="3:28" x14ac:dyDescent="0.3">
      <c r="C765" s="35" t="s">
        <v>2802</v>
      </c>
      <c r="D765" s="1" t="s">
        <v>830</v>
      </c>
      <c r="E765" s="1">
        <v>24</v>
      </c>
      <c r="F765" s="1" t="s">
        <v>26</v>
      </c>
      <c r="G765" s="1" t="s">
        <v>56</v>
      </c>
      <c r="H765" s="1" t="s">
        <v>61</v>
      </c>
      <c r="I765" s="1" t="s">
        <v>59</v>
      </c>
      <c r="J765" s="7">
        <v>80356</v>
      </c>
      <c r="K765" s="1">
        <v>641</v>
      </c>
      <c r="L765" s="7">
        <v>35840</v>
      </c>
      <c r="M765" s="1">
        <v>48</v>
      </c>
      <c r="N765" s="6">
        <v>0.1065</v>
      </c>
      <c r="O765" s="1" t="s">
        <v>5</v>
      </c>
      <c r="P765" s="1" t="s">
        <v>47</v>
      </c>
      <c r="Q765" s="1">
        <v>22</v>
      </c>
      <c r="R765" s="1">
        <v>0</v>
      </c>
      <c r="S765" s="1" t="s">
        <v>31</v>
      </c>
      <c r="T765" s="1" t="s">
        <v>33</v>
      </c>
      <c r="U765" s="1">
        <v>3</v>
      </c>
      <c r="V765" s="1">
        <v>173234</v>
      </c>
      <c r="W765" s="7">
        <v>199.72</v>
      </c>
      <c r="X765" s="1">
        <v>0.32</v>
      </c>
      <c r="Y765" s="4">
        <v>44305</v>
      </c>
      <c r="Z765" s="1" t="s">
        <v>32</v>
      </c>
      <c r="AA765" s="1" t="s">
        <v>33</v>
      </c>
      <c r="AB765" s="36" t="str" cm="1">
        <f t="array" ref="AB765">_xlfn.IFS(K765&gt;650,"LOW",K765&gt;=550,"MEDIUM",K765&lt;550,"HIGH")</f>
        <v>MEDIUM</v>
      </c>
    </row>
    <row r="766" spans="3:28" x14ac:dyDescent="0.3">
      <c r="C766" s="35" t="s">
        <v>3150</v>
      </c>
      <c r="D766" s="1" t="s">
        <v>1174</v>
      </c>
      <c r="E766" s="1">
        <v>40</v>
      </c>
      <c r="F766" s="1" t="s">
        <v>44</v>
      </c>
      <c r="G766" s="1" t="s">
        <v>27</v>
      </c>
      <c r="H766" s="1" t="s">
        <v>54</v>
      </c>
      <c r="I766" s="1" t="s">
        <v>29</v>
      </c>
      <c r="J766" s="7">
        <v>144984</v>
      </c>
      <c r="K766" s="1">
        <v>641</v>
      </c>
      <c r="L766" s="7">
        <v>39893</v>
      </c>
      <c r="M766" s="1">
        <v>48</v>
      </c>
      <c r="N766" s="6">
        <v>0.1041</v>
      </c>
      <c r="O766" s="1" t="s">
        <v>63</v>
      </c>
      <c r="P766" s="1" t="s">
        <v>50</v>
      </c>
      <c r="Q766" s="1">
        <v>25</v>
      </c>
      <c r="R766" s="1">
        <v>0</v>
      </c>
      <c r="S766" s="1" t="s">
        <v>31</v>
      </c>
      <c r="T766" s="1" t="s">
        <v>33</v>
      </c>
      <c r="U766" s="1">
        <v>2</v>
      </c>
      <c r="V766" s="1">
        <v>86481</v>
      </c>
      <c r="W766" s="7">
        <v>571.38</v>
      </c>
      <c r="X766" s="1">
        <v>0.1</v>
      </c>
      <c r="Y766" s="4">
        <v>45330</v>
      </c>
      <c r="Z766" s="1" t="s">
        <v>32</v>
      </c>
      <c r="AA766" s="1" t="s">
        <v>33</v>
      </c>
      <c r="AB766" s="36" t="str" cm="1">
        <f t="array" ref="AB766">_xlfn.IFS(K766&gt;650,"LOW",K766&gt;=550,"MEDIUM",K766&lt;550,"HIGH")</f>
        <v>MEDIUM</v>
      </c>
    </row>
    <row r="767" spans="3:28" x14ac:dyDescent="0.3">
      <c r="C767" s="35" t="s">
        <v>3231</v>
      </c>
      <c r="D767" s="1" t="s">
        <v>1255</v>
      </c>
      <c r="E767" s="1">
        <v>25</v>
      </c>
      <c r="F767" s="1" t="s">
        <v>44</v>
      </c>
      <c r="G767" s="1" t="s">
        <v>45</v>
      </c>
      <c r="H767" s="1" t="s">
        <v>61</v>
      </c>
      <c r="I767" s="1" t="s">
        <v>59</v>
      </c>
      <c r="J767" s="7">
        <v>112115</v>
      </c>
      <c r="K767" s="1">
        <v>641</v>
      </c>
      <c r="L767" s="7">
        <v>1730</v>
      </c>
      <c r="M767" s="1">
        <v>24</v>
      </c>
      <c r="N767" s="6">
        <v>0.12429999999999999</v>
      </c>
      <c r="O767" s="1" t="s">
        <v>63</v>
      </c>
      <c r="P767" s="1" t="s">
        <v>30</v>
      </c>
      <c r="Q767" s="1">
        <v>23</v>
      </c>
      <c r="R767" s="1">
        <v>4</v>
      </c>
      <c r="S767" s="1" t="s">
        <v>33</v>
      </c>
      <c r="T767" s="1" t="s">
        <v>33</v>
      </c>
      <c r="U767" s="1">
        <v>3</v>
      </c>
      <c r="V767" s="1">
        <v>14466</v>
      </c>
      <c r="W767" s="7">
        <v>1148.74</v>
      </c>
      <c r="X767" s="1">
        <v>0.21</v>
      </c>
      <c r="Y767" s="4">
        <v>45780</v>
      </c>
      <c r="Z767" s="1" t="s">
        <v>32</v>
      </c>
      <c r="AA767" s="1" t="s">
        <v>33</v>
      </c>
      <c r="AB767" s="36" t="str" cm="1">
        <f t="array" ref="AB767">_xlfn.IFS(K767&gt;650,"LOW",K767&gt;=550,"MEDIUM",K767&lt;550,"HIGH")</f>
        <v>MEDIUM</v>
      </c>
    </row>
    <row r="768" spans="3:28" x14ac:dyDescent="0.3">
      <c r="C768" s="35" t="s">
        <v>3755</v>
      </c>
      <c r="D768" s="1" t="s">
        <v>1763</v>
      </c>
      <c r="E768" s="1">
        <v>53</v>
      </c>
      <c r="F768" s="1" t="s">
        <v>44</v>
      </c>
      <c r="G768" s="1" t="s">
        <v>35</v>
      </c>
      <c r="H768" s="1" t="s">
        <v>54</v>
      </c>
      <c r="I768" s="1" t="s">
        <v>29</v>
      </c>
      <c r="J768" s="7">
        <v>45032</v>
      </c>
      <c r="K768" s="1">
        <v>641</v>
      </c>
      <c r="L768" s="7">
        <v>18326</v>
      </c>
      <c r="M768" s="1">
        <v>60</v>
      </c>
      <c r="N768" s="6">
        <v>0.1527</v>
      </c>
      <c r="O768" s="1" t="s">
        <v>46</v>
      </c>
      <c r="P768" s="1" t="s">
        <v>47</v>
      </c>
      <c r="Q768" s="1">
        <v>26</v>
      </c>
      <c r="R768" s="1">
        <v>3</v>
      </c>
      <c r="S768" s="1" t="s">
        <v>31</v>
      </c>
      <c r="T768" s="1" t="s">
        <v>31</v>
      </c>
      <c r="U768" s="1">
        <v>0</v>
      </c>
      <c r="V768" s="1">
        <v>116381</v>
      </c>
      <c r="W768" s="7">
        <v>1521.33</v>
      </c>
      <c r="X768" s="1">
        <v>0.77</v>
      </c>
      <c r="Y768" s="4">
        <v>45399</v>
      </c>
      <c r="Z768" s="1" t="s">
        <v>32</v>
      </c>
      <c r="AA768" s="1" t="s">
        <v>33</v>
      </c>
      <c r="AB768" s="36" t="str" cm="1">
        <f t="array" ref="AB768">_xlfn.IFS(K768&gt;650,"LOW",K768&gt;=550,"MEDIUM",K768&lt;550,"HIGH")</f>
        <v>MEDIUM</v>
      </c>
    </row>
    <row r="769" spans="3:28" x14ac:dyDescent="0.3">
      <c r="C769" s="35" t="s">
        <v>3922</v>
      </c>
      <c r="D769" s="1" t="s">
        <v>1926</v>
      </c>
      <c r="E769" s="1">
        <v>57</v>
      </c>
      <c r="F769" s="1" t="s">
        <v>44</v>
      </c>
      <c r="G769" s="1" t="s">
        <v>27</v>
      </c>
      <c r="H769" s="1" t="s">
        <v>28</v>
      </c>
      <c r="I769" s="1" t="s">
        <v>57</v>
      </c>
      <c r="J769" s="7">
        <v>64223</v>
      </c>
      <c r="K769" s="1">
        <v>641</v>
      </c>
      <c r="L769" s="7">
        <v>2218</v>
      </c>
      <c r="M769" s="1">
        <v>60</v>
      </c>
      <c r="N769" s="6">
        <v>0.15789999999999998</v>
      </c>
      <c r="O769" s="1" t="s">
        <v>46</v>
      </c>
      <c r="P769" s="1" t="s">
        <v>30</v>
      </c>
      <c r="Q769" s="1">
        <v>20</v>
      </c>
      <c r="R769" s="1">
        <v>2</v>
      </c>
      <c r="S769" s="1" t="s">
        <v>33</v>
      </c>
      <c r="T769" s="1" t="s">
        <v>31</v>
      </c>
      <c r="U769" s="1">
        <v>4</v>
      </c>
      <c r="V769" s="1">
        <v>51178</v>
      </c>
      <c r="W769" s="7">
        <v>846.84</v>
      </c>
      <c r="X769" s="1">
        <v>0.25</v>
      </c>
      <c r="Y769" s="4">
        <v>45296</v>
      </c>
      <c r="Z769" s="1" t="s">
        <v>32</v>
      </c>
      <c r="AA769" s="1" t="s">
        <v>33</v>
      </c>
      <c r="AB769" s="36" t="str" cm="1">
        <f t="array" ref="AB769">_xlfn.IFS(K769&gt;650,"LOW",K769&gt;=550,"MEDIUM",K769&lt;550,"HIGH")</f>
        <v>MEDIUM</v>
      </c>
    </row>
    <row r="770" spans="3:28" x14ac:dyDescent="0.3">
      <c r="C770" s="35" t="s">
        <v>2132</v>
      </c>
      <c r="D770" s="1" t="s">
        <v>163</v>
      </c>
      <c r="E770" s="1">
        <v>43</v>
      </c>
      <c r="F770" s="1" t="s">
        <v>26</v>
      </c>
      <c r="G770" s="1" t="s">
        <v>27</v>
      </c>
      <c r="H770" s="1" t="s">
        <v>54</v>
      </c>
      <c r="I770" s="1" t="s">
        <v>59</v>
      </c>
      <c r="J770" s="7">
        <v>76677</v>
      </c>
      <c r="K770" s="1">
        <v>640</v>
      </c>
      <c r="L770" s="7">
        <v>38174</v>
      </c>
      <c r="M770" s="1">
        <v>24</v>
      </c>
      <c r="N770" s="6">
        <v>0.1948</v>
      </c>
      <c r="O770" s="1" t="s">
        <v>52</v>
      </c>
      <c r="P770" s="1" t="s">
        <v>47</v>
      </c>
      <c r="Q770" s="1">
        <v>3</v>
      </c>
      <c r="R770" s="1">
        <v>1</v>
      </c>
      <c r="S770" s="1" t="s">
        <v>31</v>
      </c>
      <c r="T770" s="1" t="s">
        <v>33</v>
      </c>
      <c r="U770" s="1">
        <v>0</v>
      </c>
      <c r="V770" s="1">
        <v>177996</v>
      </c>
      <c r="W770" s="7">
        <v>1882.58</v>
      </c>
      <c r="X770" s="1">
        <v>0.3</v>
      </c>
      <c r="Y770" s="4">
        <v>45737</v>
      </c>
      <c r="Z770" s="1" t="s">
        <v>32</v>
      </c>
      <c r="AA770" s="1" t="s">
        <v>33</v>
      </c>
      <c r="AB770" s="36" t="str" cm="1">
        <f t="array" ref="AB770">_xlfn.IFS(K770&gt;650,"LOW",K770&gt;=550,"MEDIUM",K770&lt;550,"HIGH")</f>
        <v>MEDIUM</v>
      </c>
    </row>
    <row r="771" spans="3:28" x14ac:dyDescent="0.3">
      <c r="C771" s="35" t="s">
        <v>2914</v>
      </c>
      <c r="D771" s="1" t="s">
        <v>942</v>
      </c>
      <c r="E771" s="1">
        <v>40</v>
      </c>
      <c r="F771" s="1" t="s">
        <v>26</v>
      </c>
      <c r="G771" s="1" t="s">
        <v>45</v>
      </c>
      <c r="H771" s="1" t="s">
        <v>54</v>
      </c>
      <c r="I771" s="1" t="s">
        <v>29</v>
      </c>
      <c r="J771" s="7">
        <v>123947</v>
      </c>
      <c r="K771" s="1">
        <v>640</v>
      </c>
      <c r="L771" s="7">
        <v>48164</v>
      </c>
      <c r="M771" s="1">
        <v>36</v>
      </c>
      <c r="N771" s="6">
        <v>0.14269999999999999</v>
      </c>
      <c r="O771" s="1" t="s">
        <v>41</v>
      </c>
      <c r="P771" s="1" t="s">
        <v>50</v>
      </c>
      <c r="Q771" s="1">
        <v>10</v>
      </c>
      <c r="R771" s="1">
        <v>1</v>
      </c>
      <c r="S771" s="1" t="s">
        <v>33</v>
      </c>
      <c r="T771" s="1" t="s">
        <v>31</v>
      </c>
      <c r="U771" s="1">
        <v>1</v>
      </c>
      <c r="V771" s="1">
        <v>77684</v>
      </c>
      <c r="W771" s="7">
        <v>826.81</v>
      </c>
      <c r="X771" s="1">
        <v>0.13</v>
      </c>
      <c r="Y771" s="4">
        <v>45757</v>
      </c>
      <c r="Z771" s="1" t="s">
        <v>32</v>
      </c>
      <c r="AA771" s="1" t="s">
        <v>33</v>
      </c>
      <c r="AB771" s="36" t="str" cm="1">
        <f t="array" ref="AB771">_xlfn.IFS(K771&gt;650,"LOW",K771&gt;=550,"MEDIUM",K771&lt;550,"HIGH")</f>
        <v>MEDIUM</v>
      </c>
    </row>
    <row r="772" spans="3:28" x14ac:dyDescent="0.3">
      <c r="C772" s="35" t="s">
        <v>3801</v>
      </c>
      <c r="D772" s="1" t="s">
        <v>1807</v>
      </c>
      <c r="E772" s="1">
        <v>62</v>
      </c>
      <c r="F772" s="1" t="s">
        <v>44</v>
      </c>
      <c r="G772" s="1" t="s">
        <v>45</v>
      </c>
      <c r="H772" s="1" t="s">
        <v>28</v>
      </c>
      <c r="I772" s="1" t="s">
        <v>29</v>
      </c>
      <c r="J772" s="7">
        <v>80213</v>
      </c>
      <c r="K772" s="1">
        <v>640</v>
      </c>
      <c r="L772" s="7">
        <v>32283</v>
      </c>
      <c r="M772" s="1">
        <v>12</v>
      </c>
      <c r="N772" s="6">
        <v>0.17059999999999997</v>
      </c>
      <c r="O772" s="1" t="s">
        <v>5</v>
      </c>
      <c r="P772" s="1" t="s">
        <v>30</v>
      </c>
      <c r="Q772" s="1">
        <v>29</v>
      </c>
      <c r="R772" s="1">
        <v>1</v>
      </c>
      <c r="S772" s="1" t="s">
        <v>33</v>
      </c>
      <c r="T772" s="1" t="s">
        <v>33</v>
      </c>
      <c r="U772" s="1">
        <v>2</v>
      </c>
      <c r="V772" s="1">
        <v>181859</v>
      </c>
      <c r="W772" s="7">
        <v>1746.35</v>
      </c>
      <c r="X772" s="1">
        <v>0.28000000000000003</v>
      </c>
      <c r="Y772" s="4">
        <v>45629</v>
      </c>
      <c r="Z772" s="1" t="s">
        <v>38</v>
      </c>
      <c r="AA772" s="1" t="s">
        <v>33</v>
      </c>
      <c r="AB772" s="36" t="str" cm="1">
        <f t="array" ref="AB772">_xlfn.IFS(K772&gt;650,"LOW",K772&gt;=550,"MEDIUM",K772&lt;550,"HIGH")</f>
        <v>MEDIUM</v>
      </c>
    </row>
    <row r="773" spans="3:28" x14ac:dyDescent="0.3">
      <c r="C773" s="35" t="s">
        <v>3959</v>
      </c>
      <c r="D773" s="1" t="s">
        <v>1961</v>
      </c>
      <c r="E773" s="1">
        <v>36</v>
      </c>
      <c r="F773" s="1" t="s">
        <v>26</v>
      </c>
      <c r="G773" s="1" t="s">
        <v>45</v>
      </c>
      <c r="H773" s="1" t="s">
        <v>54</v>
      </c>
      <c r="I773" s="1" t="s">
        <v>59</v>
      </c>
      <c r="J773" s="7">
        <v>21067</v>
      </c>
      <c r="K773" s="1">
        <v>640</v>
      </c>
      <c r="L773" s="7">
        <v>22509</v>
      </c>
      <c r="M773" s="1">
        <v>24</v>
      </c>
      <c r="N773" s="6">
        <v>0.18920000000000001</v>
      </c>
      <c r="O773" s="1" t="s">
        <v>52</v>
      </c>
      <c r="P773" s="1" t="s">
        <v>30</v>
      </c>
      <c r="Q773" s="1">
        <v>28</v>
      </c>
      <c r="R773" s="1">
        <v>1</v>
      </c>
      <c r="S773" s="1" t="s">
        <v>33</v>
      </c>
      <c r="T773" s="1" t="s">
        <v>31</v>
      </c>
      <c r="U773" s="1">
        <v>4</v>
      </c>
      <c r="V773" s="1">
        <v>185806</v>
      </c>
      <c r="W773" s="7">
        <v>1647.23</v>
      </c>
      <c r="X773" s="1">
        <v>0.55000000000000004</v>
      </c>
      <c r="Y773" s="4">
        <v>45252</v>
      </c>
      <c r="Z773" s="1" t="s">
        <v>38</v>
      </c>
      <c r="AA773" s="1" t="s">
        <v>31</v>
      </c>
      <c r="AB773" s="36" t="str" cm="1">
        <f t="array" ref="AB773">_xlfn.IFS(K773&gt;650,"LOW",K773&gt;=550,"MEDIUM",K773&lt;550,"HIGH")</f>
        <v>MEDIUM</v>
      </c>
    </row>
    <row r="774" spans="3:28" x14ac:dyDescent="0.3">
      <c r="C774" s="35" t="s">
        <v>2083</v>
      </c>
      <c r="D774" s="1" t="s">
        <v>114</v>
      </c>
      <c r="E774" s="1">
        <v>49</v>
      </c>
      <c r="F774" s="1" t="s">
        <v>44</v>
      </c>
      <c r="G774" s="1" t="s">
        <v>56</v>
      </c>
      <c r="H774" s="1" t="s">
        <v>54</v>
      </c>
      <c r="I774" s="1" t="s">
        <v>40</v>
      </c>
      <c r="J774" s="7">
        <v>68784</v>
      </c>
      <c r="K774" s="1">
        <v>639</v>
      </c>
      <c r="L774" s="7">
        <v>29371</v>
      </c>
      <c r="M774" s="1">
        <v>12</v>
      </c>
      <c r="N774" s="6">
        <v>0.11259999999999999</v>
      </c>
      <c r="O774" s="1" t="s">
        <v>5</v>
      </c>
      <c r="P774" s="1" t="s">
        <v>30</v>
      </c>
      <c r="Q774" s="1">
        <v>3</v>
      </c>
      <c r="R774" s="1">
        <v>4</v>
      </c>
      <c r="S774" s="1" t="s">
        <v>33</v>
      </c>
      <c r="T774" s="1" t="s">
        <v>31</v>
      </c>
      <c r="U774" s="1">
        <v>2</v>
      </c>
      <c r="V774" s="1">
        <v>119292</v>
      </c>
      <c r="W774" s="7">
        <v>1839.63</v>
      </c>
      <c r="X774" s="1">
        <v>0.75</v>
      </c>
      <c r="Y774" s="4">
        <v>45523</v>
      </c>
      <c r="Z774" s="1" t="s">
        <v>32</v>
      </c>
      <c r="AA774" s="1" t="s">
        <v>31</v>
      </c>
      <c r="AB774" s="36" t="str" cm="1">
        <f t="array" ref="AB774">_xlfn.IFS(K774&gt;650,"LOW",K774&gt;=550,"MEDIUM",K774&lt;550,"HIGH")</f>
        <v>MEDIUM</v>
      </c>
    </row>
    <row r="775" spans="3:28" x14ac:dyDescent="0.3">
      <c r="C775" s="35" t="s">
        <v>2105</v>
      </c>
      <c r="D775" s="1" t="s">
        <v>136</v>
      </c>
      <c r="E775" s="1">
        <v>35</v>
      </c>
      <c r="F775" s="1" t="s">
        <v>26</v>
      </c>
      <c r="G775" s="1" t="s">
        <v>35</v>
      </c>
      <c r="H775" s="1" t="s">
        <v>28</v>
      </c>
      <c r="I775" s="1" t="s">
        <v>59</v>
      </c>
      <c r="J775" s="7">
        <v>82515</v>
      </c>
      <c r="K775" s="1">
        <v>639</v>
      </c>
      <c r="L775" s="7">
        <v>24383</v>
      </c>
      <c r="M775" s="1">
        <v>24</v>
      </c>
      <c r="N775" s="6">
        <v>0.17730000000000001</v>
      </c>
      <c r="O775" s="1" t="s">
        <v>46</v>
      </c>
      <c r="P775" s="1" t="s">
        <v>30</v>
      </c>
      <c r="Q775" s="1">
        <v>4</v>
      </c>
      <c r="R775" s="1">
        <v>0</v>
      </c>
      <c r="S775" s="1" t="s">
        <v>31</v>
      </c>
      <c r="T775" s="1" t="s">
        <v>33</v>
      </c>
      <c r="U775" s="1">
        <v>2</v>
      </c>
      <c r="V775" s="1">
        <v>77462</v>
      </c>
      <c r="W775" s="7">
        <v>684.81</v>
      </c>
      <c r="X775" s="1">
        <v>0.31</v>
      </c>
      <c r="Y775" s="4">
        <v>44041</v>
      </c>
      <c r="Z775" s="1" t="s">
        <v>38</v>
      </c>
      <c r="AA775" s="1" t="s">
        <v>33</v>
      </c>
      <c r="AB775" s="36" t="str" cm="1">
        <f t="array" ref="AB775">_xlfn.IFS(K775&gt;650,"LOW",K775&gt;=550,"MEDIUM",K775&lt;550,"HIGH")</f>
        <v>MEDIUM</v>
      </c>
    </row>
    <row r="776" spans="3:28" x14ac:dyDescent="0.3">
      <c r="C776" s="35" t="s">
        <v>2246</v>
      </c>
      <c r="D776" s="1" t="s">
        <v>277</v>
      </c>
      <c r="E776" s="1">
        <v>23</v>
      </c>
      <c r="F776" s="1" t="s">
        <v>44</v>
      </c>
      <c r="G776" s="1" t="s">
        <v>45</v>
      </c>
      <c r="H776" s="1" t="s">
        <v>61</v>
      </c>
      <c r="I776" s="1" t="s">
        <v>59</v>
      </c>
      <c r="J776" s="7">
        <v>35173</v>
      </c>
      <c r="K776" s="1">
        <v>639</v>
      </c>
      <c r="L776" s="7">
        <v>9554</v>
      </c>
      <c r="M776" s="1">
        <v>48</v>
      </c>
      <c r="N776" s="6">
        <v>0.17579999999999998</v>
      </c>
      <c r="O776" s="1" t="s">
        <v>37</v>
      </c>
      <c r="P776" s="1" t="s">
        <v>47</v>
      </c>
      <c r="Q776" s="1">
        <v>2</v>
      </c>
      <c r="R776" s="1">
        <v>4</v>
      </c>
      <c r="S776" s="1" t="s">
        <v>33</v>
      </c>
      <c r="T776" s="1" t="s">
        <v>31</v>
      </c>
      <c r="U776" s="1">
        <v>1</v>
      </c>
      <c r="V776" s="1">
        <v>115764</v>
      </c>
      <c r="W776" s="7">
        <v>1177.81</v>
      </c>
      <c r="X776" s="1">
        <v>0.45</v>
      </c>
      <c r="Y776" s="4">
        <v>45465</v>
      </c>
      <c r="Z776" s="1" t="s">
        <v>32</v>
      </c>
      <c r="AA776" s="1" t="s">
        <v>33</v>
      </c>
      <c r="AB776" s="36" t="str" cm="1">
        <f t="array" ref="AB776">_xlfn.IFS(K776&gt;650,"LOW",K776&gt;=550,"MEDIUM",K776&lt;550,"HIGH")</f>
        <v>MEDIUM</v>
      </c>
    </row>
    <row r="777" spans="3:28" x14ac:dyDescent="0.3">
      <c r="C777" s="35" t="s">
        <v>3690</v>
      </c>
      <c r="D777" s="1" t="s">
        <v>1701</v>
      </c>
      <c r="E777" s="1">
        <v>64</v>
      </c>
      <c r="F777" s="1" t="s">
        <v>26</v>
      </c>
      <c r="G777" s="1" t="s">
        <v>56</v>
      </c>
      <c r="H777" s="1" t="s">
        <v>61</v>
      </c>
      <c r="I777" s="1" t="s">
        <v>29</v>
      </c>
      <c r="J777" s="7">
        <v>141070</v>
      </c>
      <c r="K777" s="1">
        <v>639</v>
      </c>
      <c r="L777" s="7">
        <v>38532</v>
      </c>
      <c r="M777" s="1">
        <v>36</v>
      </c>
      <c r="N777" s="6">
        <v>7.0999999999999994E-2</v>
      </c>
      <c r="O777" s="1" t="s">
        <v>41</v>
      </c>
      <c r="P777" s="1" t="s">
        <v>30</v>
      </c>
      <c r="Q777" s="1">
        <v>28</v>
      </c>
      <c r="R777" s="1">
        <v>1</v>
      </c>
      <c r="S777" s="1" t="s">
        <v>33</v>
      </c>
      <c r="T777" s="1" t="s">
        <v>33</v>
      </c>
      <c r="U777" s="1">
        <v>0</v>
      </c>
      <c r="V777" s="1">
        <v>4983</v>
      </c>
      <c r="W777" s="7">
        <v>1286.23</v>
      </c>
      <c r="X777" s="1">
        <v>0.7</v>
      </c>
      <c r="Y777" s="4">
        <v>45786</v>
      </c>
      <c r="Z777" s="1" t="s">
        <v>32</v>
      </c>
      <c r="AA777" s="1" t="s">
        <v>33</v>
      </c>
      <c r="AB777" s="36" t="str" cm="1">
        <f t="array" ref="AB777">_xlfn.IFS(K777&gt;650,"LOW",K777&gt;=550,"MEDIUM",K777&lt;550,"HIGH")</f>
        <v>MEDIUM</v>
      </c>
    </row>
    <row r="778" spans="3:28" x14ac:dyDescent="0.3">
      <c r="C778" s="35" t="s">
        <v>2778</v>
      </c>
      <c r="D778" s="1" t="s">
        <v>806</v>
      </c>
      <c r="E778" s="1">
        <v>49</v>
      </c>
      <c r="F778" s="1" t="s">
        <v>44</v>
      </c>
      <c r="G778" s="1" t="s">
        <v>45</v>
      </c>
      <c r="H778" s="1" t="s">
        <v>54</v>
      </c>
      <c r="I778" s="1" t="s">
        <v>29</v>
      </c>
      <c r="J778" s="7">
        <v>62879</v>
      </c>
      <c r="K778" s="1">
        <v>638</v>
      </c>
      <c r="L778" s="7">
        <v>42037</v>
      </c>
      <c r="M778" s="1">
        <v>48</v>
      </c>
      <c r="N778" s="6">
        <v>0.11779999999999999</v>
      </c>
      <c r="O778" s="1" t="s">
        <v>5</v>
      </c>
      <c r="P778" s="1" t="s">
        <v>30</v>
      </c>
      <c r="Q778" s="1">
        <v>8</v>
      </c>
      <c r="R778" s="1">
        <v>4</v>
      </c>
      <c r="S778" s="1" t="s">
        <v>33</v>
      </c>
      <c r="T778" s="1" t="s">
        <v>31</v>
      </c>
      <c r="U778" s="1">
        <v>1</v>
      </c>
      <c r="V778" s="1">
        <v>68624</v>
      </c>
      <c r="W778" s="7">
        <v>933.09</v>
      </c>
      <c r="X778" s="1">
        <v>0.59</v>
      </c>
      <c r="Y778" s="4">
        <v>44861</v>
      </c>
      <c r="Z778" s="1" t="s">
        <v>38</v>
      </c>
      <c r="AA778" s="1" t="s">
        <v>33</v>
      </c>
      <c r="AB778" s="36" t="str" cm="1">
        <f t="array" ref="AB778">_xlfn.IFS(K778&gt;650,"LOW",K778&gt;=550,"MEDIUM",K778&lt;550,"HIGH")</f>
        <v>MEDIUM</v>
      </c>
    </row>
    <row r="779" spans="3:28" x14ac:dyDescent="0.3">
      <c r="C779" s="35" t="s">
        <v>2782</v>
      </c>
      <c r="D779" s="1" t="s">
        <v>810</v>
      </c>
      <c r="E779" s="1">
        <v>30</v>
      </c>
      <c r="F779" s="1" t="s">
        <v>26</v>
      </c>
      <c r="G779" s="1" t="s">
        <v>45</v>
      </c>
      <c r="H779" s="1" t="s">
        <v>54</v>
      </c>
      <c r="I779" s="1" t="s">
        <v>57</v>
      </c>
      <c r="J779" s="7">
        <v>97990</v>
      </c>
      <c r="K779" s="1">
        <v>638</v>
      </c>
      <c r="L779" s="7">
        <v>47053</v>
      </c>
      <c r="M779" s="1">
        <v>36</v>
      </c>
      <c r="N779" s="6">
        <v>7.3399999999999993E-2</v>
      </c>
      <c r="O779" s="1" t="s">
        <v>41</v>
      </c>
      <c r="P779" s="1" t="s">
        <v>47</v>
      </c>
      <c r="Q779" s="1">
        <v>16</v>
      </c>
      <c r="R779" s="1">
        <v>3</v>
      </c>
      <c r="S779" s="1" t="s">
        <v>33</v>
      </c>
      <c r="T779" s="1" t="s">
        <v>31</v>
      </c>
      <c r="U779" s="1">
        <v>3</v>
      </c>
      <c r="V779" s="1">
        <v>183606</v>
      </c>
      <c r="W779" s="7">
        <v>1883.41</v>
      </c>
      <c r="X779" s="1">
        <v>0.95</v>
      </c>
      <c r="Y779" s="4">
        <v>44388</v>
      </c>
      <c r="Z779" s="1" t="s">
        <v>32</v>
      </c>
      <c r="AA779" s="1" t="s">
        <v>33</v>
      </c>
      <c r="AB779" s="36" t="str" cm="1">
        <f t="array" ref="AB779">_xlfn.IFS(K779&gt;650,"LOW",K779&gt;=550,"MEDIUM",K779&lt;550,"HIGH")</f>
        <v>MEDIUM</v>
      </c>
    </row>
    <row r="780" spans="3:28" x14ac:dyDescent="0.3">
      <c r="C780" s="35" t="s">
        <v>3178</v>
      </c>
      <c r="D780" s="1" t="s">
        <v>1202</v>
      </c>
      <c r="E780" s="1">
        <v>28</v>
      </c>
      <c r="F780" s="1" t="s">
        <v>26</v>
      </c>
      <c r="G780" s="1" t="s">
        <v>27</v>
      </c>
      <c r="H780" s="1" t="s">
        <v>36</v>
      </c>
      <c r="I780" s="1" t="s">
        <v>40</v>
      </c>
      <c r="J780" s="7">
        <v>129274</v>
      </c>
      <c r="K780" s="1">
        <v>638</v>
      </c>
      <c r="L780" s="7">
        <v>37776</v>
      </c>
      <c r="M780" s="1">
        <v>36</v>
      </c>
      <c r="N780" s="6">
        <v>0.14249999999999999</v>
      </c>
      <c r="O780" s="1" t="s">
        <v>5</v>
      </c>
      <c r="P780" s="1" t="s">
        <v>30</v>
      </c>
      <c r="Q780" s="1">
        <v>19</v>
      </c>
      <c r="R780" s="1">
        <v>2</v>
      </c>
      <c r="S780" s="1" t="s">
        <v>33</v>
      </c>
      <c r="T780" s="1" t="s">
        <v>31</v>
      </c>
      <c r="U780" s="1">
        <v>3</v>
      </c>
      <c r="V780" s="1">
        <v>30795</v>
      </c>
      <c r="W780" s="7">
        <v>1810.33</v>
      </c>
      <c r="X780" s="1">
        <v>0.36</v>
      </c>
      <c r="Y780" s="4">
        <v>45294</v>
      </c>
      <c r="Z780" s="1" t="s">
        <v>38</v>
      </c>
      <c r="AA780" s="1" t="s">
        <v>33</v>
      </c>
      <c r="AB780" s="36" t="str" cm="1">
        <f t="array" ref="AB780">_xlfn.IFS(K780&gt;650,"LOW",K780&gt;=550,"MEDIUM",K780&lt;550,"HIGH")</f>
        <v>MEDIUM</v>
      </c>
    </row>
    <row r="781" spans="3:28" x14ac:dyDescent="0.3">
      <c r="C781" s="35" t="s">
        <v>3300</v>
      </c>
      <c r="D781" s="1" t="s">
        <v>1323</v>
      </c>
      <c r="E781" s="1">
        <v>37</v>
      </c>
      <c r="F781" s="1" t="s">
        <v>44</v>
      </c>
      <c r="G781" s="1" t="s">
        <v>27</v>
      </c>
      <c r="H781" s="1" t="s">
        <v>54</v>
      </c>
      <c r="I781" s="1" t="s">
        <v>59</v>
      </c>
      <c r="J781" s="7">
        <v>29190</v>
      </c>
      <c r="K781" s="1">
        <v>638</v>
      </c>
      <c r="L781" s="7">
        <v>1567</v>
      </c>
      <c r="M781" s="1">
        <v>24</v>
      </c>
      <c r="N781" s="6">
        <v>0.1303</v>
      </c>
      <c r="O781" s="1" t="s">
        <v>41</v>
      </c>
      <c r="P781" s="1" t="s">
        <v>50</v>
      </c>
      <c r="Q781" s="1">
        <v>11</v>
      </c>
      <c r="R781" s="1">
        <v>2</v>
      </c>
      <c r="S781" s="1" t="s">
        <v>33</v>
      </c>
      <c r="T781" s="1" t="s">
        <v>33</v>
      </c>
      <c r="U781" s="1">
        <v>0</v>
      </c>
      <c r="V781" s="1">
        <v>138667</v>
      </c>
      <c r="W781" s="7">
        <v>1432.37</v>
      </c>
      <c r="X781" s="1">
        <v>0.83</v>
      </c>
      <c r="Y781" s="4">
        <v>44687</v>
      </c>
      <c r="Z781" s="1" t="s">
        <v>38</v>
      </c>
      <c r="AA781" s="1" t="s">
        <v>33</v>
      </c>
      <c r="AB781" s="36" t="str" cm="1">
        <f t="array" ref="AB781">_xlfn.IFS(K781&gt;650,"LOW",K781&gt;=550,"MEDIUM",K781&lt;550,"HIGH")</f>
        <v>MEDIUM</v>
      </c>
    </row>
    <row r="782" spans="3:28" x14ac:dyDescent="0.3">
      <c r="C782" s="35" t="s">
        <v>3506</v>
      </c>
      <c r="D782" s="1" t="s">
        <v>1523</v>
      </c>
      <c r="E782" s="1">
        <v>58</v>
      </c>
      <c r="F782" s="1" t="s">
        <v>44</v>
      </c>
      <c r="G782" s="1" t="s">
        <v>27</v>
      </c>
      <c r="H782" s="1" t="s">
        <v>36</v>
      </c>
      <c r="I782" s="1" t="s">
        <v>29</v>
      </c>
      <c r="J782" s="7">
        <v>128261</v>
      </c>
      <c r="K782" s="1">
        <v>638</v>
      </c>
      <c r="L782" s="7">
        <v>36285</v>
      </c>
      <c r="M782" s="1">
        <v>12</v>
      </c>
      <c r="N782" s="6">
        <v>0.11380000000000001</v>
      </c>
      <c r="O782" s="1" t="s">
        <v>41</v>
      </c>
      <c r="P782" s="1" t="s">
        <v>47</v>
      </c>
      <c r="Q782" s="1">
        <v>20</v>
      </c>
      <c r="R782" s="1">
        <v>3</v>
      </c>
      <c r="S782" s="1" t="s">
        <v>33</v>
      </c>
      <c r="T782" s="1" t="s">
        <v>33</v>
      </c>
      <c r="U782" s="1">
        <v>2</v>
      </c>
      <c r="V782" s="1">
        <v>146649</v>
      </c>
      <c r="W782" s="7">
        <v>1036.4100000000001</v>
      </c>
      <c r="X782" s="1">
        <v>0.54</v>
      </c>
      <c r="Y782" s="4">
        <v>45702</v>
      </c>
      <c r="Z782" s="1" t="s">
        <v>32</v>
      </c>
      <c r="AA782" s="1" t="s">
        <v>31</v>
      </c>
      <c r="AB782" s="36" t="str" cm="1">
        <f t="array" ref="AB782">_xlfn.IFS(K782&gt;650,"LOW",K782&gt;=550,"MEDIUM",K782&lt;550,"HIGH")</f>
        <v>MEDIUM</v>
      </c>
    </row>
    <row r="783" spans="3:28" x14ac:dyDescent="0.3">
      <c r="C783" s="35" t="s">
        <v>3946</v>
      </c>
      <c r="D783" s="1" t="s">
        <v>1948</v>
      </c>
      <c r="E783" s="1">
        <v>44</v>
      </c>
      <c r="F783" s="1" t="s">
        <v>44</v>
      </c>
      <c r="G783" s="1" t="s">
        <v>56</v>
      </c>
      <c r="H783" s="1" t="s">
        <v>54</v>
      </c>
      <c r="I783" s="1" t="s">
        <v>59</v>
      </c>
      <c r="J783" s="7">
        <v>124470</v>
      </c>
      <c r="K783" s="1">
        <v>638</v>
      </c>
      <c r="L783" s="7">
        <v>34431</v>
      </c>
      <c r="M783" s="1">
        <v>12</v>
      </c>
      <c r="N783" s="6">
        <v>7.1099999999999997E-2</v>
      </c>
      <c r="O783" s="1" t="s">
        <v>52</v>
      </c>
      <c r="P783" s="1" t="s">
        <v>50</v>
      </c>
      <c r="Q783" s="1">
        <v>26</v>
      </c>
      <c r="R783" s="1">
        <v>4</v>
      </c>
      <c r="S783" s="1" t="s">
        <v>31</v>
      </c>
      <c r="T783" s="1" t="s">
        <v>33</v>
      </c>
      <c r="U783" s="1">
        <v>2</v>
      </c>
      <c r="V783" s="1">
        <v>79942</v>
      </c>
      <c r="W783" s="7">
        <v>432.6</v>
      </c>
      <c r="X783" s="1">
        <v>0.1</v>
      </c>
      <c r="Y783" s="4">
        <v>44280</v>
      </c>
      <c r="Z783" s="1" t="s">
        <v>32</v>
      </c>
      <c r="AA783" s="1" t="s">
        <v>33</v>
      </c>
      <c r="AB783" s="36" t="str" cm="1">
        <f t="array" ref="AB783">_xlfn.IFS(K783&gt;650,"LOW",K783&gt;=550,"MEDIUM",K783&lt;550,"HIGH")</f>
        <v>MEDIUM</v>
      </c>
    </row>
    <row r="784" spans="3:28" x14ac:dyDescent="0.3">
      <c r="C784" s="35" t="s">
        <v>2550</v>
      </c>
      <c r="D784" s="1" t="s">
        <v>580</v>
      </c>
      <c r="E784" s="1">
        <v>40</v>
      </c>
      <c r="F784" s="1" t="s">
        <v>44</v>
      </c>
      <c r="G784" s="1" t="s">
        <v>45</v>
      </c>
      <c r="H784" s="1" t="s">
        <v>61</v>
      </c>
      <c r="I784" s="1" t="s">
        <v>57</v>
      </c>
      <c r="J784" s="7">
        <v>53005</v>
      </c>
      <c r="K784" s="1">
        <v>637</v>
      </c>
      <c r="L784" s="7">
        <v>44858</v>
      </c>
      <c r="M784" s="1">
        <v>12</v>
      </c>
      <c r="N784" s="6">
        <v>0.1424</v>
      </c>
      <c r="O784" s="1" t="s">
        <v>5</v>
      </c>
      <c r="P784" s="1" t="s">
        <v>30</v>
      </c>
      <c r="Q784" s="1">
        <v>19</v>
      </c>
      <c r="R784" s="1">
        <v>0</v>
      </c>
      <c r="S784" s="1" t="s">
        <v>33</v>
      </c>
      <c r="T784" s="1" t="s">
        <v>33</v>
      </c>
      <c r="U784" s="1">
        <v>2</v>
      </c>
      <c r="V784" s="1">
        <v>125605</v>
      </c>
      <c r="W784" s="7">
        <v>1575.86</v>
      </c>
      <c r="X784" s="1">
        <v>0.62</v>
      </c>
      <c r="Y784" s="4">
        <v>45718</v>
      </c>
      <c r="Z784" s="1" t="s">
        <v>38</v>
      </c>
      <c r="AA784" s="1" t="s">
        <v>33</v>
      </c>
      <c r="AB784" s="36" t="str" cm="1">
        <f t="array" ref="AB784">_xlfn.IFS(K784&gt;650,"LOW",K784&gt;=550,"MEDIUM",K784&lt;550,"HIGH")</f>
        <v>MEDIUM</v>
      </c>
    </row>
    <row r="785" spans="3:28" x14ac:dyDescent="0.3">
      <c r="C785" s="35" t="s">
        <v>2990</v>
      </c>
      <c r="D785" s="1" t="s">
        <v>1017</v>
      </c>
      <c r="E785" s="1">
        <v>55</v>
      </c>
      <c r="F785" s="1" t="s">
        <v>26</v>
      </c>
      <c r="G785" s="1" t="s">
        <v>56</v>
      </c>
      <c r="H785" s="1" t="s">
        <v>28</v>
      </c>
      <c r="I785" s="1" t="s">
        <v>40</v>
      </c>
      <c r="J785" s="7">
        <v>55321</v>
      </c>
      <c r="K785" s="1">
        <v>637</v>
      </c>
      <c r="L785" s="7">
        <v>39294</v>
      </c>
      <c r="M785" s="1">
        <v>48</v>
      </c>
      <c r="N785" s="6">
        <v>0.19329999999999997</v>
      </c>
      <c r="O785" s="1" t="s">
        <v>41</v>
      </c>
      <c r="P785" s="1" t="s">
        <v>30</v>
      </c>
      <c r="Q785" s="1">
        <v>12</v>
      </c>
      <c r="R785" s="1">
        <v>0</v>
      </c>
      <c r="S785" s="1" t="s">
        <v>31</v>
      </c>
      <c r="T785" s="1" t="s">
        <v>33</v>
      </c>
      <c r="U785" s="1">
        <v>2</v>
      </c>
      <c r="V785" s="1">
        <v>24613</v>
      </c>
      <c r="W785" s="7">
        <v>318.70999999999998</v>
      </c>
      <c r="X785" s="1">
        <v>0.17</v>
      </c>
      <c r="Y785" s="4">
        <v>44665</v>
      </c>
      <c r="Z785" s="1" t="s">
        <v>32</v>
      </c>
      <c r="AA785" s="1" t="s">
        <v>33</v>
      </c>
      <c r="AB785" s="36" t="str" cm="1">
        <f t="array" ref="AB785">_xlfn.IFS(K785&gt;650,"LOW",K785&gt;=550,"MEDIUM",K785&lt;550,"HIGH")</f>
        <v>MEDIUM</v>
      </c>
    </row>
    <row r="786" spans="3:28" x14ac:dyDescent="0.3">
      <c r="C786" s="35" t="s">
        <v>3186</v>
      </c>
      <c r="D786" s="1" t="s">
        <v>1210</v>
      </c>
      <c r="E786" s="1">
        <v>54</v>
      </c>
      <c r="F786" s="1" t="s">
        <v>44</v>
      </c>
      <c r="G786" s="1" t="s">
        <v>35</v>
      </c>
      <c r="H786" s="1" t="s">
        <v>28</v>
      </c>
      <c r="I786" s="1" t="s">
        <v>29</v>
      </c>
      <c r="J786" s="7">
        <v>60643</v>
      </c>
      <c r="K786" s="1">
        <v>637</v>
      </c>
      <c r="L786" s="7">
        <v>34289</v>
      </c>
      <c r="M786" s="1">
        <v>24</v>
      </c>
      <c r="N786" s="6">
        <v>0.16</v>
      </c>
      <c r="O786" s="1" t="s">
        <v>52</v>
      </c>
      <c r="P786" s="1" t="s">
        <v>47</v>
      </c>
      <c r="Q786" s="1">
        <v>22</v>
      </c>
      <c r="R786" s="1">
        <v>4</v>
      </c>
      <c r="S786" s="1" t="s">
        <v>31</v>
      </c>
      <c r="T786" s="1" t="s">
        <v>33</v>
      </c>
      <c r="U786" s="1">
        <v>3</v>
      </c>
      <c r="V786" s="1">
        <v>17665</v>
      </c>
      <c r="W786" s="7">
        <v>1204.8900000000001</v>
      </c>
      <c r="X786" s="1">
        <v>0.1</v>
      </c>
      <c r="Y786" s="4">
        <v>44123</v>
      </c>
      <c r="Z786" s="1" t="s">
        <v>32</v>
      </c>
      <c r="AA786" s="1" t="s">
        <v>33</v>
      </c>
      <c r="AB786" s="36" t="str" cm="1">
        <f t="array" ref="AB786">_xlfn.IFS(K786&gt;650,"LOW",K786&gt;=550,"MEDIUM",K786&lt;550,"HIGH")</f>
        <v>MEDIUM</v>
      </c>
    </row>
    <row r="787" spans="3:28" x14ac:dyDescent="0.3">
      <c r="C787" s="35" t="s">
        <v>3358</v>
      </c>
      <c r="D787" s="1" t="s">
        <v>1380</v>
      </c>
      <c r="E787" s="1">
        <v>30</v>
      </c>
      <c r="F787" s="1" t="s">
        <v>44</v>
      </c>
      <c r="G787" s="1" t="s">
        <v>35</v>
      </c>
      <c r="H787" s="1" t="s">
        <v>54</v>
      </c>
      <c r="I787" s="1" t="s">
        <v>40</v>
      </c>
      <c r="J787" s="7">
        <v>20294</v>
      </c>
      <c r="K787" s="1">
        <v>637</v>
      </c>
      <c r="L787" s="7">
        <v>49023</v>
      </c>
      <c r="M787" s="1">
        <v>60</v>
      </c>
      <c r="N787" s="6">
        <v>7.5899999999999995E-2</v>
      </c>
      <c r="O787" s="1" t="s">
        <v>63</v>
      </c>
      <c r="P787" s="1" t="s">
        <v>30</v>
      </c>
      <c r="Q787" s="1">
        <v>26</v>
      </c>
      <c r="R787" s="1">
        <v>0</v>
      </c>
      <c r="S787" s="1" t="s">
        <v>33</v>
      </c>
      <c r="T787" s="1" t="s">
        <v>31</v>
      </c>
      <c r="U787" s="1">
        <v>3</v>
      </c>
      <c r="V787" s="1">
        <v>101426</v>
      </c>
      <c r="W787" s="7">
        <v>980.37</v>
      </c>
      <c r="X787" s="1">
        <v>0.76</v>
      </c>
      <c r="Y787" s="4">
        <v>45139</v>
      </c>
      <c r="Z787" s="1" t="s">
        <v>38</v>
      </c>
      <c r="AA787" s="1" t="s">
        <v>33</v>
      </c>
      <c r="AB787" s="36" t="str" cm="1">
        <f t="array" ref="AB787">_xlfn.IFS(K787&gt;650,"LOW",K787&gt;=550,"MEDIUM",K787&lt;550,"HIGH")</f>
        <v>MEDIUM</v>
      </c>
    </row>
    <row r="788" spans="3:28" x14ac:dyDescent="0.3">
      <c r="C788" s="35" t="s">
        <v>2266</v>
      </c>
      <c r="D788" s="1" t="s">
        <v>297</v>
      </c>
      <c r="E788" s="1">
        <v>43</v>
      </c>
      <c r="F788" s="1" t="s">
        <v>26</v>
      </c>
      <c r="G788" s="1" t="s">
        <v>35</v>
      </c>
      <c r="H788" s="1" t="s">
        <v>54</v>
      </c>
      <c r="I788" s="1" t="s">
        <v>57</v>
      </c>
      <c r="J788" s="7">
        <v>118426</v>
      </c>
      <c r="K788" s="1">
        <v>636</v>
      </c>
      <c r="L788" s="7">
        <v>29467</v>
      </c>
      <c r="M788" s="1">
        <v>24</v>
      </c>
      <c r="N788" s="6">
        <v>0.1376</v>
      </c>
      <c r="O788" s="1" t="s">
        <v>52</v>
      </c>
      <c r="P788" s="1" t="s">
        <v>47</v>
      </c>
      <c r="Q788" s="1">
        <v>6</v>
      </c>
      <c r="R788" s="1">
        <v>3</v>
      </c>
      <c r="S788" s="1" t="s">
        <v>31</v>
      </c>
      <c r="T788" s="1" t="s">
        <v>31</v>
      </c>
      <c r="U788" s="1">
        <v>3</v>
      </c>
      <c r="V788" s="1">
        <v>59617</v>
      </c>
      <c r="W788" s="7">
        <v>780.46</v>
      </c>
      <c r="X788" s="1">
        <v>0.17</v>
      </c>
      <c r="Y788" s="4">
        <v>45712</v>
      </c>
      <c r="Z788" s="1" t="s">
        <v>38</v>
      </c>
      <c r="AA788" s="1" t="s">
        <v>33</v>
      </c>
      <c r="AB788" s="36" t="str" cm="1">
        <f t="array" ref="AB788">_xlfn.IFS(K788&gt;650,"LOW",K788&gt;=550,"MEDIUM",K788&lt;550,"HIGH")</f>
        <v>MEDIUM</v>
      </c>
    </row>
    <row r="789" spans="3:28" x14ac:dyDescent="0.3">
      <c r="C789" s="35" t="s">
        <v>2832</v>
      </c>
      <c r="D789" s="1" t="s">
        <v>860</v>
      </c>
      <c r="E789" s="1">
        <v>63</v>
      </c>
      <c r="F789" s="1" t="s">
        <v>44</v>
      </c>
      <c r="G789" s="1" t="s">
        <v>56</v>
      </c>
      <c r="H789" s="1" t="s">
        <v>54</v>
      </c>
      <c r="I789" s="1" t="s">
        <v>29</v>
      </c>
      <c r="J789" s="7">
        <v>47181</v>
      </c>
      <c r="K789" s="1">
        <v>636</v>
      </c>
      <c r="L789" s="7">
        <v>10394</v>
      </c>
      <c r="M789" s="1">
        <v>12</v>
      </c>
      <c r="N789" s="6">
        <v>0.187</v>
      </c>
      <c r="O789" s="1" t="s">
        <v>63</v>
      </c>
      <c r="P789" s="1" t="s">
        <v>47</v>
      </c>
      <c r="Q789" s="1">
        <v>6</v>
      </c>
      <c r="R789" s="1">
        <v>1</v>
      </c>
      <c r="S789" s="1" t="s">
        <v>31</v>
      </c>
      <c r="T789" s="1" t="s">
        <v>31</v>
      </c>
      <c r="U789" s="1">
        <v>4</v>
      </c>
      <c r="V789" s="1">
        <v>50373</v>
      </c>
      <c r="W789" s="7">
        <v>954.79</v>
      </c>
      <c r="X789" s="1">
        <v>0.56999999999999995</v>
      </c>
      <c r="Y789" s="4">
        <v>45786</v>
      </c>
      <c r="Z789" s="1" t="s">
        <v>32</v>
      </c>
      <c r="AA789" s="1" t="s">
        <v>33</v>
      </c>
      <c r="AB789" s="36" t="str" cm="1">
        <f t="array" ref="AB789">_xlfn.IFS(K789&gt;650,"LOW",K789&gt;=550,"MEDIUM",K789&lt;550,"HIGH")</f>
        <v>MEDIUM</v>
      </c>
    </row>
    <row r="790" spans="3:28" x14ac:dyDescent="0.3">
      <c r="C790" s="35" t="s">
        <v>2955</v>
      </c>
      <c r="D790" s="1" t="s">
        <v>983</v>
      </c>
      <c r="E790" s="1">
        <v>33</v>
      </c>
      <c r="F790" s="1" t="s">
        <v>26</v>
      </c>
      <c r="G790" s="1" t="s">
        <v>56</v>
      </c>
      <c r="H790" s="1" t="s">
        <v>61</v>
      </c>
      <c r="I790" s="1" t="s">
        <v>59</v>
      </c>
      <c r="J790" s="7">
        <v>27961</v>
      </c>
      <c r="K790" s="1">
        <v>636</v>
      </c>
      <c r="L790" s="7">
        <v>45348</v>
      </c>
      <c r="M790" s="1">
        <v>12</v>
      </c>
      <c r="N790" s="6">
        <v>0.18600000000000003</v>
      </c>
      <c r="O790" s="1" t="s">
        <v>63</v>
      </c>
      <c r="P790" s="1" t="s">
        <v>47</v>
      </c>
      <c r="Q790" s="1">
        <v>16</v>
      </c>
      <c r="R790" s="1">
        <v>1</v>
      </c>
      <c r="S790" s="1" t="s">
        <v>33</v>
      </c>
      <c r="T790" s="1" t="s">
        <v>33</v>
      </c>
      <c r="U790" s="1">
        <v>1</v>
      </c>
      <c r="V790" s="1">
        <v>63767</v>
      </c>
      <c r="W790" s="7">
        <v>1358.36</v>
      </c>
      <c r="X790" s="1">
        <v>0.91</v>
      </c>
      <c r="Y790" s="4">
        <v>45618</v>
      </c>
      <c r="Z790" s="1" t="s">
        <v>32</v>
      </c>
      <c r="AA790" s="1" t="s">
        <v>33</v>
      </c>
      <c r="AB790" s="36" t="str" cm="1">
        <f t="array" ref="AB790">_xlfn.IFS(K790&gt;650,"LOW",K790&gt;=550,"MEDIUM",K790&lt;550,"HIGH")</f>
        <v>MEDIUM</v>
      </c>
    </row>
    <row r="791" spans="3:28" x14ac:dyDescent="0.3">
      <c r="C791" s="35" t="s">
        <v>2216</v>
      </c>
      <c r="D791" s="1" t="s">
        <v>247</v>
      </c>
      <c r="E791" s="1">
        <v>22</v>
      </c>
      <c r="F791" s="1" t="s">
        <v>26</v>
      </c>
      <c r="G791" s="1" t="s">
        <v>27</v>
      </c>
      <c r="H791" s="1" t="s">
        <v>28</v>
      </c>
      <c r="I791" s="1" t="s">
        <v>29</v>
      </c>
      <c r="J791" s="7">
        <v>81720</v>
      </c>
      <c r="K791" s="1">
        <v>635</v>
      </c>
      <c r="L791" s="7">
        <v>41934</v>
      </c>
      <c r="M791" s="1">
        <v>12</v>
      </c>
      <c r="N791" s="6">
        <v>0.12429999999999999</v>
      </c>
      <c r="O791" s="1" t="s">
        <v>37</v>
      </c>
      <c r="P791" s="1" t="s">
        <v>50</v>
      </c>
      <c r="Q791" s="1">
        <v>5</v>
      </c>
      <c r="R791" s="1">
        <v>0</v>
      </c>
      <c r="S791" s="1" t="s">
        <v>31</v>
      </c>
      <c r="T791" s="1" t="s">
        <v>31</v>
      </c>
      <c r="U791" s="1">
        <v>3</v>
      </c>
      <c r="V791" s="1">
        <v>188514</v>
      </c>
      <c r="W791" s="7">
        <v>1485.71</v>
      </c>
      <c r="X791" s="1">
        <v>0.11</v>
      </c>
      <c r="Y791" s="4">
        <v>44487</v>
      </c>
      <c r="Z791" s="1" t="s">
        <v>38</v>
      </c>
      <c r="AA791" s="1" t="s">
        <v>33</v>
      </c>
      <c r="AB791" s="36" t="str" cm="1">
        <f t="array" ref="AB791">_xlfn.IFS(K791&gt;650,"LOW",K791&gt;=550,"MEDIUM",K791&lt;550,"HIGH")</f>
        <v>MEDIUM</v>
      </c>
    </row>
    <row r="792" spans="3:28" x14ac:dyDescent="0.3">
      <c r="C792" s="35" t="s">
        <v>2930</v>
      </c>
      <c r="D792" s="1" t="s">
        <v>958</v>
      </c>
      <c r="E792" s="1">
        <v>46</v>
      </c>
      <c r="F792" s="1" t="s">
        <v>44</v>
      </c>
      <c r="G792" s="1" t="s">
        <v>45</v>
      </c>
      <c r="H792" s="1" t="s">
        <v>61</v>
      </c>
      <c r="I792" s="1" t="s">
        <v>40</v>
      </c>
      <c r="J792" s="7">
        <v>20028</v>
      </c>
      <c r="K792" s="1">
        <v>635</v>
      </c>
      <c r="L792" s="7">
        <v>19781</v>
      </c>
      <c r="M792" s="1">
        <v>60</v>
      </c>
      <c r="N792" s="6">
        <v>8.1500000000000003E-2</v>
      </c>
      <c r="O792" s="1" t="s">
        <v>52</v>
      </c>
      <c r="P792" s="1" t="s">
        <v>50</v>
      </c>
      <c r="Q792" s="1">
        <v>16</v>
      </c>
      <c r="R792" s="1">
        <v>4</v>
      </c>
      <c r="S792" s="1" t="s">
        <v>33</v>
      </c>
      <c r="T792" s="1" t="s">
        <v>31</v>
      </c>
      <c r="U792" s="1">
        <v>1</v>
      </c>
      <c r="V792" s="1">
        <v>168856</v>
      </c>
      <c r="W792" s="7">
        <v>1939.3</v>
      </c>
      <c r="X792" s="1">
        <v>0.74</v>
      </c>
      <c r="Y792" s="4">
        <v>44200</v>
      </c>
      <c r="Z792" s="1" t="s">
        <v>38</v>
      </c>
      <c r="AA792" s="1" t="s">
        <v>33</v>
      </c>
      <c r="AB792" s="36" t="str" cm="1">
        <f t="array" ref="AB792">_xlfn.IFS(K792&gt;650,"LOW",K792&gt;=550,"MEDIUM",K792&lt;550,"HIGH")</f>
        <v>MEDIUM</v>
      </c>
    </row>
    <row r="793" spans="3:28" x14ac:dyDescent="0.3">
      <c r="C793" s="35" t="s">
        <v>2931</v>
      </c>
      <c r="D793" s="1" t="s">
        <v>959</v>
      </c>
      <c r="E793" s="1">
        <v>24</v>
      </c>
      <c r="F793" s="1" t="s">
        <v>44</v>
      </c>
      <c r="G793" s="1" t="s">
        <v>35</v>
      </c>
      <c r="H793" s="1" t="s">
        <v>54</v>
      </c>
      <c r="I793" s="1" t="s">
        <v>29</v>
      </c>
      <c r="J793" s="7">
        <v>82370</v>
      </c>
      <c r="K793" s="1">
        <v>635</v>
      </c>
      <c r="L793" s="7">
        <v>42069</v>
      </c>
      <c r="M793" s="1">
        <v>36</v>
      </c>
      <c r="N793" s="6">
        <v>0.1973</v>
      </c>
      <c r="O793" s="1" t="s">
        <v>52</v>
      </c>
      <c r="P793" s="1" t="s">
        <v>30</v>
      </c>
      <c r="Q793" s="1">
        <v>7</v>
      </c>
      <c r="R793" s="1">
        <v>4</v>
      </c>
      <c r="S793" s="1" t="s">
        <v>33</v>
      </c>
      <c r="T793" s="1" t="s">
        <v>33</v>
      </c>
      <c r="U793" s="1">
        <v>0</v>
      </c>
      <c r="V793" s="1">
        <v>170142</v>
      </c>
      <c r="W793" s="7">
        <v>888.15</v>
      </c>
      <c r="X793" s="1">
        <v>0.69</v>
      </c>
      <c r="Y793" s="4">
        <v>44881</v>
      </c>
      <c r="Z793" s="1" t="s">
        <v>38</v>
      </c>
      <c r="AA793" s="1" t="s">
        <v>33</v>
      </c>
      <c r="AB793" s="36" t="str" cm="1">
        <f t="array" ref="AB793">_xlfn.IFS(K793&gt;650,"LOW",K793&gt;=550,"MEDIUM",K793&lt;550,"HIGH")</f>
        <v>MEDIUM</v>
      </c>
    </row>
    <row r="794" spans="3:28" x14ac:dyDescent="0.3">
      <c r="C794" s="35" t="s">
        <v>3330</v>
      </c>
      <c r="D794" s="1" t="s">
        <v>1353</v>
      </c>
      <c r="E794" s="1">
        <v>54</v>
      </c>
      <c r="F794" s="1" t="s">
        <v>26</v>
      </c>
      <c r="G794" s="1" t="s">
        <v>45</v>
      </c>
      <c r="H794" s="1" t="s">
        <v>28</v>
      </c>
      <c r="I794" s="1" t="s">
        <v>57</v>
      </c>
      <c r="J794" s="7">
        <v>55739</v>
      </c>
      <c r="K794" s="1">
        <v>635</v>
      </c>
      <c r="L794" s="7">
        <v>43725</v>
      </c>
      <c r="M794" s="1">
        <v>24</v>
      </c>
      <c r="N794" s="6">
        <v>0.15429999999999999</v>
      </c>
      <c r="O794" s="1" t="s">
        <v>37</v>
      </c>
      <c r="P794" s="1" t="s">
        <v>30</v>
      </c>
      <c r="Q794" s="1">
        <v>23</v>
      </c>
      <c r="R794" s="1">
        <v>4</v>
      </c>
      <c r="S794" s="1" t="s">
        <v>31</v>
      </c>
      <c r="T794" s="1" t="s">
        <v>33</v>
      </c>
      <c r="U794" s="1">
        <v>2</v>
      </c>
      <c r="V794" s="1">
        <v>46676</v>
      </c>
      <c r="W794" s="7">
        <v>495.46</v>
      </c>
      <c r="X794" s="1">
        <v>0.5</v>
      </c>
      <c r="Y794" s="4">
        <v>45756</v>
      </c>
      <c r="Z794" s="1" t="s">
        <v>32</v>
      </c>
      <c r="AA794" s="1" t="s">
        <v>33</v>
      </c>
      <c r="AB794" s="36" t="str" cm="1">
        <f t="array" ref="AB794">_xlfn.IFS(K794&gt;650,"LOW",K794&gt;=550,"MEDIUM",K794&lt;550,"HIGH")</f>
        <v>MEDIUM</v>
      </c>
    </row>
    <row r="795" spans="3:28" x14ac:dyDescent="0.3">
      <c r="C795" s="35" t="s">
        <v>3609</v>
      </c>
      <c r="D795" s="1" t="s">
        <v>1623</v>
      </c>
      <c r="E795" s="1">
        <v>54</v>
      </c>
      <c r="F795" s="1" t="s">
        <v>44</v>
      </c>
      <c r="G795" s="1" t="s">
        <v>35</v>
      </c>
      <c r="H795" s="1" t="s">
        <v>36</v>
      </c>
      <c r="I795" s="1" t="s">
        <v>29</v>
      </c>
      <c r="J795" s="7">
        <v>67258</v>
      </c>
      <c r="K795" s="1">
        <v>635</v>
      </c>
      <c r="L795" s="7">
        <v>5473</v>
      </c>
      <c r="M795" s="1">
        <v>48</v>
      </c>
      <c r="N795" s="6">
        <v>6.9400000000000003E-2</v>
      </c>
      <c r="O795" s="1" t="s">
        <v>46</v>
      </c>
      <c r="P795" s="1" t="s">
        <v>47</v>
      </c>
      <c r="Q795" s="1">
        <v>15</v>
      </c>
      <c r="R795" s="1">
        <v>0</v>
      </c>
      <c r="S795" s="1" t="s">
        <v>33</v>
      </c>
      <c r="T795" s="1" t="s">
        <v>33</v>
      </c>
      <c r="U795" s="1">
        <v>3</v>
      </c>
      <c r="V795" s="1">
        <v>18123</v>
      </c>
      <c r="W795" s="7">
        <v>458.33</v>
      </c>
      <c r="X795" s="1">
        <v>0.56000000000000005</v>
      </c>
      <c r="Y795" s="4">
        <v>45025</v>
      </c>
      <c r="Z795" s="1" t="s">
        <v>32</v>
      </c>
      <c r="AA795" s="1" t="s">
        <v>33</v>
      </c>
      <c r="AB795" s="36" t="str" cm="1">
        <f t="array" ref="AB795">_xlfn.IFS(K795&gt;650,"LOW",K795&gt;=550,"MEDIUM",K795&lt;550,"HIGH")</f>
        <v>MEDIUM</v>
      </c>
    </row>
    <row r="796" spans="3:28" x14ac:dyDescent="0.3">
      <c r="C796" s="35" t="s">
        <v>3706</v>
      </c>
      <c r="D796" s="1" t="s">
        <v>1716</v>
      </c>
      <c r="E796" s="1">
        <v>40</v>
      </c>
      <c r="F796" s="1" t="s">
        <v>44</v>
      </c>
      <c r="G796" s="1" t="s">
        <v>35</v>
      </c>
      <c r="H796" s="1" t="s">
        <v>36</v>
      </c>
      <c r="I796" s="1" t="s">
        <v>57</v>
      </c>
      <c r="J796" s="7">
        <v>87005</v>
      </c>
      <c r="K796" s="1">
        <v>635</v>
      </c>
      <c r="L796" s="7">
        <v>42147</v>
      </c>
      <c r="M796" s="1">
        <v>48</v>
      </c>
      <c r="N796" s="6">
        <v>9.0299999999999991E-2</v>
      </c>
      <c r="O796" s="1" t="s">
        <v>46</v>
      </c>
      <c r="P796" s="1" t="s">
        <v>47</v>
      </c>
      <c r="Q796" s="1">
        <v>7</v>
      </c>
      <c r="R796" s="1">
        <v>0</v>
      </c>
      <c r="S796" s="1" t="s">
        <v>31</v>
      </c>
      <c r="T796" s="1" t="s">
        <v>31</v>
      </c>
      <c r="U796" s="1">
        <v>3</v>
      </c>
      <c r="V796" s="1">
        <v>185218</v>
      </c>
      <c r="W796" s="7">
        <v>222.83</v>
      </c>
      <c r="X796" s="1">
        <v>0.99</v>
      </c>
      <c r="Y796" s="4">
        <v>45510</v>
      </c>
      <c r="Z796" s="1" t="s">
        <v>38</v>
      </c>
      <c r="AA796" s="1" t="s">
        <v>33</v>
      </c>
      <c r="AB796" s="36" t="str" cm="1">
        <f t="array" ref="AB796">_xlfn.IFS(K796&gt;650,"LOW",K796&gt;=550,"MEDIUM",K796&lt;550,"HIGH")</f>
        <v>MEDIUM</v>
      </c>
    </row>
    <row r="797" spans="3:28" x14ac:dyDescent="0.3">
      <c r="C797" s="35" t="s">
        <v>3948</v>
      </c>
      <c r="D797" s="1" t="s">
        <v>1950</v>
      </c>
      <c r="E797" s="1">
        <v>54</v>
      </c>
      <c r="F797" s="1" t="s">
        <v>26</v>
      </c>
      <c r="G797" s="1" t="s">
        <v>56</v>
      </c>
      <c r="H797" s="1" t="s">
        <v>36</v>
      </c>
      <c r="I797" s="1" t="s">
        <v>59</v>
      </c>
      <c r="J797" s="7">
        <v>108887</v>
      </c>
      <c r="K797" s="1">
        <v>635</v>
      </c>
      <c r="L797" s="7">
        <v>19413</v>
      </c>
      <c r="M797" s="1">
        <v>12</v>
      </c>
      <c r="N797" s="6">
        <v>0.16210000000000002</v>
      </c>
      <c r="O797" s="1" t="s">
        <v>63</v>
      </c>
      <c r="P797" s="1" t="s">
        <v>47</v>
      </c>
      <c r="Q797" s="1">
        <v>21</v>
      </c>
      <c r="R797" s="1">
        <v>1</v>
      </c>
      <c r="S797" s="1" t="s">
        <v>33</v>
      </c>
      <c r="T797" s="1" t="s">
        <v>31</v>
      </c>
      <c r="U797" s="1">
        <v>1</v>
      </c>
      <c r="V797" s="1">
        <v>169820</v>
      </c>
      <c r="W797" s="7">
        <v>1756.76</v>
      </c>
      <c r="X797" s="1">
        <v>0.96</v>
      </c>
      <c r="Y797" s="4">
        <v>44668</v>
      </c>
      <c r="Z797" s="1" t="s">
        <v>32</v>
      </c>
      <c r="AA797" s="1" t="s">
        <v>33</v>
      </c>
      <c r="AB797" s="36" t="str" cm="1">
        <f t="array" ref="AB797">_xlfn.IFS(K797&gt;650,"LOW",K797&gt;=550,"MEDIUM",K797&lt;550,"HIGH")</f>
        <v>MEDIUM</v>
      </c>
    </row>
    <row r="798" spans="3:28" x14ac:dyDescent="0.3">
      <c r="C798" s="35" t="s">
        <v>2675</v>
      </c>
      <c r="D798" s="1" t="s">
        <v>705</v>
      </c>
      <c r="E798" s="1">
        <v>48</v>
      </c>
      <c r="F798" s="1" t="s">
        <v>26</v>
      </c>
      <c r="G798" s="1" t="s">
        <v>35</v>
      </c>
      <c r="H798" s="1" t="s">
        <v>54</v>
      </c>
      <c r="I798" s="1" t="s">
        <v>40</v>
      </c>
      <c r="J798" s="7">
        <v>119864</v>
      </c>
      <c r="K798" s="1">
        <v>634</v>
      </c>
      <c r="L798" s="7">
        <v>31540</v>
      </c>
      <c r="M798" s="1">
        <v>24</v>
      </c>
      <c r="N798" s="6">
        <v>8.1300000000000011E-2</v>
      </c>
      <c r="O798" s="1" t="s">
        <v>41</v>
      </c>
      <c r="P798" s="1" t="s">
        <v>30</v>
      </c>
      <c r="Q798" s="1">
        <v>26</v>
      </c>
      <c r="R798" s="1">
        <v>1</v>
      </c>
      <c r="S798" s="1" t="s">
        <v>33</v>
      </c>
      <c r="T798" s="1" t="s">
        <v>33</v>
      </c>
      <c r="U798" s="1">
        <v>4</v>
      </c>
      <c r="V798" s="1">
        <v>148511</v>
      </c>
      <c r="W798" s="7">
        <v>1572.57</v>
      </c>
      <c r="X798" s="1">
        <v>0.28999999999999998</v>
      </c>
      <c r="Y798" s="4">
        <v>44414</v>
      </c>
      <c r="Z798" s="1" t="s">
        <v>38</v>
      </c>
      <c r="AA798" s="1" t="s">
        <v>33</v>
      </c>
      <c r="AB798" s="36" t="str" cm="1">
        <f t="array" ref="AB798">_xlfn.IFS(K798&gt;650,"LOW",K798&gt;=550,"MEDIUM",K798&lt;550,"HIGH")</f>
        <v>MEDIUM</v>
      </c>
    </row>
    <row r="799" spans="3:28" x14ac:dyDescent="0.3">
      <c r="C799" s="35" t="s">
        <v>2509</v>
      </c>
      <c r="D799" s="1" t="s">
        <v>539</v>
      </c>
      <c r="E799" s="1">
        <v>55</v>
      </c>
      <c r="F799" s="1" t="s">
        <v>26</v>
      </c>
      <c r="G799" s="1" t="s">
        <v>27</v>
      </c>
      <c r="H799" s="1" t="s">
        <v>54</v>
      </c>
      <c r="I799" s="1" t="s">
        <v>59</v>
      </c>
      <c r="J799" s="7">
        <v>21132</v>
      </c>
      <c r="K799" s="1">
        <v>633</v>
      </c>
      <c r="L799" s="7">
        <v>20659</v>
      </c>
      <c r="M799" s="1">
        <v>48</v>
      </c>
      <c r="N799" s="6">
        <v>0.1202</v>
      </c>
      <c r="O799" s="1" t="s">
        <v>63</v>
      </c>
      <c r="P799" s="1" t="s">
        <v>50</v>
      </c>
      <c r="Q799" s="1">
        <v>20</v>
      </c>
      <c r="R799" s="1">
        <v>1</v>
      </c>
      <c r="S799" s="1" t="s">
        <v>31</v>
      </c>
      <c r="T799" s="1" t="s">
        <v>31</v>
      </c>
      <c r="U799" s="1">
        <v>3</v>
      </c>
      <c r="V799" s="1">
        <v>87448</v>
      </c>
      <c r="W799" s="7">
        <v>1017.43</v>
      </c>
      <c r="X799" s="1">
        <v>0.62</v>
      </c>
      <c r="Y799" s="4">
        <v>44596</v>
      </c>
      <c r="Z799" s="1" t="s">
        <v>38</v>
      </c>
      <c r="AA799" s="1" t="s">
        <v>33</v>
      </c>
      <c r="AB799" s="36" t="str" cm="1">
        <f t="array" ref="AB799">_xlfn.IFS(K799&gt;650,"LOW",K799&gt;=550,"MEDIUM",K799&lt;550,"HIGH")</f>
        <v>MEDIUM</v>
      </c>
    </row>
    <row r="800" spans="3:28" x14ac:dyDescent="0.3">
      <c r="C800" s="35" t="s">
        <v>2780</v>
      </c>
      <c r="D800" s="1" t="s">
        <v>808</v>
      </c>
      <c r="E800" s="1">
        <v>30</v>
      </c>
      <c r="F800" s="1" t="s">
        <v>44</v>
      </c>
      <c r="G800" s="1" t="s">
        <v>27</v>
      </c>
      <c r="H800" s="1" t="s">
        <v>54</v>
      </c>
      <c r="I800" s="1" t="s">
        <v>29</v>
      </c>
      <c r="J800" s="7">
        <v>92361</v>
      </c>
      <c r="K800" s="1">
        <v>633</v>
      </c>
      <c r="L800" s="7">
        <v>44147</v>
      </c>
      <c r="M800" s="1">
        <v>12</v>
      </c>
      <c r="N800" s="6">
        <v>8.14E-2</v>
      </c>
      <c r="O800" s="1" t="s">
        <v>37</v>
      </c>
      <c r="P800" s="1" t="s">
        <v>47</v>
      </c>
      <c r="Q800" s="1">
        <v>26</v>
      </c>
      <c r="R800" s="1">
        <v>3</v>
      </c>
      <c r="S800" s="1" t="s">
        <v>31</v>
      </c>
      <c r="T800" s="1" t="s">
        <v>31</v>
      </c>
      <c r="U800" s="1">
        <v>0</v>
      </c>
      <c r="V800" s="1">
        <v>8664</v>
      </c>
      <c r="W800" s="7">
        <v>1042.93</v>
      </c>
      <c r="X800" s="1">
        <v>0.61</v>
      </c>
      <c r="Y800" s="4">
        <v>44864</v>
      </c>
      <c r="Z800" s="1" t="s">
        <v>38</v>
      </c>
      <c r="AA800" s="1" t="s">
        <v>33</v>
      </c>
      <c r="AB800" s="36" t="str" cm="1">
        <f t="array" ref="AB800">_xlfn.IFS(K800&gt;650,"LOW",K800&gt;=550,"MEDIUM",K800&lt;550,"HIGH")</f>
        <v>MEDIUM</v>
      </c>
    </row>
    <row r="801" spans="3:28" x14ac:dyDescent="0.3">
      <c r="C801" s="35" t="s">
        <v>3039</v>
      </c>
      <c r="D801" s="1" t="s">
        <v>1066</v>
      </c>
      <c r="E801" s="1">
        <v>53</v>
      </c>
      <c r="F801" s="1" t="s">
        <v>44</v>
      </c>
      <c r="G801" s="1" t="s">
        <v>35</v>
      </c>
      <c r="H801" s="1" t="s">
        <v>61</v>
      </c>
      <c r="I801" s="1" t="s">
        <v>57</v>
      </c>
      <c r="J801" s="7">
        <v>43806</v>
      </c>
      <c r="K801" s="1">
        <v>633</v>
      </c>
      <c r="L801" s="7">
        <v>39164</v>
      </c>
      <c r="M801" s="1">
        <v>12</v>
      </c>
      <c r="N801" s="6">
        <v>9.5600000000000004E-2</v>
      </c>
      <c r="O801" s="1" t="s">
        <v>46</v>
      </c>
      <c r="P801" s="1" t="s">
        <v>47</v>
      </c>
      <c r="Q801" s="1">
        <v>15</v>
      </c>
      <c r="R801" s="1">
        <v>2</v>
      </c>
      <c r="S801" s="1" t="s">
        <v>31</v>
      </c>
      <c r="T801" s="1" t="s">
        <v>31</v>
      </c>
      <c r="U801" s="1">
        <v>1</v>
      </c>
      <c r="V801" s="1">
        <v>184184</v>
      </c>
      <c r="W801" s="7">
        <v>614.23</v>
      </c>
      <c r="X801" s="1">
        <v>0.47</v>
      </c>
      <c r="Y801" s="4">
        <v>44525</v>
      </c>
      <c r="Z801" s="1" t="s">
        <v>32</v>
      </c>
      <c r="AA801" s="1" t="s">
        <v>31</v>
      </c>
      <c r="AB801" s="36" t="str" cm="1">
        <f t="array" ref="AB801">_xlfn.IFS(K801&gt;650,"LOW",K801&gt;=550,"MEDIUM",K801&lt;550,"HIGH")</f>
        <v>MEDIUM</v>
      </c>
    </row>
    <row r="802" spans="3:28" x14ac:dyDescent="0.3">
      <c r="C802" s="35" t="s">
        <v>3899</v>
      </c>
      <c r="D802" s="1" t="s">
        <v>1903</v>
      </c>
      <c r="E802" s="1">
        <v>30</v>
      </c>
      <c r="F802" s="1" t="s">
        <v>26</v>
      </c>
      <c r="G802" s="1" t="s">
        <v>45</v>
      </c>
      <c r="H802" s="1" t="s">
        <v>54</v>
      </c>
      <c r="I802" s="1" t="s">
        <v>59</v>
      </c>
      <c r="J802" s="7">
        <v>137491</v>
      </c>
      <c r="K802" s="1">
        <v>633</v>
      </c>
      <c r="L802" s="7">
        <v>40531</v>
      </c>
      <c r="M802" s="1">
        <v>60</v>
      </c>
      <c r="N802" s="6">
        <v>7.7600000000000002E-2</v>
      </c>
      <c r="O802" s="1" t="s">
        <v>37</v>
      </c>
      <c r="P802" s="1" t="s">
        <v>30</v>
      </c>
      <c r="Q802" s="1">
        <v>26</v>
      </c>
      <c r="R802" s="1">
        <v>0</v>
      </c>
      <c r="S802" s="1" t="s">
        <v>33</v>
      </c>
      <c r="T802" s="1" t="s">
        <v>33</v>
      </c>
      <c r="U802" s="1">
        <v>3</v>
      </c>
      <c r="V802" s="1">
        <v>55631</v>
      </c>
      <c r="W802" s="7">
        <v>947.08</v>
      </c>
      <c r="X802" s="1">
        <v>0.61</v>
      </c>
      <c r="Y802" s="4">
        <v>45369</v>
      </c>
      <c r="Z802" s="1" t="s">
        <v>32</v>
      </c>
      <c r="AA802" s="1" t="s">
        <v>33</v>
      </c>
      <c r="AB802" s="36" t="str" cm="1">
        <f t="array" ref="AB802">_xlfn.IFS(K802&gt;650,"LOW",K802&gt;=550,"MEDIUM",K802&lt;550,"HIGH")</f>
        <v>MEDIUM</v>
      </c>
    </row>
    <row r="803" spans="3:28" x14ac:dyDescent="0.3">
      <c r="C803" s="35" t="s">
        <v>2082</v>
      </c>
      <c r="D803" s="1" t="s">
        <v>113</v>
      </c>
      <c r="E803" s="1">
        <v>24</v>
      </c>
      <c r="F803" s="1" t="s">
        <v>44</v>
      </c>
      <c r="G803" s="1" t="s">
        <v>56</v>
      </c>
      <c r="H803" s="1" t="s">
        <v>54</v>
      </c>
      <c r="I803" s="1" t="s">
        <v>29</v>
      </c>
      <c r="J803" s="7">
        <v>70726</v>
      </c>
      <c r="K803" s="1">
        <v>632</v>
      </c>
      <c r="L803" s="7">
        <v>39362</v>
      </c>
      <c r="M803" s="1">
        <v>48</v>
      </c>
      <c r="N803" s="6">
        <v>0.15579999999999999</v>
      </c>
      <c r="O803" s="1" t="s">
        <v>52</v>
      </c>
      <c r="P803" s="1" t="s">
        <v>50</v>
      </c>
      <c r="Q803" s="1">
        <v>23</v>
      </c>
      <c r="R803" s="1">
        <v>2</v>
      </c>
      <c r="S803" s="1" t="s">
        <v>33</v>
      </c>
      <c r="T803" s="1" t="s">
        <v>31</v>
      </c>
      <c r="U803" s="1">
        <v>0</v>
      </c>
      <c r="V803" s="1">
        <v>48998</v>
      </c>
      <c r="W803" s="7">
        <v>362.6</v>
      </c>
      <c r="X803" s="1">
        <v>0.11</v>
      </c>
      <c r="Y803" s="4">
        <v>45827</v>
      </c>
      <c r="Z803" s="1" t="s">
        <v>38</v>
      </c>
      <c r="AA803" s="1" t="s">
        <v>33</v>
      </c>
      <c r="AB803" s="36" t="str" cm="1">
        <f t="array" ref="AB803">_xlfn.IFS(K803&gt;650,"LOW",K803&gt;=550,"MEDIUM",K803&lt;550,"HIGH")</f>
        <v>MEDIUM</v>
      </c>
    </row>
    <row r="804" spans="3:28" x14ac:dyDescent="0.3">
      <c r="C804" s="35" t="s">
        <v>2336</v>
      </c>
      <c r="D804" s="1" t="s">
        <v>367</v>
      </c>
      <c r="E804" s="1">
        <v>24</v>
      </c>
      <c r="F804" s="1" t="s">
        <v>44</v>
      </c>
      <c r="G804" s="1" t="s">
        <v>35</v>
      </c>
      <c r="H804" s="1" t="s">
        <v>36</v>
      </c>
      <c r="I804" s="1" t="s">
        <v>57</v>
      </c>
      <c r="J804" s="7">
        <v>123013</v>
      </c>
      <c r="K804" s="1">
        <v>632</v>
      </c>
      <c r="L804" s="7">
        <v>1329</v>
      </c>
      <c r="M804" s="1">
        <v>12</v>
      </c>
      <c r="N804" s="6">
        <v>0.13269999999999998</v>
      </c>
      <c r="O804" s="1" t="s">
        <v>5</v>
      </c>
      <c r="P804" s="1" t="s">
        <v>30</v>
      </c>
      <c r="Q804" s="1">
        <v>28</v>
      </c>
      <c r="R804" s="1">
        <v>2</v>
      </c>
      <c r="S804" s="1" t="s">
        <v>31</v>
      </c>
      <c r="T804" s="1" t="s">
        <v>33</v>
      </c>
      <c r="U804" s="1">
        <v>3</v>
      </c>
      <c r="V804" s="1">
        <v>26585</v>
      </c>
      <c r="W804" s="7">
        <v>794.24</v>
      </c>
      <c r="X804" s="1">
        <v>0.33</v>
      </c>
      <c r="Y804" s="4">
        <v>44327</v>
      </c>
      <c r="Z804" s="1" t="s">
        <v>38</v>
      </c>
      <c r="AA804" s="1" t="s">
        <v>33</v>
      </c>
      <c r="AB804" s="36" t="str" cm="1">
        <f t="array" ref="AB804">_xlfn.IFS(K804&gt;650,"LOW",K804&gt;=550,"MEDIUM",K804&lt;550,"HIGH")</f>
        <v>MEDIUM</v>
      </c>
    </row>
    <row r="805" spans="3:28" x14ac:dyDescent="0.3">
      <c r="C805" s="35" t="s">
        <v>3043</v>
      </c>
      <c r="D805" s="1" t="s">
        <v>1070</v>
      </c>
      <c r="E805" s="1">
        <v>30</v>
      </c>
      <c r="F805" s="1" t="s">
        <v>26</v>
      </c>
      <c r="G805" s="1" t="s">
        <v>35</v>
      </c>
      <c r="H805" s="1" t="s">
        <v>61</v>
      </c>
      <c r="I805" s="1" t="s">
        <v>59</v>
      </c>
      <c r="J805" s="7">
        <v>29752</v>
      </c>
      <c r="K805" s="1">
        <v>632</v>
      </c>
      <c r="L805" s="7">
        <v>26198</v>
      </c>
      <c r="M805" s="1">
        <v>48</v>
      </c>
      <c r="N805" s="6">
        <v>0.13650000000000001</v>
      </c>
      <c r="O805" s="1" t="s">
        <v>41</v>
      </c>
      <c r="P805" s="1" t="s">
        <v>50</v>
      </c>
      <c r="Q805" s="1">
        <v>28</v>
      </c>
      <c r="R805" s="1">
        <v>1</v>
      </c>
      <c r="S805" s="1" t="s">
        <v>31</v>
      </c>
      <c r="T805" s="1" t="s">
        <v>31</v>
      </c>
      <c r="U805" s="1">
        <v>2</v>
      </c>
      <c r="V805" s="1">
        <v>63492</v>
      </c>
      <c r="W805" s="7">
        <v>1334.75</v>
      </c>
      <c r="X805" s="1">
        <v>0.62</v>
      </c>
      <c r="Y805" s="4">
        <v>45541</v>
      </c>
      <c r="Z805" s="1" t="s">
        <v>38</v>
      </c>
      <c r="AA805" s="1" t="s">
        <v>33</v>
      </c>
      <c r="AB805" s="36" t="str" cm="1">
        <f t="array" ref="AB805">_xlfn.IFS(K805&gt;650,"LOW",K805&gt;=550,"MEDIUM",K805&lt;550,"HIGH")</f>
        <v>MEDIUM</v>
      </c>
    </row>
    <row r="806" spans="3:28" x14ac:dyDescent="0.3">
      <c r="C806" s="35" t="s">
        <v>3254</v>
      </c>
      <c r="D806" s="1" t="s">
        <v>1277</v>
      </c>
      <c r="E806" s="1">
        <v>43</v>
      </c>
      <c r="F806" s="1" t="s">
        <v>44</v>
      </c>
      <c r="G806" s="1" t="s">
        <v>35</v>
      </c>
      <c r="H806" s="1" t="s">
        <v>36</v>
      </c>
      <c r="I806" s="1" t="s">
        <v>40</v>
      </c>
      <c r="J806" s="7">
        <v>69111</v>
      </c>
      <c r="K806" s="1">
        <v>632</v>
      </c>
      <c r="L806" s="7">
        <v>15063</v>
      </c>
      <c r="M806" s="1">
        <v>60</v>
      </c>
      <c r="N806" s="6">
        <v>0.13650000000000001</v>
      </c>
      <c r="O806" s="1" t="s">
        <v>5</v>
      </c>
      <c r="P806" s="1" t="s">
        <v>47</v>
      </c>
      <c r="Q806" s="1">
        <v>8</v>
      </c>
      <c r="R806" s="1">
        <v>4</v>
      </c>
      <c r="S806" s="1" t="s">
        <v>33</v>
      </c>
      <c r="T806" s="1" t="s">
        <v>33</v>
      </c>
      <c r="U806" s="1">
        <v>0</v>
      </c>
      <c r="V806" s="1">
        <v>154630</v>
      </c>
      <c r="W806" s="7">
        <v>1101.83</v>
      </c>
      <c r="X806" s="1">
        <v>0.72</v>
      </c>
      <c r="Y806" s="4">
        <v>44402</v>
      </c>
      <c r="Z806" s="1" t="s">
        <v>32</v>
      </c>
      <c r="AA806" s="1" t="s">
        <v>33</v>
      </c>
      <c r="AB806" s="36" t="str" cm="1">
        <f t="array" ref="AB806">_xlfn.IFS(K806&gt;650,"LOW",K806&gt;=550,"MEDIUM",K806&lt;550,"HIGH")</f>
        <v>MEDIUM</v>
      </c>
    </row>
    <row r="807" spans="3:28" x14ac:dyDescent="0.3">
      <c r="C807" s="35" t="s">
        <v>3508</v>
      </c>
      <c r="D807" s="1" t="s">
        <v>1525</v>
      </c>
      <c r="E807" s="1">
        <v>45</v>
      </c>
      <c r="F807" s="1" t="s">
        <v>44</v>
      </c>
      <c r="G807" s="1" t="s">
        <v>27</v>
      </c>
      <c r="H807" s="1" t="s">
        <v>54</v>
      </c>
      <c r="I807" s="1" t="s">
        <v>59</v>
      </c>
      <c r="J807" s="7">
        <v>119524</v>
      </c>
      <c r="K807" s="1">
        <v>632</v>
      </c>
      <c r="L807" s="7">
        <v>33624</v>
      </c>
      <c r="M807" s="1">
        <v>60</v>
      </c>
      <c r="N807" s="6">
        <v>0.13350000000000001</v>
      </c>
      <c r="O807" s="1" t="s">
        <v>41</v>
      </c>
      <c r="P807" s="1" t="s">
        <v>30</v>
      </c>
      <c r="Q807" s="1">
        <v>8</v>
      </c>
      <c r="R807" s="1">
        <v>4</v>
      </c>
      <c r="S807" s="1" t="s">
        <v>33</v>
      </c>
      <c r="T807" s="1" t="s">
        <v>33</v>
      </c>
      <c r="U807" s="1">
        <v>1</v>
      </c>
      <c r="V807" s="1">
        <v>191374</v>
      </c>
      <c r="W807" s="7">
        <v>1569.58</v>
      </c>
      <c r="X807" s="1">
        <v>0.92</v>
      </c>
      <c r="Y807" s="4">
        <v>44819</v>
      </c>
      <c r="Z807" s="1" t="s">
        <v>38</v>
      </c>
      <c r="AA807" s="1" t="s">
        <v>33</v>
      </c>
      <c r="AB807" s="36" t="str" cm="1">
        <f t="array" ref="AB807">_xlfn.IFS(K807&gt;650,"LOW",K807&gt;=550,"MEDIUM",K807&lt;550,"HIGH")</f>
        <v>MEDIUM</v>
      </c>
    </row>
    <row r="808" spans="3:28" x14ac:dyDescent="0.3">
      <c r="C808" s="35" t="s">
        <v>2517</v>
      </c>
      <c r="D808" s="1" t="s">
        <v>547</v>
      </c>
      <c r="E808" s="1">
        <v>46</v>
      </c>
      <c r="F808" s="1" t="s">
        <v>44</v>
      </c>
      <c r="G808" s="1" t="s">
        <v>27</v>
      </c>
      <c r="H808" s="1" t="s">
        <v>61</v>
      </c>
      <c r="I808" s="1" t="s">
        <v>59</v>
      </c>
      <c r="J808" s="7">
        <v>30931</v>
      </c>
      <c r="K808" s="1">
        <v>631</v>
      </c>
      <c r="L808" s="7">
        <v>49791</v>
      </c>
      <c r="M808" s="1">
        <v>24</v>
      </c>
      <c r="N808" s="6">
        <v>0.155</v>
      </c>
      <c r="O808" s="1" t="s">
        <v>5</v>
      </c>
      <c r="P808" s="1" t="s">
        <v>47</v>
      </c>
      <c r="Q808" s="1">
        <v>3</v>
      </c>
      <c r="R808" s="1">
        <v>4</v>
      </c>
      <c r="S808" s="1" t="s">
        <v>33</v>
      </c>
      <c r="T808" s="1" t="s">
        <v>33</v>
      </c>
      <c r="U808" s="1">
        <v>1</v>
      </c>
      <c r="V808" s="1">
        <v>29590</v>
      </c>
      <c r="W808" s="7">
        <v>339.21</v>
      </c>
      <c r="X808" s="1">
        <v>0.16</v>
      </c>
      <c r="Y808" s="4">
        <v>44311</v>
      </c>
      <c r="Z808" s="1" t="s">
        <v>38</v>
      </c>
      <c r="AA808" s="1" t="s">
        <v>33</v>
      </c>
      <c r="AB808" s="36" t="str" cm="1">
        <f t="array" ref="AB808">_xlfn.IFS(K808&gt;650,"LOW",K808&gt;=550,"MEDIUM",K808&lt;550,"HIGH")</f>
        <v>MEDIUM</v>
      </c>
    </row>
    <row r="809" spans="3:28" x14ac:dyDescent="0.3">
      <c r="C809" s="35" t="s">
        <v>2692</v>
      </c>
      <c r="D809" s="1" t="s">
        <v>722</v>
      </c>
      <c r="E809" s="1">
        <v>45</v>
      </c>
      <c r="F809" s="1" t="s">
        <v>44</v>
      </c>
      <c r="G809" s="1" t="s">
        <v>45</v>
      </c>
      <c r="H809" s="1" t="s">
        <v>61</v>
      </c>
      <c r="I809" s="1" t="s">
        <v>59</v>
      </c>
      <c r="J809" s="7">
        <v>48718</v>
      </c>
      <c r="K809" s="1">
        <v>631</v>
      </c>
      <c r="L809" s="7">
        <v>38117</v>
      </c>
      <c r="M809" s="1">
        <v>60</v>
      </c>
      <c r="N809" s="6">
        <v>0.1105</v>
      </c>
      <c r="O809" s="1" t="s">
        <v>41</v>
      </c>
      <c r="P809" s="1" t="s">
        <v>30</v>
      </c>
      <c r="Q809" s="1">
        <v>23</v>
      </c>
      <c r="R809" s="1">
        <v>2</v>
      </c>
      <c r="S809" s="1" t="s">
        <v>31</v>
      </c>
      <c r="T809" s="1" t="s">
        <v>33</v>
      </c>
      <c r="U809" s="1">
        <v>3</v>
      </c>
      <c r="V809" s="1">
        <v>99306</v>
      </c>
      <c r="W809" s="7">
        <v>638.35</v>
      </c>
      <c r="X809" s="1">
        <v>0.27</v>
      </c>
      <c r="Y809" s="4">
        <v>45423</v>
      </c>
      <c r="Z809" s="1" t="s">
        <v>32</v>
      </c>
      <c r="AA809" s="1" t="s">
        <v>33</v>
      </c>
      <c r="AB809" s="36" t="str" cm="1">
        <f t="array" ref="AB809">_xlfn.IFS(K809&gt;650,"LOW",K809&gt;=550,"MEDIUM",K809&lt;550,"HIGH")</f>
        <v>MEDIUM</v>
      </c>
    </row>
    <row r="810" spans="3:28" x14ac:dyDescent="0.3">
      <c r="C810" s="35" t="s">
        <v>3717</v>
      </c>
      <c r="D810" s="1" t="s">
        <v>1727</v>
      </c>
      <c r="E810" s="1">
        <v>58</v>
      </c>
      <c r="F810" s="1" t="s">
        <v>26</v>
      </c>
      <c r="G810" s="1" t="s">
        <v>35</v>
      </c>
      <c r="H810" s="1" t="s">
        <v>28</v>
      </c>
      <c r="I810" s="1" t="s">
        <v>40</v>
      </c>
      <c r="J810" s="7">
        <v>122517</v>
      </c>
      <c r="K810" s="1">
        <v>631</v>
      </c>
      <c r="L810" s="7">
        <v>39033</v>
      </c>
      <c r="M810" s="1">
        <v>60</v>
      </c>
      <c r="N810" s="6">
        <v>7.8700000000000006E-2</v>
      </c>
      <c r="O810" s="1" t="s">
        <v>5</v>
      </c>
      <c r="P810" s="1" t="s">
        <v>47</v>
      </c>
      <c r="Q810" s="1">
        <v>25</v>
      </c>
      <c r="R810" s="1">
        <v>3</v>
      </c>
      <c r="S810" s="1" t="s">
        <v>31</v>
      </c>
      <c r="T810" s="1" t="s">
        <v>31</v>
      </c>
      <c r="U810" s="1">
        <v>0</v>
      </c>
      <c r="V810" s="1">
        <v>24297</v>
      </c>
      <c r="W810" s="7">
        <v>1809.63</v>
      </c>
      <c r="X810" s="1">
        <v>0.68</v>
      </c>
      <c r="Y810" s="4">
        <v>44571</v>
      </c>
      <c r="Z810" s="1" t="s">
        <v>38</v>
      </c>
      <c r="AA810" s="1" t="s">
        <v>33</v>
      </c>
      <c r="AB810" s="36" t="str" cm="1">
        <f t="array" ref="AB810">_xlfn.IFS(K810&gt;650,"LOW",K810&gt;=550,"MEDIUM",K810&lt;550,"HIGH")</f>
        <v>MEDIUM</v>
      </c>
    </row>
    <row r="811" spans="3:28" x14ac:dyDescent="0.3">
      <c r="C811" s="35" t="s">
        <v>2438</v>
      </c>
      <c r="D811" s="1" t="s">
        <v>468</v>
      </c>
      <c r="E811" s="1">
        <v>52</v>
      </c>
      <c r="F811" s="1" t="s">
        <v>44</v>
      </c>
      <c r="G811" s="1" t="s">
        <v>27</v>
      </c>
      <c r="H811" s="1" t="s">
        <v>28</v>
      </c>
      <c r="I811" s="1" t="s">
        <v>40</v>
      </c>
      <c r="J811" s="7">
        <v>116498</v>
      </c>
      <c r="K811" s="1">
        <v>630</v>
      </c>
      <c r="L811" s="7">
        <v>22988</v>
      </c>
      <c r="M811" s="1">
        <v>48</v>
      </c>
      <c r="N811" s="6">
        <v>9.1700000000000004E-2</v>
      </c>
      <c r="O811" s="1" t="s">
        <v>46</v>
      </c>
      <c r="P811" s="1" t="s">
        <v>30</v>
      </c>
      <c r="Q811" s="1">
        <v>26</v>
      </c>
      <c r="R811" s="1">
        <v>0</v>
      </c>
      <c r="S811" s="1" t="s">
        <v>31</v>
      </c>
      <c r="T811" s="1" t="s">
        <v>31</v>
      </c>
      <c r="U811" s="1">
        <v>1</v>
      </c>
      <c r="V811" s="1">
        <v>192375</v>
      </c>
      <c r="W811" s="7">
        <v>661.03</v>
      </c>
      <c r="X811" s="1">
        <v>0.73</v>
      </c>
      <c r="Y811" s="4">
        <v>44439</v>
      </c>
      <c r="Z811" s="1" t="s">
        <v>32</v>
      </c>
      <c r="AA811" s="1" t="s">
        <v>31</v>
      </c>
      <c r="AB811" s="36" t="str" cm="1">
        <f t="array" ref="AB811">_xlfn.IFS(K811&gt;650,"LOW",K811&gt;=550,"MEDIUM",K811&lt;550,"HIGH")</f>
        <v>MEDIUM</v>
      </c>
    </row>
    <row r="812" spans="3:28" x14ac:dyDescent="0.3">
      <c r="C812" s="35" t="s">
        <v>2923</v>
      </c>
      <c r="D812" s="1" t="s">
        <v>951</v>
      </c>
      <c r="E812" s="1">
        <v>35</v>
      </c>
      <c r="F812" s="1" t="s">
        <v>44</v>
      </c>
      <c r="G812" s="1" t="s">
        <v>35</v>
      </c>
      <c r="H812" s="1" t="s">
        <v>36</v>
      </c>
      <c r="I812" s="1" t="s">
        <v>59</v>
      </c>
      <c r="J812" s="7">
        <v>88706</v>
      </c>
      <c r="K812" s="1">
        <v>630</v>
      </c>
      <c r="L812" s="7">
        <v>23072</v>
      </c>
      <c r="M812" s="1">
        <v>24</v>
      </c>
      <c r="N812" s="6">
        <v>0.16699999999999998</v>
      </c>
      <c r="O812" s="1" t="s">
        <v>63</v>
      </c>
      <c r="P812" s="1" t="s">
        <v>50</v>
      </c>
      <c r="Q812" s="1">
        <v>9</v>
      </c>
      <c r="R812" s="1">
        <v>4</v>
      </c>
      <c r="S812" s="1" t="s">
        <v>31</v>
      </c>
      <c r="T812" s="1" t="s">
        <v>31</v>
      </c>
      <c r="U812" s="1">
        <v>4</v>
      </c>
      <c r="V812" s="1">
        <v>161073</v>
      </c>
      <c r="W812" s="7">
        <v>1487.22</v>
      </c>
      <c r="X812" s="1">
        <v>0.73</v>
      </c>
      <c r="Y812" s="4">
        <v>44271</v>
      </c>
      <c r="Z812" s="1" t="s">
        <v>32</v>
      </c>
      <c r="AA812" s="1" t="s">
        <v>33</v>
      </c>
      <c r="AB812" s="36" t="str" cm="1">
        <f t="array" ref="AB812">_xlfn.IFS(K812&gt;650,"LOW",K812&gt;=550,"MEDIUM",K812&lt;550,"HIGH")</f>
        <v>MEDIUM</v>
      </c>
    </row>
    <row r="813" spans="3:28" x14ac:dyDescent="0.3">
      <c r="C813" s="35" t="s">
        <v>3278</v>
      </c>
      <c r="D813" s="1" t="s">
        <v>1301</v>
      </c>
      <c r="E813" s="1">
        <v>56</v>
      </c>
      <c r="F813" s="1" t="s">
        <v>44</v>
      </c>
      <c r="G813" s="1" t="s">
        <v>35</v>
      </c>
      <c r="H813" s="1" t="s">
        <v>54</v>
      </c>
      <c r="I813" s="1" t="s">
        <v>57</v>
      </c>
      <c r="J813" s="7">
        <v>113220</v>
      </c>
      <c r="K813" s="1">
        <v>630</v>
      </c>
      <c r="L813" s="7">
        <v>16909</v>
      </c>
      <c r="M813" s="1">
        <v>60</v>
      </c>
      <c r="N813" s="6">
        <v>9.0899999999999995E-2</v>
      </c>
      <c r="O813" s="1" t="s">
        <v>37</v>
      </c>
      <c r="P813" s="1" t="s">
        <v>30</v>
      </c>
      <c r="Q813" s="1">
        <v>21</v>
      </c>
      <c r="R813" s="1">
        <v>3</v>
      </c>
      <c r="S813" s="1" t="s">
        <v>31</v>
      </c>
      <c r="T813" s="1" t="s">
        <v>33</v>
      </c>
      <c r="U813" s="1">
        <v>1</v>
      </c>
      <c r="V813" s="1">
        <v>149435</v>
      </c>
      <c r="W813" s="7">
        <v>559.24</v>
      </c>
      <c r="X813" s="1">
        <v>0.5</v>
      </c>
      <c r="Y813" s="4">
        <v>44912</v>
      </c>
      <c r="Z813" s="1" t="s">
        <v>38</v>
      </c>
      <c r="AA813" s="1" t="s">
        <v>33</v>
      </c>
      <c r="AB813" s="36" t="str" cm="1">
        <f t="array" ref="AB813">_xlfn.IFS(K813&gt;650,"LOW",K813&gt;=550,"MEDIUM",K813&lt;550,"HIGH")</f>
        <v>MEDIUM</v>
      </c>
    </row>
    <row r="814" spans="3:28" x14ac:dyDescent="0.3">
      <c r="C814" s="35" t="s">
        <v>3713</v>
      </c>
      <c r="D814" s="1" t="s">
        <v>1723</v>
      </c>
      <c r="E814" s="1">
        <v>64</v>
      </c>
      <c r="F814" s="1" t="s">
        <v>44</v>
      </c>
      <c r="G814" s="1" t="s">
        <v>45</v>
      </c>
      <c r="H814" s="1" t="s">
        <v>28</v>
      </c>
      <c r="I814" s="1" t="s">
        <v>29</v>
      </c>
      <c r="J814" s="7">
        <v>37207</v>
      </c>
      <c r="K814" s="1">
        <v>630</v>
      </c>
      <c r="L814" s="7">
        <v>45839</v>
      </c>
      <c r="M814" s="1">
        <v>36</v>
      </c>
      <c r="N814" s="6">
        <v>9.06E-2</v>
      </c>
      <c r="O814" s="1" t="s">
        <v>46</v>
      </c>
      <c r="P814" s="1" t="s">
        <v>50</v>
      </c>
      <c r="Q814" s="1">
        <v>9</v>
      </c>
      <c r="R814" s="1">
        <v>4</v>
      </c>
      <c r="S814" s="1" t="s">
        <v>31</v>
      </c>
      <c r="T814" s="1" t="s">
        <v>31</v>
      </c>
      <c r="U814" s="1">
        <v>0</v>
      </c>
      <c r="V814" s="1">
        <v>38567</v>
      </c>
      <c r="W814" s="7">
        <v>258.95</v>
      </c>
      <c r="X814" s="1">
        <v>0.67</v>
      </c>
      <c r="Y814" s="4">
        <v>45434</v>
      </c>
      <c r="Z814" s="1" t="s">
        <v>32</v>
      </c>
      <c r="AA814" s="1" t="s">
        <v>33</v>
      </c>
      <c r="AB814" s="36" t="str" cm="1">
        <f t="array" ref="AB814">_xlfn.IFS(K814&gt;650,"LOW",K814&gt;=550,"MEDIUM",K814&lt;550,"HIGH")</f>
        <v>MEDIUM</v>
      </c>
    </row>
    <row r="815" spans="3:28" x14ac:dyDescent="0.3">
      <c r="C815" s="35" t="s">
        <v>2137</v>
      </c>
      <c r="D815" s="1" t="s">
        <v>168</v>
      </c>
      <c r="E815" s="1">
        <v>60</v>
      </c>
      <c r="F815" s="1" t="s">
        <v>44</v>
      </c>
      <c r="G815" s="1" t="s">
        <v>27</v>
      </c>
      <c r="H815" s="1" t="s">
        <v>54</v>
      </c>
      <c r="I815" s="1" t="s">
        <v>40</v>
      </c>
      <c r="J815" s="7">
        <v>112509</v>
      </c>
      <c r="K815" s="1">
        <v>629</v>
      </c>
      <c r="L815" s="7">
        <v>25364</v>
      </c>
      <c r="M815" s="1">
        <v>12</v>
      </c>
      <c r="N815" s="6">
        <v>0.1996</v>
      </c>
      <c r="O815" s="1" t="s">
        <v>5</v>
      </c>
      <c r="P815" s="1" t="s">
        <v>30</v>
      </c>
      <c r="Q815" s="1">
        <v>3</v>
      </c>
      <c r="R815" s="1">
        <v>1</v>
      </c>
      <c r="S815" s="1" t="s">
        <v>33</v>
      </c>
      <c r="T815" s="1" t="s">
        <v>31</v>
      </c>
      <c r="U815" s="1">
        <v>0</v>
      </c>
      <c r="V815" s="1">
        <v>84679</v>
      </c>
      <c r="W815" s="7">
        <v>1446.44</v>
      </c>
      <c r="X815" s="1">
        <v>0.93</v>
      </c>
      <c r="Y815" s="4">
        <v>45319</v>
      </c>
      <c r="Z815" s="1" t="s">
        <v>38</v>
      </c>
      <c r="AA815" s="1" t="s">
        <v>33</v>
      </c>
      <c r="AB815" s="36" t="str" cm="1">
        <f t="array" ref="AB815">_xlfn.IFS(K815&gt;650,"LOW",K815&gt;=550,"MEDIUM",K815&lt;550,"HIGH")</f>
        <v>MEDIUM</v>
      </c>
    </row>
    <row r="816" spans="3:28" x14ac:dyDescent="0.3">
      <c r="C816" s="35" t="s">
        <v>2377</v>
      </c>
      <c r="D816" s="1" t="s">
        <v>407</v>
      </c>
      <c r="E816" s="1">
        <v>59</v>
      </c>
      <c r="F816" s="1" t="s">
        <v>26</v>
      </c>
      <c r="G816" s="1" t="s">
        <v>45</v>
      </c>
      <c r="H816" s="1" t="s">
        <v>61</v>
      </c>
      <c r="I816" s="1" t="s">
        <v>40</v>
      </c>
      <c r="J816" s="7">
        <v>108905</v>
      </c>
      <c r="K816" s="1">
        <v>629</v>
      </c>
      <c r="L816" s="7">
        <v>25665</v>
      </c>
      <c r="M816" s="1">
        <v>12</v>
      </c>
      <c r="N816" s="6">
        <v>0.1653</v>
      </c>
      <c r="O816" s="1" t="s">
        <v>41</v>
      </c>
      <c r="P816" s="1" t="s">
        <v>30</v>
      </c>
      <c r="Q816" s="1">
        <v>6</v>
      </c>
      <c r="R816" s="1">
        <v>3</v>
      </c>
      <c r="S816" s="1" t="s">
        <v>33</v>
      </c>
      <c r="T816" s="1" t="s">
        <v>33</v>
      </c>
      <c r="U816" s="1">
        <v>3</v>
      </c>
      <c r="V816" s="1">
        <v>147407</v>
      </c>
      <c r="W816" s="7">
        <v>310.49</v>
      </c>
      <c r="X816" s="1">
        <v>0.96</v>
      </c>
      <c r="Y816" s="4">
        <v>44113</v>
      </c>
      <c r="Z816" s="1" t="s">
        <v>38</v>
      </c>
      <c r="AA816" s="1" t="s">
        <v>33</v>
      </c>
      <c r="AB816" s="36" t="str" cm="1">
        <f t="array" ref="AB816">_xlfn.IFS(K816&gt;650,"LOW",K816&gt;=550,"MEDIUM",K816&lt;550,"HIGH")</f>
        <v>MEDIUM</v>
      </c>
    </row>
    <row r="817" spans="3:28" x14ac:dyDescent="0.3">
      <c r="C817" s="35" t="s">
        <v>2428</v>
      </c>
      <c r="D817" s="1" t="s">
        <v>458</v>
      </c>
      <c r="E817" s="1">
        <v>48</v>
      </c>
      <c r="F817" s="1" t="s">
        <v>26</v>
      </c>
      <c r="G817" s="1" t="s">
        <v>27</v>
      </c>
      <c r="H817" s="1" t="s">
        <v>54</v>
      </c>
      <c r="I817" s="1" t="s">
        <v>40</v>
      </c>
      <c r="J817" s="7">
        <v>25577</v>
      </c>
      <c r="K817" s="1">
        <v>629</v>
      </c>
      <c r="L817" s="7">
        <v>23082</v>
      </c>
      <c r="M817" s="1">
        <v>24</v>
      </c>
      <c r="N817" s="6">
        <v>0.15049999999999999</v>
      </c>
      <c r="O817" s="1" t="s">
        <v>41</v>
      </c>
      <c r="P817" s="1" t="s">
        <v>47</v>
      </c>
      <c r="Q817" s="1">
        <v>29</v>
      </c>
      <c r="R817" s="1">
        <v>0</v>
      </c>
      <c r="S817" s="1" t="s">
        <v>31</v>
      </c>
      <c r="T817" s="1" t="s">
        <v>31</v>
      </c>
      <c r="U817" s="1">
        <v>2</v>
      </c>
      <c r="V817" s="1">
        <v>110325</v>
      </c>
      <c r="W817" s="7">
        <v>1412.79</v>
      </c>
      <c r="X817" s="1">
        <v>0.37</v>
      </c>
      <c r="Y817" s="4">
        <v>45484</v>
      </c>
      <c r="Z817" s="1" t="s">
        <v>32</v>
      </c>
      <c r="AA817" s="1" t="s">
        <v>33</v>
      </c>
      <c r="AB817" s="36" t="str" cm="1">
        <f t="array" ref="AB817">_xlfn.IFS(K817&gt;650,"LOW",K817&gt;=550,"MEDIUM",K817&lt;550,"HIGH")</f>
        <v>MEDIUM</v>
      </c>
    </row>
    <row r="818" spans="3:28" x14ac:dyDescent="0.3">
      <c r="C818" s="35" t="s">
        <v>2761</v>
      </c>
      <c r="D818" s="1" t="s">
        <v>790</v>
      </c>
      <c r="E818" s="1">
        <v>58</v>
      </c>
      <c r="F818" s="1" t="s">
        <v>26</v>
      </c>
      <c r="G818" s="1" t="s">
        <v>45</v>
      </c>
      <c r="H818" s="1" t="s">
        <v>61</v>
      </c>
      <c r="I818" s="1" t="s">
        <v>57</v>
      </c>
      <c r="J818" s="7">
        <v>134151</v>
      </c>
      <c r="K818" s="1">
        <v>629</v>
      </c>
      <c r="L818" s="7">
        <v>33747</v>
      </c>
      <c r="M818" s="1">
        <v>12</v>
      </c>
      <c r="N818" s="6">
        <v>0.12770000000000001</v>
      </c>
      <c r="O818" s="1" t="s">
        <v>63</v>
      </c>
      <c r="P818" s="1" t="s">
        <v>50</v>
      </c>
      <c r="Q818" s="1">
        <v>20</v>
      </c>
      <c r="R818" s="1">
        <v>1</v>
      </c>
      <c r="S818" s="1" t="s">
        <v>33</v>
      </c>
      <c r="T818" s="1" t="s">
        <v>33</v>
      </c>
      <c r="U818" s="1">
        <v>1</v>
      </c>
      <c r="V818" s="1">
        <v>116867</v>
      </c>
      <c r="W818" s="7">
        <v>719.09</v>
      </c>
      <c r="X818" s="1">
        <v>0.37</v>
      </c>
      <c r="Y818" s="4">
        <v>45667</v>
      </c>
      <c r="Z818" s="1" t="s">
        <v>38</v>
      </c>
      <c r="AA818" s="1" t="s">
        <v>31</v>
      </c>
      <c r="AB818" s="36" t="str" cm="1">
        <f t="array" ref="AB818">_xlfn.IFS(K818&gt;650,"LOW",K818&gt;=550,"MEDIUM",K818&lt;550,"HIGH")</f>
        <v>MEDIUM</v>
      </c>
    </row>
    <row r="819" spans="3:28" x14ac:dyDescent="0.3">
      <c r="C819" s="35" t="s">
        <v>3284</v>
      </c>
      <c r="D819" s="1" t="s">
        <v>1307</v>
      </c>
      <c r="E819" s="1">
        <v>45</v>
      </c>
      <c r="F819" s="1" t="s">
        <v>26</v>
      </c>
      <c r="G819" s="1" t="s">
        <v>45</v>
      </c>
      <c r="H819" s="1" t="s">
        <v>54</v>
      </c>
      <c r="I819" s="1" t="s">
        <v>57</v>
      </c>
      <c r="J819" s="7">
        <v>124263</v>
      </c>
      <c r="K819" s="1">
        <v>629</v>
      </c>
      <c r="L819" s="7">
        <v>12278</v>
      </c>
      <c r="M819" s="1">
        <v>24</v>
      </c>
      <c r="N819" s="6">
        <v>8.6699999999999999E-2</v>
      </c>
      <c r="O819" s="1" t="s">
        <v>41</v>
      </c>
      <c r="P819" s="1" t="s">
        <v>50</v>
      </c>
      <c r="Q819" s="1">
        <v>11</v>
      </c>
      <c r="R819" s="1">
        <v>0</v>
      </c>
      <c r="S819" s="1" t="s">
        <v>33</v>
      </c>
      <c r="T819" s="1" t="s">
        <v>33</v>
      </c>
      <c r="U819" s="1">
        <v>4</v>
      </c>
      <c r="V819" s="1">
        <v>172415</v>
      </c>
      <c r="W819" s="7">
        <v>475.87</v>
      </c>
      <c r="X819" s="1">
        <v>0.5</v>
      </c>
      <c r="Y819" s="4">
        <v>44129</v>
      </c>
      <c r="Z819" s="1" t="s">
        <v>38</v>
      </c>
      <c r="AA819" s="1" t="s">
        <v>31</v>
      </c>
      <c r="AB819" s="36" t="str" cm="1">
        <f t="array" ref="AB819">_xlfn.IFS(K819&gt;650,"LOW",K819&gt;=550,"MEDIUM",K819&lt;550,"HIGH")</f>
        <v>MEDIUM</v>
      </c>
    </row>
    <row r="820" spans="3:28" x14ac:dyDescent="0.3">
      <c r="C820" s="35" t="s">
        <v>3902</v>
      </c>
      <c r="D820" s="1" t="s">
        <v>1906</v>
      </c>
      <c r="E820" s="1">
        <v>36</v>
      </c>
      <c r="F820" s="1" t="s">
        <v>44</v>
      </c>
      <c r="G820" s="1" t="s">
        <v>45</v>
      </c>
      <c r="H820" s="1" t="s">
        <v>28</v>
      </c>
      <c r="I820" s="1" t="s">
        <v>59</v>
      </c>
      <c r="J820" s="7">
        <v>128522</v>
      </c>
      <c r="K820" s="1">
        <v>629</v>
      </c>
      <c r="L820" s="7">
        <v>38958</v>
      </c>
      <c r="M820" s="1">
        <v>60</v>
      </c>
      <c r="N820" s="6">
        <v>0.1527</v>
      </c>
      <c r="O820" s="1" t="s">
        <v>41</v>
      </c>
      <c r="P820" s="1" t="s">
        <v>30</v>
      </c>
      <c r="Q820" s="1">
        <v>19</v>
      </c>
      <c r="R820" s="1">
        <v>0</v>
      </c>
      <c r="S820" s="1" t="s">
        <v>33</v>
      </c>
      <c r="T820" s="1" t="s">
        <v>31</v>
      </c>
      <c r="U820" s="1">
        <v>0</v>
      </c>
      <c r="V820" s="1">
        <v>12920</v>
      </c>
      <c r="W820" s="7">
        <v>827.72</v>
      </c>
      <c r="X820" s="1">
        <v>0.41</v>
      </c>
      <c r="Y820" s="4">
        <v>45570</v>
      </c>
      <c r="Z820" s="1" t="s">
        <v>38</v>
      </c>
      <c r="AA820" s="1" t="s">
        <v>33</v>
      </c>
      <c r="AB820" s="36" t="str" cm="1">
        <f t="array" ref="AB820">_xlfn.IFS(K820&gt;650,"LOW",K820&gt;=550,"MEDIUM",K820&lt;550,"HIGH")</f>
        <v>MEDIUM</v>
      </c>
    </row>
    <row r="821" spans="3:28" x14ac:dyDescent="0.3">
      <c r="C821" s="35" t="s">
        <v>2033</v>
      </c>
      <c r="D821" s="1" t="s">
        <v>64</v>
      </c>
      <c r="E821" s="1">
        <v>60</v>
      </c>
      <c r="F821" s="1" t="s">
        <v>44</v>
      </c>
      <c r="G821" s="1" t="s">
        <v>35</v>
      </c>
      <c r="H821" s="1" t="s">
        <v>54</v>
      </c>
      <c r="I821" s="1" t="s">
        <v>29</v>
      </c>
      <c r="J821" s="7">
        <v>119340</v>
      </c>
      <c r="K821" s="1">
        <v>628</v>
      </c>
      <c r="L821" s="7">
        <v>36801</v>
      </c>
      <c r="M821" s="1">
        <v>36</v>
      </c>
      <c r="N821" s="6">
        <v>0.16</v>
      </c>
      <c r="O821" s="1" t="s">
        <v>41</v>
      </c>
      <c r="P821" s="1" t="s">
        <v>50</v>
      </c>
      <c r="Q821" s="1">
        <v>14</v>
      </c>
      <c r="R821" s="1">
        <v>4</v>
      </c>
      <c r="S821" s="1" t="s">
        <v>33</v>
      </c>
      <c r="T821" s="1" t="s">
        <v>31</v>
      </c>
      <c r="U821" s="1">
        <v>3</v>
      </c>
      <c r="V821" s="1">
        <v>11788</v>
      </c>
      <c r="W821" s="7">
        <v>1652.5</v>
      </c>
      <c r="X821" s="1">
        <v>0.71</v>
      </c>
      <c r="Y821" s="4">
        <v>44536</v>
      </c>
      <c r="Z821" s="1" t="s">
        <v>38</v>
      </c>
      <c r="AA821" s="1" t="s">
        <v>33</v>
      </c>
      <c r="AB821" s="36" t="str" cm="1">
        <f t="array" ref="AB821">_xlfn.IFS(K821&gt;650,"LOW",K821&gt;=550,"MEDIUM",K821&lt;550,"HIGH")</f>
        <v>MEDIUM</v>
      </c>
    </row>
    <row r="822" spans="3:28" x14ac:dyDescent="0.3">
      <c r="C822" s="35" t="s">
        <v>2566</v>
      </c>
      <c r="D822" s="1" t="s">
        <v>596</v>
      </c>
      <c r="E822" s="1">
        <v>36</v>
      </c>
      <c r="F822" s="1" t="s">
        <v>26</v>
      </c>
      <c r="G822" s="1" t="s">
        <v>56</v>
      </c>
      <c r="H822" s="1" t="s">
        <v>61</v>
      </c>
      <c r="I822" s="1" t="s">
        <v>29</v>
      </c>
      <c r="J822" s="7">
        <v>60164</v>
      </c>
      <c r="K822" s="1">
        <v>628</v>
      </c>
      <c r="L822" s="7">
        <v>38085</v>
      </c>
      <c r="M822" s="1">
        <v>36</v>
      </c>
      <c r="N822" s="6">
        <v>0.12770000000000001</v>
      </c>
      <c r="O822" s="1" t="s">
        <v>52</v>
      </c>
      <c r="P822" s="1" t="s">
        <v>30</v>
      </c>
      <c r="Q822" s="1">
        <v>12</v>
      </c>
      <c r="R822" s="1">
        <v>1</v>
      </c>
      <c r="S822" s="1" t="s">
        <v>31</v>
      </c>
      <c r="T822" s="1" t="s">
        <v>33</v>
      </c>
      <c r="U822" s="1">
        <v>2</v>
      </c>
      <c r="V822" s="1">
        <v>66430</v>
      </c>
      <c r="W822" s="7">
        <v>438.77</v>
      </c>
      <c r="X822" s="1">
        <v>0.84</v>
      </c>
      <c r="Y822" s="4">
        <v>44604</v>
      </c>
      <c r="Z822" s="1" t="s">
        <v>32</v>
      </c>
      <c r="AA822" s="1" t="s">
        <v>31</v>
      </c>
      <c r="AB822" s="36" t="str" cm="1">
        <f t="array" ref="AB822">_xlfn.IFS(K822&gt;650,"LOW",K822&gt;=550,"MEDIUM",K822&lt;550,"HIGH")</f>
        <v>MEDIUM</v>
      </c>
    </row>
    <row r="823" spans="3:28" x14ac:dyDescent="0.3">
      <c r="C823" s="35" t="s">
        <v>2811</v>
      </c>
      <c r="D823" s="1" t="s">
        <v>839</v>
      </c>
      <c r="E823" s="1">
        <v>41</v>
      </c>
      <c r="F823" s="1" t="s">
        <v>44</v>
      </c>
      <c r="G823" s="1" t="s">
        <v>56</v>
      </c>
      <c r="H823" s="1" t="s">
        <v>54</v>
      </c>
      <c r="I823" s="1" t="s">
        <v>29</v>
      </c>
      <c r="J823" s="7">
        <v>58506</v>
      </c>
      <c r="K823" s="1">
        <v>628</v>
      </c>
      <c r="L823" s="7">
        <v>21246</v>
      </c>
      <c r="M823" s="1">
        <v>24</v>
      </c>
      <c r="N823" s="6">
        <v>7.7499999999999999E-2</v>
      </c>
      <c r="O823" s="1" t="s">
        <v>41</v>
      </c>
      <c r="P823" s="1" t="s">
        <v>47</v>
      </c>
      <c r="Q823" s="1">
        <v>6</v>
      </c>
      <c r="R823" s="1">
        <v>2</v>
      </c>
      <c r="S823" s="1" t="s">
        <v>31</v>
      </c>
      <c r="T823" s="1" t="s">
        <v>31</v>
      </c>
      <c r="U823" s="1">
        <v>0</v>
      </c>
      <c r="V823" s="1">
        <v>131439</v>
      </c>
      <c r="W823" s="7">
        <v>289.41000000000003</v>
      </c>
      <c r="X823" s="1">
        <v>0.5</v>
      </c>
      <c r="Y823" s="4">
        <v>44842</v>
      </c>
      <c r="Z823" s="1" t="s">
        <v>38</v>
      </c>
      <c r="AA823" s="1" t="s">
        <v>33</v>
      </c>
      <c r="AB823" s="36" t="str" cm="1">
        <f t="array" ref="AB823">_xlfn.IFS(K823&gt;650,"LOW",K823&gt;=550,"MEDIUM",K823&lt;550,"HIGH")</f>
        <v>MEDIUM</v>
      </c>
    </row>
    <row r="824" spans="3:28" x14ac:dyDescent="0.3">
      <c r="C824" s="35" t="s">
        <v>2269</v>
      </c>
      <c r="D824" s="1" t="s">
        <v>300</v>
      </c>
      <c r="E824" s="1">
        <v>62</v>
      </c>
      <c r="F824" s="1" t="s">
        <v>26</v>
      </c>
      <c r="G824" s="1" t="s">
        <v>27</v>
      </c>
      <c r="H824" s="1" t="s">
        <v>61</v>
      </c>
      <c r="I824" s="1" t="s">
        <v>29</v>
      </c>
      <c r="J824" s="7">
        <v>89263</v>
      </c>
      <c r="K824" s="1">
        <v>627</v>
      </c>
      <c r="L824" s="7">
        <v>46702</v>
      </c>
      <c r="M824" s="1">
        <v>36</v>
      </c>
      <c r="N824" s="6">
        <v>7.1800000000000003E-2</v>
      </c>
      <c r="O824" s="1" t="s">
        <v>46</v>
      </c>
      <c r="P824" s="1" t="s">
        <v>30</v>
      </c>
      <c r="Q824" s="1">
        <v>8</v>
      </c>
      <c r="R824" s="1">
        <v>1</v>
      </c>
      <c r="S824" s="1" t="s">
        <v>31</v>
      </c>
      <c r="T824" s="1" t="s">
        <v>31</v>
      </c>
      <c r="U824" s="1">
        <v>3</v>
      </c>
      <c r="V824" s="1">
        <v>75195</v>
      </c>
      <c r="W824" s="7">
        <v>684.07</v>
      </c>
      <c r="X824" s="1">
        <v>0.61</v>
      </c>
      <c r="Y824" s="4">
        <v>45492</v>
      </c>
      <c r="Z824" s="1" t="s">
        <v>32</v>
      </c>
      <c r="AA824" s="1" t="s">
        <v>31</v>
      </c>
      <c r="AB824" s="36" t="str" cm="1">
        <f t="array" ref="AB824">_xlfn.IFS(K824&gt;650,"LOW",K824&gt;=550,"MEDIUM",K824&lt;550,"HIGH")</f>
        <v>MEDIUM</v>
      </c>
    </row>
    <row r="825" spans="3:28" x14ac:dyDescent="0.3">
      <c r="C825" s="35" t="s">
        <v>2639</v>
      </c>
      <c r="D825" s="1" t="s">
        <v>669</v>
      </c>
      <c r="E825" s="1">
        <v>64</v>
      </c>
      <c r="F825" s="1" t="s">
        <v>26</v>
      </c>
      <c r="G825" s="1" t="s">
        <v>35</v>
      </c>
      <c r="H825" s="1" t="s">
        <v>61</v>
      </c>
      <c r="I825" s="1" t="s">
        <v>29</v>
      </c>
      <c r="J825" s="7">
        <v>97261</v>
      </c>
      <c r="K825" s="1">
        <v>627</v>
      </c>
      <c r="L825" s="7">
        <v>16531</v>
      </c>
      <c r="M825" s="1">
        <v>24</v>
      </c>
      <c r="N825" s="6">
        <v>0.158</v>
      </c>
      <c r="O825" s="1" t="s">
        <v>37</v>
      </c>
      <c r="P825" s="1" t="s">
        <v>30</v>
      </c>
      <c r="Q825" s="1">
        <v>18</v>
      </c>
      <c r="R825" s="1">
        <v>3</v>
      </c>
      <c r="S825" s="1" t="s">
        <v>33</v>
      </c>
      <c r="T825" s="1" t="s">
        <v>31</v>
      </c>
      <c r="U825" s="1">
        <v>0</v>
      </c>
      <c r="V825" s="1">
        <v>65146</v>
      </c>
      <c r="W825" s="7">
        <v>1371.59</v>
      </c>
      <c r="X825" s="1">
        <v>0.67</v>
      </c>
      <c r="Y825" s="4">
        <v>45067</v>
      </c>
      <c r="Z825" s="1" t="s">
        <v>38</v>
      </c>
      <c r="AA825" s="1" t="s">
        <v>33</v>
      </c>
      <c r="AB825" s="36" t="str" cm="1">
        <f t="array" ref="AB825">_xlfn.IFS(K825&gt;650,"LOW",K825&gt;=550,"MEDIUM",K825&lt;550,"HIGH")</f>
        <v>MEDIUM</v>
      </c>
    </row>
    <row r="826" spans="3:28" x14ac:dyDescent="0.3">
      <c r="C826" s="35" t="s">
        <v>2864</v>
      </c>
      <c r="D826" s="1" t="s">
        <v>892</v>
      </c>
      <c r="E826" s="1">
        <v>59</v>
      </c>
      <c r="F826" s="1" t="s">
        <v>44</v>
      </c>
      <c r="G826" s="1" t="s">
        <v>45</v>
      </c>
      <c r="H826" s="1" t="s">
        <v>54</v>
      </c>
      <c r="I826" s="1" t="s">
        <v>40</v>
      </c>
      <c r="J826" s="7">
        <v>127441</v>
      </c>
      <c r="K826" s="1">
        <v>627</v>
      </c>
      <c r="L826" s="7">
        <v>47036</v>
      </c>
      <c r="M826" s="1">
        <v>36</v>
      </c>
      <c r="N826" s="6">
        <v>8.8599999999999998E-2</v>
      </c>
      <c r="O826" s="1" t="s">
        <v>5</v>
      </c>
      <c r="P826" s="1" t="s">
        <v>47</v>
      </c>
      <c r="Q826" s="1">
        <v>20</v>
      </c>
      <c r="R826" s="1">
        <v>1</v>
      </c>
      <c r="S826" s="1" t="s">
        <v>31</v>
      </c>
      <c r="T826" s="1" t="s">
        <v>33</v>
      </c>
      <c r="U826" s="1">
        <v>4</v>
      </c>
      <c r="V826" s="1">
        <v>12818</v>
      </c>
      <c r="W826" s="7">
        <v>813.87</v>
      </c>
      <c r="X826" s="1">
        <v>0.43</v>
      </c>
      <c r="Y826" s="4">
        <v>45118</v>
      </c>
      <c r="Z826" s="1" t="s">
        <v>32</v>
      </c>
      <c r="AA826" s="1" t="s">
        <v>33</v>
      </c>
      <c r="AB826" s="36" t="str" cm="1">
        <f t="array" ref="AB826">_xlfn.IFS(K826&gt;650,"LOW",K826&gt;=550,"MEDIUM",K826&lt;550,"HIGH")</f>
        <v>MEDIUM</v>
      </c>
    </row>
    <row r="827" spans="3:28" x14ac:dyDescent="0.3">
      <c r="C827" s="35" t="s">
        <v>2030</v>
      </c>
      <c r="D827" s="1" t="s">
        <v>58</v>
      </c>
      <c r="E827" s="1">
        <v>31</v>
      </c>
      <c r="F827" s="1" t="s">
        <v>26</v>
      </c>
      <c r="G827" s="1" t="s">
        <v>56</v>
      </c>
      <c r="H827" s="1" t="s">
        <v>28</v>
      </c>
      <c r="I827" s="1" t="s">
        <v>59</v>
      </c>
      <c r="J827" s="7">
        <v>99955</v>
      </c>
      <c r="K827" s="1">
        <v>626</v>
      </c>
      <c r="L827" s="7">
        <v>6289</v>
      </c>
      <c r="M827" s="1">
        <v>12</v>
      </c>
      <c r="N827" s="6">
        <v>0.1168</v>
      </c>
      <c r="O827" s="1" t="s">
        <v>52</v>
      </c>
      <c r="P827" s="1" t="s">
        <v>50</v>
      </c>
      <c r="Q827" s="1">
        <v>12</v>
      </c>
      <c r="R827" s="1">
        <v>0</v>
      </c>
      <c r="S827" s="1" t="s">
        <v>33</v>
      </c>
      <c r="T827" s="1" t="s">
        <v>31</v>
      </c>
      <c r="U827" s="1">
        <v>4</v>
      </c>
      <c r="V827" s="1">
        <v>27892</v>
      </c>
      <c r="W827" s="7">
        <v>407.72</v>
      </c>
      <c r="X827" s="1">
        <v>0.6</v>
      </c>
      <c r="Y827" s="4">
        <v>44180</v>
      </c>
      <c r="Z827" s="1" t="s">
        <v>38</v>
      </c>
      <c r="AA827" s="1" t="s">
        <v>31</v>
      </c>
      <c r="AB827" s="36" t="str" cm="1">
        <f t="array" ref="AB827">_xlfn.IFS(K827&gt;650,"LOW",K827&gt;=550,"MEDIUM",K827&lt;550,"HIGH")</f>
        <v>MEDIUM</v>
      </c>
    </row>
    <row r="828" spans="3:28" x14ac:dyDescent="0.3">
      <c r="C828" s="35" t="s">
        <v>2797</v>
      </c>
      <c r="D828" s="1" t="s">
        <v>825</v>
      </c>
      <c r="E828" s="1">
        <v>31</v>
      </c>
      <c r="F828" s="1" t="s">
        <v>44</v>
      </c>
      <c r="G828" s="1" t="s">
        <v>56</v>
      </c>
      <c r="H828" s="1" t="s">
        <v>54</v>
      </c>
      <c r="I828" s="1" t="s">
        <v>59</v>
      </c>
      <c r="J828" s="7">
        <v>41575</v>
      </c>
      <c r="K828" s="1">
        <v>626</v>
      </c>
      <c r="L828" s="7">
        <v>43923</v>
      </c>
      <c r="M828" s="1">
        <v>60</v>
      </c>
      <c r="N828" s="6">
        <v>0.1105</v>
      </c>
      <c r="O828" s="1" t="s">
        <v>5</v>
      </c>
      <c r="P828" s="1" t="s">
        <v>30</v>
      </c>
      <c r="Q828" s="1">
        <v>12</v>
      </c>
      <c r="R828" s="1">
        <v>2</v>
      </c>
      <c r="S828" s="1" t="s">
        <v>31</v>
      </c>
      <c r="T828" s="1" t="s">
        <v>31</v>
      </c>
      <c r="U828" s="1">
        <v>4</v>
      </c>
      <c r="V828" s="1">
        <v>165556</v>
      </c>
      <c r="W828" s="7">
        <v>250.61</v>
      </c>
      <c r="X828" s="1">
        <v>0.9</v>
      </c>
      <c r="Y828" s="4">
        <v>45041</v>
      </c>
      <c r="Z828" s="1" t="s">
        <v>32</v>
      </c>
      <c r="AA828" s="1" t="s">
        <v>33</v>
      </c>
      <c r="AB828" s="36" t="str" cm="1">
        <f t="array" ref="AB828">_xlfn.IFS(K828&gt;650,"LOW",K828&gt;=550,"MEDIUM",K828&lt;550,"HIGH")</f>
        <v>MEDIUM</v>
      </c>
    </row>
    <row r="829" spans="3:28" x14ac:dyDescent="0.3">
      <c r="C829" s="35" t="s">
        <v>3064</v>
      </c>
      <c r="D829" s="1" t="s">
        <v>1090</v>
      </c>
      <c r="E829" s="1">
        <v>46</v>
      </c>
      <c r="F829" s="1" t="s">
        <v>26</v>
      </c>
      <c r="G829" s="1" t="s">
        <v>27</v>
      </c>
      <c r="H829" s="1" t="s">
        <v>54</v>
      </c>
      <c r="I829" s="1" t="s">
        <v>29</v>
      </c>
      <c r="J829" s="7">
        <v>124779</v>
      </c>
      <c r="K829" s="1">
        <v>626</v>
      </c>
      <c r="L829" s="7">
        <v>19040</v>
      </c>
      <c r="M829" s="1">
        <v>24</v>
      </c>
      <c r="N829" s="6">
        <v>0.12759999999999999</v>
      </c>
      <c r="O829" s="1" t="s">
        <v>52</v>
      </c>
      <c r="P829" s="1" t="s">
        <v>50</v>
      </c>
      <c r="Q829" s="1">
        <v>8</v>
      </c>
      <c r="R829" s="1">
        <v>4</v>
      </c>
      <c r="S829" s="1" t="s">
        <v>31</v>
      </c>
      <c r="T829" s="1" t="s">
        <v>33</v>
      </c>
      <c r="U829" s="1">
        <v>2</v>
      </c>
      <c r="V829" s="1">
        <v>125275</v>
      </c>
      <c r="W829" s="7">
        <v>944.35</v>
      </c>
      <c r="X829" s="1">
        <v>0.69</v>
      </c>
      <c r="Y829" s="4">
        <v>45525</v>
      </c>
      <c r="Z829" s="1" t="s">
        <v>38</v>
      </c>
      <c r="AA829" s="1" t="s">
        <v>33</v>
      </c>
      <c r="AB829" s="36" t="str" cm="1">
        <f t="array" ref="AB829">_xlfn.IFS(K829&gt;650,"LOW",K829&gt;=550,"MEDIUM",K829&lt;550,"HIGH")</f>
        <v>MEDIUM</v>
      </c>
    </row>
    <row r="830" spans="3:28" x14ac:dyDescent="0.3">
      <c r="C830" s="35" t="s">
        <v>3897</v>
      </c>
      <c r="D830" s="1" t="s">
        <v>1901</v>
      </c>
      <c r="E830" s="1">
        <v>51</v>
      </c>
      <c r="F830" s="1" t="s">
        <v>44</v>
      </c>
      <c r="G830" s="1" t="s">
        <v>27</v>
      </c>
      <c r="H830" s="1" t="s">
        <v>54</v>
      </c>
      <c r="I830" s="1" t="s">
        <v>29</v>
      </c>
      <c r="J830" s="7">
        <v>49565</v>
      </c>
      <c r="K830" s="1">
        <v>626</v>
      </c>
      <c r="L830" s="7">
        <v>4201</v>
      </c>
      <c r="M830" s="1">
        <v>48</v>
      </c>
      <c r="N830" s="6">
        <v>0.11220000000000001</v>
      </c>
      <c r="O830" s="1" t="s">
        <v>5</v>
      </c>
      <c r="P830" s="1" t="s">
        <v>50</v>
      </c>
      <c r="Q830" s="1">
        <v>2</v>
      </c>
      <c r="R830" s="1">
        <v>1</v>
      </c>
      <c r="S830" s="1" t="s">
        <v>31</v>
      </c>
      <c r="T830" s="1" t="s">
        <v>31</v>
      </c>
      <c r="U830" s="1">
        <v>4</v>
      </c>
      <c r="V830" s="1">
        <v>73490</v>
      </c>
      <c r="W830" s="7">
        <v>1323.59</v>
      </c>
      <c r="X830" s="1">
        <v>0.32</v>
      </c>
      <c r="Y830" s="4">
        <v>45404</v>
      </c>
      <c r="Z830" s="1" t="s">
        <v>32</v>
      </c>
      <c r="AA830" s="1" t="s">
        <v>33</v>
      </c>
      <c r="AB830" s="36" t="str" cm="1">
        <f t="array" ref="AB830">_xlfn.IFS(K830&gt;650,"LOW",K830&gt;=550,"MEDIUM",K830&lt;550,"HIGH")</f>
        <v>MEDIUM</v>
      </c>
    </row>
    <row r="831" spans="3:28" x14ac:dyDescent="0.3">
      <c r="C831" s="35" t="s">
        <v>2066</v>
      </c>
      <c r="D831" s="1" t="s">
        <v>97</v>
      </c>
      <c r="E831" s="1">
        <v>46</v>
      </c>
      <c r="F831" s="1" t="s">
        <v>26</v>
      </c>
      <c r="G831" s="1" t="s">
        <v>35</v>
      </c>
      <c r="H831" s="1" t="s">
        <v>61</v>
      </c>
      <c r="I831" s="1" t="s">
        <v>40</v>
      </c>
      <c r="J831" s="7">
        <v>101132</v>
      </c>
      <c r="K831" s="1">
        <v>625</v>
      </c>
      <c r="L831" s="7">
        <v>15340</v>
      </c>
      <c r="M831" s="1">
        <v>24</v>
      </c>
      <c r="N831" s="6">
        <v>0.1173</v>
      </c>
      <c r="O831" s="1" t="s">
        <v>46</v>
      </c>
      <c r="P831" s="1" t="s">
        <v>47</v>
      </c>
      <c r="Q831" s="1">
        <v>15</v>
      </c>
      <c r="R831" s="1">
        <v>1</v>
      </c>
      <c r="S831" s="1" t="s">
        <v>31</v>
      </c>
      <c r="T831" s="1" t="s">
        <v>33</v>
      </c>
      <c r="U831" s="1">
        <v>0</v>
      </c>
      <c r="V831" s="1">
        <v>146417</v>
      </c>
      <c r="W831" s="7">
        <v>1527.98</v>
      </c>
      <c r="X831" s="1">
        <v>0.1</v>
      </c>
      <c r="Y831" s="4">
        <v>44317</v>
      </c>
      <c r="Z831" s="1" t="s">
        <v>38</v>
      </c>
      <c r="AA831" s="1" t="s">
        <v>33</v>
      </c>
      <c r="AB831" s="36" t="str" cm="1">
        <f t="array" ref="AB831">_xlfn.IFS(K831&gt;650,"LOW",K831&gt;=550,"MEDIUM",K831&lt;550,"HIGH")</f>
        <v>MEDIUM</v>
      </c>
    </row>
    <row r="832" spans="3:28" x14ac:dyDescent="0.3">
      <c r="C832" s="35" t="s">
        <v>2070</v>
      </c>
      <c r="D832" s="1" t="s">
        <v>101</v>
      </c>
      <c r="E832" s="1">
        <v>27</v>
      </c>
      <c r="F832" s="1" t="s">
        <v>44</v>
      </c>
      <c r="G832" s="1" t="s">
        <v>35</v>
      </c>
      <c r="H832" s="1" t="s">
        <v>28</v>
      </c>
      <c r="I832" s="1" t="s">
        <v>59</v>
      </c>
      <c r="J832" s="7">
        <v>119397</v>
      </c>
      <c r="K832" s="1">
        <v>625</v>
      </c>
      <c r="L832" s="7">
        <v>4838</v>
      </c>
      <c r="M832" s="1">
        <v>60</v>
      </c>
      <c r="N832" s="6">
        <v>0.19440000000000002</v>
      </c>
      <c r="O832" s="1" t="s">
        <v>41</v>
      </c>
      <c r="P832" s="1" t="s">
        <v>50</v>
      </c>
      <c r="Q832" s="1">
        <v>1</v>
      </c>
      <c r="R832" s="1">
        <v>2</v>
      </c>
      <c r="S832" s="1" t="s">
        <v>31</v>
      </c>
      <c r="T832" s="1" t="s">
        <v>33</v>
      </c>
      <c r="U832" s="1">
        <v>0</v>
      </c>
      <c r="V832" s="1">
        <v>26376</v>
      </c>
      <c r="W832" s="7">
        <v>851.52</v>
      </c>
      <c r="X832" s="1">
        <v>0.78</v>
      </c>
      <c r="Y832" s="4">
        <v>44120</v>
      </c>
      <c r="Z832" s="1" t="s">
        <v>32</v>
      </c>
      <c r="AA832" s="1" t="s">
        <v>33</v>
      </c>
      <c r="AB832" s="36" t="str" cm="1">
        <f t="array" ref="AB832">_xlfn.IFS(K832&gt;650,"LOW",K832&gt;=550,"MEDIUM",K832&lt;550,"HIGH")</f>
        <v>MEDIUM</v>
      </c>
    </row>
    <row r="833" spans="3:28" x14ac:dyDescent="0.3">
      <c r="C833" s="35" t="s">
        <v>2394</v>
      </c>
      <c r="D833" s="1" t="s">
        <v>424</v>
      </c>
      <c r="E833" s="1">
        <v>35</v>
      </c>
      <c r="F833" s="1" t="s">
        <v>44</v>
      </c>
      <c r="G833" s="1" t="s">
        <v>35</v>
      </c>
      <c r="H833" s="1" t="s">
        <v>28</v>
      </c>
      <c r="I833" s="1" t="s">
        <v>59</v>
      </c>
      <c r="J833" s="7">
        <v>111137</v>
      </c>
      <c r="K833" s="1">
        <v>625</v>
      </c>
      <c r="L833" s="7">
        <v>31763</v>
      </c>
      <c r="M833" s="1">
        <v>60</v>
      </c>
      <c r="N833" s="6">
        <v>6.2699999999999992E-2</v>
      </c>
      <c r="O833" s="1" t="s">
        <v>63</v>
      </c>
      <c r="P833" s="1" t="s">
        <v>30</v>
      </c>
      <c r="Q833" s="1">
        <v>5</v>
      </c>
      <c r="R833" s="1">
        <v>0</v>
      </c>
      <c r="S833" s="1" t="s">
        <v>31</v>
      </c>
      <c r="T833" s="1" t="s">
        <v>33</v>
      </c>
      <c r="U833" s="1">
        <v>2</v>
      </c>
      <c r="V833" s="1">
        <v>146851</v>
      </c>
      <c r="W833" s="7">
        <v>1591.22</v>
      </c>
      <c r="X833" s="1">
        <v>0.72</v>
      </c>
      <c r="Y833" s="4">
        <v>44621</v>
      </c>
      <c r="Z833" s="1" t="s">
        <v>38</v>
      </c>
      <c r="AA833" s="1" t="s">
        <v>33</v>
      </c>
      <c r="AB833" s="36" t="str" cm="1">
        <f t="array" ref="AB833">_xlfn.IFS(K833&gt;650,"LOW",K833&gt;=550,"MEDIUM",K833&lt;550,"HIGH")</f>
        <v>MEDIUM</v>
      </c>
    </row>
    <row r="834" spans="3:28" x14ac:dyDescent="0.3">
      <c r="C834" s="35" t="s">
        <v>3123</v>
      </c>
      <c r="D834" s="1" t="s">
        <v>1148</v>
      </c>
      <c r="E834" s="1">
        <v>31</v>
      </c>
      <c r="F834" s="1" t="s">
        <v>26</v>
      </c>
      <c r="G834" s="1" t="s">
        <v>56</v>
      </c>
      <c r="H834" s="1" t="s">
        <v>54</v>
      </c>
      <c r="I834" s="1" t="s">
        <v>29</v>
      </c>
      <c r="J834" s="7">
        <v>48840</v>
      </c>
      <c r="K834" s="1">
        <v>625</v>
      </c>
      <c r="L834" s="7">
        <v>31955</v>
      </c>
      <c r="M834" s="1">
        <v>60</v>
      </c>
      <c r="N834" s="6">
        <v>0.126</v>
      </c>
      <c r="O834" s="1" t="s">
        <v>63</v>
      </c>
      <c r="P834" s="1" t="s">
        <v>30</v>
      </c>
      <c r="Q834" s="1">
        <v>29</v>
      </c>
      <c r="R834" s="1">
        <v>3</v>
      </c>
      <c r="S834" s="1" t="s">
        <v>33</v>
      </c>
      <c r="T834" s="1" t="s">
        <v>33</v>
      </c>
      <c r="U834" s="1">
        <v>4</v>
      </c>
      <c r="V834" s="1">
        <v>185084</v>
      </c>
      <c r="W834" s="7">
        <v>410.88</v>
      </c>
      <c r="X834" s="1">
        <v>0.97</v>
      </c>
      <c r="Y834" s="4">
        <v>44507</v>
      </c>
      <c r="Z834" s="1" t="s">
        <v>32</v>
      </c>
      <c r="AA834" s="1" t="s">
        <v>33</v>
      </c>
      <c r="AB834" s="36" t="str" cm="1">
        <f t="array" ref="AB834">_xlfn.IFS(K834&gt;650,"LOW",K834&gt;=550,"MEDIUM",K834&lt;550,"HIGH")</f>
        <v>MEDIUM</v>
      </c>
    </row>
    <row r="835" spans="3:28" x14ac:dyDescent="0.3">
      <c r="C835" s="35" t="s">
        <v>3704</v>
      </c>
      <c r="D835" s="1" t="s">
        <v>1715</v>
      </c>
      <c r="E835" s="1">
        <v>44</v>
      </c>
      <c r="F835" s="1" t="s">
        <v>26</v>
      </c>
      <c r="G835" s="1" t="s">
        <v>27</v>
      </c>
      <c r="H835" s="1" t="s">
        <v>36</v>
      </c>
      <c r="I835" s="1" t="s">
        <v>40</v>
      </c>
      <c r="J835" s="7">
        <v>50936</v>
      </c>
      <c r="K835" s="1">
        <v>625</v>
      </c>
      <c r="L835" s="7">
        <v>32094</v>
      </c>
      <c r="M835" s="1">
        <v>48</v>
      </c>
      <c r="N835" s="6">
        <v>0.1072</v>
      </c>
      <c r="O835" s="1" t="s">
        <v>63</v>
      </c>
      <c r="P835" s="1" t="s">
        <v>30</v>
      </c>
      <c r="Q835" s="1">
        <v>1</v>
      </c>
      <c r="R835" s="1">
        <v>0</v>
      </c>
      <c r="S835" s="1" t="s">
        <v>31</v>
      </c>
      <c r="T835" s="1" t="s">
        <v>33</v>
      </c>
      <c r="U835" s="1">
        <v>1</v>
      </c>
      <c r="V835" s="1">
        <v>154761</v>
      </c>
      <c r="W835" s="7">
        <v>372.4</v>
      </c>
      <c r="X835" s="1">
        <v>0.98</v>
      </c>
      <c r="Y835" s="4">
        <v>45221</v>
      </c>
      <c r="Z835" s="1" t="s">
        <v>38</v>
      </c>
      <c r="AA835" s="1" t="s">
        <v>33</v>
      </c>
      <c r="AB835" s="36" t="str" cm="1">
        <f t="array" ref="AB835">_xlfn.IFS(K835&gt;650,"LOW",K835&gt;=550,"MEDIUM",K835&lt;550,"HIGH")</f>
        <v>MEDIUM</v>
      </c>
    </row>
    <row r="836" spans="3:28" x14ac:dyDescent="0.3">
      <c r="C836" s="35" t="s">
        <v>2378</v>
      </c>
      <c r="D836" s="1" t="s">
        <v>408</v>
      </c>
      <c r="E836" s="1">
        <v>49</v>
      </c>
      <c r="F836" s="1" t="s">
        <v>44</v>
      </c>
      <c r="G836" s="1" t="s">
        <v>35</v>
      </c>
      <c r="H836" s="1" t="s">
        <v>54</v>
      </c>
      <c r="I836" s="1" t="s">
        <v>59</v>
      </c>
      <c r="J836" s="7">
        <v>97225</v>
      </c>
      <c r="K836" s="1">
        <v>624</v>
      </c>
      <c r="L836" s="7">
        <v>42722</v>
      </c>
      <c r="M836" s="1">
        <v>48</v>
      </c>
      <c r="N836" s="6">
        <v>0.13869999999999999</v>
      </c>
      <c r="O836" s="1" t="s">
        <v>37</v>
      </c>
      <c r="P836" s="1" t="s">
        <v>50</v>
      </c>
      <c r="Q836" s="1">
        <v>6</v>
      </c>
      <c r="R836" s="1">
        <v>2</v>
      </c>
      <c r="S836" s="1" t="s">
        <v>33</v>
      </c>
      <c r="T836" s="1" t="s">
        <v>31</v>
      </c>
      <c r="U836" s="1">
        <v>2</v>
      </c>
      <c r="V836" s="1">
        <v>58724</v>
      </c>
      <c r="W836" s="7">
        <v>1645.56</v>
      </c>
      <c r="X836" s="1">
        <v>0.62</v>
      </c>
      <c r="Y836" s="4">
        <v>44880</v>
      </c>
      <c r="Z836" s="1" t="s">
        <v>32</v>
      </c>
      <c r="AA836" s="1" t="s">
        <v>31</v>
      </c>
      <c r="AB836" s="36" t="str" cm="1">
        <f t="array" ref="AB836">_xlfn.IFS(K836&gt;650,"LOW",K836&gt;=550,"MEDIUM",K836&lt;550,"HIGH")</f>
        <v>MEDIUM</v>
      </c>
    </row>
    <row r="837" spans="3:28" x14ac:dyDescent="0.3">
      <c r="C837" s="35" t="s">
        <v>2795</v>
      </c>
      <c r="D837" s="1" t="s">
        <v>823</v>
      </c>
      <c r="E837" s="1">
        <v>36</v>
      </c>
      <c r="F837" s="1" t="s">
        <v>26</v>
      </c>
      <c r="G837" s="1" t="s">
        <v>35</v>
      </c>
      <c r="H837" s="1" t="s">
        <v>28</v>
      </c>
      <c r="I837" s="1" t="s">
        <v>59</v>
      </c>
      <c r="J837" s="7">
        <v>138623</v>
      </c>
      <c r="K837" s="1">
        <v>624</v>
      </c>
      <c r="L837" s="7">
        <v>32499</v>
      </c>
      <c r="M837" s="1">
        <v>12</v>
      </c>
      <c r="N837" s="6">
        <v>0.17579999999999998</v>
      </c>
      <c r="O837" s="1" t="s">
        <v>37</v>
      </c>
      <c r="P837" s="1" t="s">
        <v>50</v>
      </c>
      <c r="Q837" s="1">
        <v>18</v>
      </c>
      <c r="R837" s="1">
        <v>2</v>
      </c>
      <c r="S837" s="1" t="s">
        <v>33</v>
      </c>
      <c r="T837" s="1" t="s">
        <v>33</v>
      </c>
      <c r="U837" s="1">
        <v>1</v>
      </c>
      <c r="V837" s="1">
        <v>172150</v>
      </c>
      <c r="W837" s="7">
        <v>470.9</v>
      </c>
      <c r="X837" s="1">
        <v>0.79</v>
      </c>
      <c r="Y837" s="4">
        <v>44649</v>
      </c>
      <c r="Z837" s="1" t="s">
        <v>32</v>
      </c>
      <c r="AA837" s="1" t="s">
        <v>33</v>
      </c>
      <c r="AB837" s="36" t="str" cm="1">
        <f t="array" ref="AB837">_xlfn.IFS(K837&gt;650,"LOW",K837&gt;=550,"MEDIUM",K837&lt;550,"HIGH")</f>
        <v>MEDIUM</v>
      </c>
    </row>
    <row r="838" spans="3:28" x14ac:dyDescent="0.3">
      <c r="C838" s="35" t="s">
        <v>2844</v>
      </c>
      <c r="D838" s="1" t="s">
        <v>872</v>
      </c>
      <c r="E838" s="1">
        <v>43</v>
      </c>
      <c r="F838" s="1" t="s">
        <v>44</v>
      </c>
      <c r="G838" s="1" t="s">
        <v>45</v>
      </c>
      <c r="H838" s="1" t="s">
        <v>28</v>
      </c>
      <c r="I838" s="1" t="s">
        <v>59</v>
      </c>
      <c r="J838" s="7">
        <v>54550</v>
      </c>
      <c r="K838" s="1">
        <v>624</v>
      </c>
      <c r="L838" s="7">
        <v>3340</v>
      </c>
      <c r="M838" s="1">
        <v>36</v>
      </c>
      <c r="N838" s="6">
        <v>0.18410000000000001</v>
      </c>
      <c r="O838" s="1" t="s">
        <v>41</v>
      </c>
      <c r="P838" s="1" t="s">
        <v>50</v>
      </c>
      <c r="Q838" s="1">
        <v>10</v>
      </c>
      <c r="R838" s="1">
        <v>1</v>
      </c>
      <c r="S838" s="1" t="s">
        <v>33</v>
      </c>
      <c r="T838" s="1" t="s">
        <v>31</v>
      </c>
      <c r="U838" s="1">
        <v>0</v>
      </c>
      <c r="V838" s="1">
        <v>21786</v>
      </c>
      <c r="W838" s="7">
        <v>1423.06</v>
      </c>
      <c r="X838" s="1">
        <v>0.56999999999999995</v>
      </c>
      <c r="Y838" s="4">
        <v>45308</v>
      </c>
      <c r="Z838" s="1" t="s">
        <v>32</v>
      </c>
      <c r="AA838" s="1" t="s">
        <v>33</v>
      </c>
      <c r="AB838" s="36" t="str" cm="1">
        <f t="array" ref="AB838">_xlfn.IFS(K838&gt;650,"LOW",K838&gt;=550,"MEDIUM",K838&lt;550,"HIGH")</f>
        <v>MEDIUM</v>
      </c>
    </row>
    <row r="839" spans="3:28" x14ac:dyDescent="0.3">
      <c r="C839" s="35" t="s">
        <v>3050</v>
      </c>
      <c r="D839" s="1" t="s">
        <v>1077</v>
      </c>
      <c r="E839" s="1">
        <v>56</v>
      </c>
      <c r="F839" s="1" t="s">
        <v>26</v>
      </c>
      <c r="G839" s="1" t="s">
        <v>56</v>
      </c>
      <c r="H839" s="1" t="s">
        <v>54</v>
      </c>
      <c r="I839" s="1" t="s">
        <v>59</v>
      </c>
      <c r="J839" s="7">
        <v>142872</v>
      </c>
      <c r="K839" s="1">
        <v>624</v>
      </c>
      <c r="L839" s="7">
        <v>47241</v>
      </c>
      <c r="M839" s="1">
        <v>60</v>
      </c>
      <c r="N839" s="6">
        <v>0.1101</v>
      </c>
      <c r="O839" s="1" t="s">
        <v>52</v>
      </c>
      <c r="P839" s="1" t="s">
        <v>50</v>
      </c>
      <c r="Q839" s="1">
        <v>25</v>
      </c>
      <c r="R839" s="1">
        <v>3</v>
      </c>
      <c r="S839" s="1" t="s">
        <v>31</v>
      </c>
      <c r="T839" s="1" t="s">
        <v>33</v>
      </c>
      <c r="U839" s="1">
        <v>1</v>
      </c>
      <c r="V839" s="1">
        <v>111541</v>
      </c>
      <c r="W839" s="7">
        <v>941.7</v>
      </c>
      <c r="X839" s="1">
        <v>0.14000000000000001</v>
      </c>
      <c r="Y839" s="4">
        <v>45173</v>
      </c>
      <c r="Z839" s="1" t="s">
        <v>38</v>
      </c>
      <c r="AA839" s="1" t="s">
        <v>33</v>
      </c>
      <c r="AB839" s="36" t="str" cm="1">
        <f t="array" ref="AB839">_xlfn.IFS(K839&gt;650,"LOW",K839&gt;=550,"MEDIUM",K839&lt;550,"HIGH")</f>
        <v>MEDIUM</v>
      </c>
    </row>
    <row r="840" spans="3:28" x14ac:dyDescent="0.3">
      <c r="C840" s="35" t="s">
        <v>3185</v>
      </c>
      <c r="D840" s="1" t="s">
        <v>1209</v>
      </c>
      <c r="E840" s="1">
        <v>39</v>
      </c>
      <c r="F840" s="1" t="s">
        <v>44</v>
      </c>
      <c r="G840" s="1" t="s">
        <v>35</v>
      </c>
      <c r="H840" s="1" t="s">
        <v>36</v>
      </c>
      <c r="I840" s="1" t="s">
        <v>29</v>
      </c>
      <c r="J840" s="7">
        <v>49592</v>
      </c>
      <c r="K840" s="1">
        <v>624</v>
      </c>
      <c r="L840" s="7">
        <v>25243</v>
      </c>
      <c r="M840" s="1">
        <v>12</v>
      </c>
      <c r="N840" s="6">
        <v>5.2900000000000003E-2</v>
      </c>
      <c r="O840" s="1" t="s">
        <v>46</v>
      </c>
      <c r="P840" s="1" t="s">
        <v>30</v>
      </c>
      <c r="Q840" s="1">
        <v>11</v>
      </c>
      <c r="R840" s="1">
        <v>3</v>
      </c>
      <c r="S840" s="1" t="s">
        <v>31</v>
      </c>
      <c r="T840" s="1" t="s">
        <v>33</v>
      </c>
      <c r="U840" s="1">
        <v>4</v>
      </c>
      <c r="V840" s="1">
        <v>110375</v>
      </c>
      <c r="W840" s="7">
        <v>1510.77</v>
      </c>
      <c r="X840" s="1">
        <v>0.66</v>
      </c>
      <c r="Y840" s="4">
        <v>45178</v>
      </c>
      <c r="Z840" s="1" t="s">
        <v>38</v>
      </c>
      <c r="AA840" s="1" t="s">
        <v>33</v>
      </c>
      <c r="AB840" s="36" t="str" cm="1">
        <f t="array" ref="AB840">_xlfn.IFS(K840&gt;650,"LOW",K840&gt;=550,"MEDIUM",K840&lt;550,"HIGH")</f>
        <v>MEDIUM</v>
      </c>
    </row>
    <row r="841" spans="3:28" x14ac:dyDescent="0.3">
      <c r="C841" s="35" t="s">
        <v>3406</v>
      </c>
      <c r="D841" s="1" t="s">
        <v>1426</v>
      </c>
      <c r="E841" s="1">
        <v>34</v>
      </c>
      <c r="F841" s="1" t="s">
        <v>26</v>
      </c>
      <c r="G841" s="1" t="s">
        <v>45</v>
      </c>
      <c r="H841" s="1" t="s">
        <v>54</v>
      </c>
      <c r="I841" s="1" t="s">
        <v>40</v>
      </c>
      <c r="J841" s="7">
        <v>110518</v>
      </c>
      <c r="K841" s="1">
        <v>624</v>
      </c>
      <c r="L841" s="7">
        <v>38081</v>
      </c>
      <c r="M841" s="1">
        <v>36</v>
      </c>
      <c r="N841" s="6">
        <v>0.1734</v>
      </c>
      <c r="O841" s="1" t="s">
        <v>41</v>
      </c>
      <c r="P841" s="1" t="s">
        <v>30</v>
      </c>
      <c r="Q841" s="1">
        <v>9</v>
      </c>
      <c r="R841" s="1">
        <v>3</v>
      </c>
      <c r="S841" s="1" t="s">
        <v>31</v>
      </c>
      <c r="T841" s="1" t="s">
        <v>33</v>
      </c>
      <c r="U841" s="1">
        <v>3</v>
      </c>
      <c r="V841" s="1">
        <v>197658</v>
      </c>
      <c r="W841" s="7">
        <v>1868.38</v>
      </c>
      <c r="X841" s="1">
        <v>0.97</v>
      </c>
      <c r="Y841" s="4">
        <v>45267</v>
      </c>
      <c r="Z841" s="1" t="s">
        <v>32</v>
      </c>
      <c r="AA841" s="1" t="s">
        <v>33</v>
      </c>
      <c r="AB841" s="36" t="str" cm="1">
        <f t="array" ref="AB841">_xlfn.IFS(K841&gt;650,"LOW",K841&gt;=550,"MEDIUM",K841&lt;550,"HIGH")</f>
        <v>MEDIUM</v>
      </c>
    </row>
    <row r="842" spans="3:28" x14ac:dyDescent="0.3">
      <c r="C842" s="35" t="s">
        <v>2069</v>
      </c>
      <c r="D842" s="1" t="s">
        <v>100</v>
      </c>
      <c r="E842" s="1">
        <v>48</v>
      </c>
      <c r="F842" s="1" t="s">
        <v>26</v>
      </c>
      <c r="G842" s="1" t="s">
        <v>56</v>
      </c>
      <c r="H842" s="1" t="s">
        <v>36</v>
      </c>
      <c r="I842" s="1" t="s">
        <v>40</v>
      </c>
      <c r="J842" s="7">
        <v>123489</v>
      </c>
      <c r="K842" s="1">
        <v>623</v>
      </c>
      <c r="L842" s="7">
        <v>7351</v>
      </c>
      <c r="M842" s="1">
        <v>48</v>
      </c>
      <c r="N842" s="6">
        <v>6.9599999999999995E-2</v>
      </c>
      <c r="O842" s="1" t="s">
        <v>52</v>
      </c>
      <c r="P842" s="1" t="s">
        <v>50</v>
      </c>
      <c r="Q842" s="1">
        <v>17</v>
      </c>
      <c r="R842" s="1">
        <v>1</v>
      </c>
      <c r="S842" s="1" t="s">
        <v>31</v>
      </c>
      <c r="T842" s="1" t="s">
        <v>33</v>
      </c>
      <c r="U842" s="1">
        <v>2</v>
      </c>
      <c r="V842" s="1">
        <v>14560</v>
      </c>
      <c r="W842" s="7">
        <v>1061.3399999999999</v>
      </c>
      <c r="X842" s="1">
        <v>0.99</v>
      </c>
      <c r="Y842" s="4">
        <v>44418</v>
      </c>
      <c r="Z842" s="1" t="s">
        <v>32</v>
      </c>
      <c r="AA842" s="1" t="s">
        <v>33</v>
      </c>
      <c r="AB842" s="36" t="str" cm="1">
        <f t="array" ref="AB842">_xlfn.IFS(K842&gt;650,"LOW",K842&gt;=550,"MEDIUM",K842&lt;550,"HIGH")</f>
        <v>MEDIUM</v>
      </c>
    </row>
    <row r="843" spans="3:28" x14ac:dyDescent="0.3">
      <c r="C843" s="35" t="s">
        <v>2201</v>
      </c>
      <c r="D843" s="1" t="s">
        <v>232</v>
      </c>
      <c r="E843" s="1">
        <v>62</v>
      </c>
      <c r="F843" s="1" t="s">
        <v>26</v>
      </c>
      <c r="G843" s="1" t="s">
        <v>35</v>
      </c>
      <c r="H843" s="1" t="s">
        <v>28</v>
      </c>
      <c r="I843" s="1" t="s">
        <v>57</v>
      </c>
      <c r="J843" s="7">
        <v>56929</v>
      </c>
      <c r="K843" s="1">
        <v>623</v>
      </c>
      <c r="L843" s="7">
        <v>46971</v>
      </c>
      <c r="M843" s="1">
        <v>60</v>
      </c>
      <c r="N843" s="6">
        <v>6.6600000000000006E-2</v>
      </c>
      <c r="O843" s="1" t="s">
        <v>63</v>
      </c>
      <c r="P843" s="1" t="s">
        <v>47</v>
      </c>
      <c r="Q843" s="1">
        <v>28</v>
      </c>
      <c r="R843" s="1">
        <v>4</v>
      </c>
      <c r="S843" s="1" t="s">
        <v>33</v>
      </c>
      <c r="T843" s="1" t="s">
        <v>31</v>
      </c>
      <c r="U843" s="1">
        <v>1</v>
      </c>
      <c r="V843" s="1">
        <v>1755</v>
      </c>
      <c r="W843" s="7">
        <v>171.48</v>
      </c>
      <c r="X843" s="1">
        <v>0.93</v>
      </c>
      <c r="Y843" s="4">
        <v>45447</v>
      </c>
      <c r="Z843" s="1" t="s">
        <v>38</v>
      </c>
      <c r="AA843" s="1" t="s">
        <v>33</v>
      </c>
      <c r="AB843" s="36" t="str" cm="1">
        <f t="array" ref="AB843">_xlfn.IFS(K843&gt;650,"LOW",K843&gt;=550,"MEDIUM",K843&lt;550,"HIGH")</f>
        <v>MEDIUM</v>
      </c>
    </row>
    <row r="844" spans="3:28" x14ac:dyDescent="0.3">
      <c r="C844" s="35" t="s">
        <v>2646</v>
      </c>
      <c r="D844" s="1" t="s">
        <v>676</v>
      </c>
      <c r="E844" s="1">
        <v>56</v>
      </c>
      <c r="F844" s="1" t="s">
        <v>26</v>
      </c>
      <c r="G844" s="1" t="s">
        <v>27</v>
      </c>
      <c r="H844" s="1" t="s">
        <v>54</v>
      </c>
      <c r="I844" s="1" t="s">
        <v>57</v>
      </c>
      <c r="J844" s="7">
        <v>27265</v>
      </c>
      <c r="K844" s="1">
        <v>623</v>
      </c>
      <c r="L844" s="7">
        <v>21719</v>
      </c>
      <c r="M844" s="1">
        <v>12</v>
      </c>
      <c r="N844" s="6">
        <v>6.7299999999999999E-2</v>
      </c>
      <c r="O844" s="1" t="s">
        <v>46</v>
      </c>
      <c r="P844" s="1" t="s">
        <v>47</v>
      </c>
      <c r="Q844" s="1">
        <v>27</v>
      </c>
      <c r="R844" s="1">
        <v>4</v>
      </c>
      <c r="S844" s="1" t="s">
        <v>33</v>
      </c>
      <c r="T844" s="1" t="s">
        <v>33</v>
      </c>
      <c r="U844" s="1">
        <v>4</v>
      </c>
      <c r="V844" s="1">
        <v>156150</v>
      </c>
      <c r="W844" s="7">
        <v>819.56</v>
      </c>
      <c r="X844" s="1">
        <v>0.56000000000000005</v>
      </c>
      <c r="Y844" s="4">
        <v>44361</v>
      </c>
      <c r="Z844" s="1" t="s">
        <v>32</v>
      </c>
      <c r="AA844" s="1" t="s">
        <v>33</v>
      </c>
      <c r="AB844" s="36" t="str" cm="1">
        <f t="array" ref="AB844">_xlfn.IFS(K844&gt;650,"LOW",K844&gt;=550,"MEDIUM",K844&lt;550,"HIGH")</f>
        <v>MEDIUM</v>
      </c>
    </row>
    <row r="845" spans="3:28" x14ac:dyDescent="0.3">
      <c r="C845" s="35" t="s">
        <v>3680</v>
      </c>
      <c r="D845" s="1" t="s">
        <v>1692</v>
      </c>
      <c r="E845" s="1">
        <v>21</v>
      </c>
      <c r="F845" s="1" t="s">
        <v>26</v>
      </c>
      <c r="G845" s="1" t="s">
        <v>56</v>
      </c>
      <c r="H845" s="1" t="s">
        <v>28</v>
      </c>
      <c r="I845" s="1" t="s">
        <v>40</v>
      </c>
      <c r="J845" s="7">
        <v>84340</v>
      </c>
      <c r="K845" s="1">
        <v>623</v>
      </c>
      <c r="L845" s="7">
        <v>4275</v>
      </c>
      <c r="M845" s="1">
        <v>36</v>
      </c>
      <c r="N845" s="6">
        <v>8.1199999999999994E-2</v>
      </c>
      <c r="O845" s="1" t="s">
        <v>46</v>
      </c>
      <c r="P845" s="1" t="s">
        <v>47</v>
      </c>
      <c r="Q845" s="1">
        <v>17</v>
      </c>
      <c r="R845" s="1">
        <v>2</v>
      </c>
      <c r="S845" s="1" t="s">
        <v>31</v>
      </c>
      <c r="T845" s="1" t="s">
        <v>31</v>
      </c>
      <c r="U845" s="1">
        <v>1</v>
      </c>
      <c r="V845" s="1">
        <v>7075</v>
      </c>
      <c r="W845" s="7">
        <v>1391.92</v>
      </c>
      <c r="X845" s="1">
        <v>0.84</v>
      </c>
      <c r="Y845" s="4">
        <v>45375</v>
      </c>
      <c r="Z845" s="1" t="s">
        <v>32</v>
      </c>
      <c r="AA845" s="1" t="s">
        <v>33</v>
      </c>
      <c r="AB845" s="36" t="str" cm="1">
        <f t="array" ref="AB845">_xlfn.IFS(K845&gt;650,"LOW",K845&gt;=550,"MEDIUM",K845&lt;550,"HIGH")</f>
        <v>MEDIUM</v>
      </c>
    </row>
    <row r="846" spans="3:28" x14ac:dyDescent="0.3">
      <c r="C846" s="35" t="s">
        <v>3742</v>
      </c>
      <c r="D846" s="1" t="s">
        <v>1750</v>
      </c>
      <c r="E846" s="1">
        <v>61</v>
      </c>
      <c r="F846" s="1" t="s">
        <v>44</v>
      </c>
      <c r="G846" s="1" t="s">
        <v>35</v>
      </c>
      <c r="H846" s="1" t="s">
        <v>36</v>
      </c>
      <c r="I846" s="1" t="s">
        <v>59</v>
      </c>
      <c r="J846" s="7">
        <v>33306</v>
      </c>
      <c r="K846" s="1">
        <v>623</v>
      </c>
      <c r="L846" s="7">
        <v>4770</v>
      </c>
      <c r="M846" s="1">
        <v>48</v>
      </c>
      <c r="N846" s="6">
        <v>0.17530000000000001</v>
      </c>
      <c r="O846" s="1" t="s">
        <v>63</v>
      </c>
      <c r="P846" s="1" t="s">
        <v>47</v>
      </c>
      <c r="Q846" s="1">
        <v>6</v>
      </c>
      <c r="R846" s="1">
        <v>0</v>
      </c>
      <c r="S846" s="1" t="s">
        <v>31</v>
      </c>
      <c r="T846" s="1" t="s">
        <v>31</v>
      </c>
      <c r="U846" s="1">
        <v>1</v>
      </c>
      <c r="V846" s="1">
        <v>174799</v>
      </c>
      <c r="W846" s="7">
        <v>1454.49</v>
      </c>
      <c r="X846" s="1">
        <v>0.87</v>
      </c>
      <c r="Y846" s="4">
        <v>44489</v>
      </c>
      <c r="Z846" s="1" t="s">
        <v>38</v>
      </c>
      <c r="AA846" s="1" t="s">
        <v>33</v>
      </c>
      <c r="AB846" s="36" t="str" cm="1">
        <f t="array" ref="AB846">_xlfn.IFS(K846&gt;650,"LOW",K846&gt;=550,"MEDIUM",K846&lt;550,"HIGH")</f>
        <v>MEDIUM</v>
      </c>
    </row>
    <row r="847" spans="3:28" x14ac:dyDescent="0.3">
      <c r="C847" s="35" t="s">
        <v>2179</v>
      </c>
      <c r="D847" s="1" t="s">
        <v>210</v>
      </c>
      <c r="E847" s="1">
        <v>48</v>
      </c>
      <c r="F847" s="1" t="s">
        <v>44</v>
      </c>
      <c r="G847" s="1" t="s">
        <v>27</v>
      </c>
      <c r="H847" s="1" t="s">
        <v>36</v>
      </c>
      <c r="I847" s="1" t="s">
        <v>57</v>
      </c>
      <c r="J847" s="7">
        <v>53785</v>
      </c>
      <c r="K847" s="1">
        <v>622</v>
      </c>
      <c r="L847" s="7">
        <v>8631</v>
      </c>
      <c r="M847" s="1">
        <v>48</v>
      </c>
      <c r="N847" s="6">
        <v>6.0999999999999999E-2</v>
      </c>
      <c r="O847" s="1" t="s">
        <v>63</v>
      </c>
      <c r="P847" s="1" t="s">
        <v>50</v>
      </c>
      <c r="Q847" s="1">
        <v>2</v>
      </c>
      <c r="R847" s="1">
        <v>3</v>
      </c>
      <c r="S847" s="1" t="s">
        <v>33</v>
      </c>
      <c r="T847" s="1" t="s">
        <v>31</v>
      </c>
      <c r="U847" s="1">
        <v>0</v>
      </c>
      <c r="V847" s="1">
        <v>19870</v>
      </c>
      <c r="W847" s="7">
        <v>1922.98</v>
      </c>
      <c r="X847" s="1">
        <v>0.66</v>
      </c>
      <c r="Y847" s="4">
        <v>45102</v>
      </c>
      <c r="Z847" s="1" t="s">
        <v>32</v>
      </c>
      <c r="AA847" s="1" t="s">
        <v>31</v>
      </c>
      <c r="AB847" s="36" t="str" cm="1">
        <f t="array" ref="AB847">_xlfn.IFS(K847&gt;650,"LOW",K847&gt;=550,"MEDIUM",K847&lt;550,"HIGH")</f>
        <v>MEDIUM</v>
      </c>
    </row>
    <row r="848" spans="3:28" x14ac:dyDescent="0.3">
      <c r="C848" s="35" t="s">
        <v>2763</v>
      </c>
      <c r="D848" s="1" t="s">
        <v>792</v>
      </c>
      <c r="E848" s="1">
        <v>58</v>
      </c>
      <c r="F848" s="1" t="s">
        <v>44</v>
      </c>
      <c r="G848" s="1" t="s">
        <v>27</v>
      </c>
      <c r="H848" s="1" t="s">
        <v>54</v>
      </c>
      <c r="I848" s="1" t="s">
        <v>59</v>
      </c>
      <c r="J848" s="7">
        <v>29490</v>
      </c>
      <c r="K848" s="1">
        <v>622</v>
      </c>
      <c r="L848" s="7">
        <v>34651</v>
      </c>
      <c r="M848" s="1">
        <v>12</v>
      </c>
      <c r="N848" s="6">
        <v>0.13689999999999999</v>
      </c>
      <c r="O848" s="1" t="s">
        <v>46</v>
      </c>
      <c r="P848" s="1" t="s">
        <v>47</v>
      </c>
      <c r="Q848" s="1">
        <v>23</v>
      </c>
      <c r="R848" s="1">
        <v>4</v>
      </c>
      <c r="S848" s="1" t="s">
        <v>31</v>
      </c>
      <c r="T848" s="1" t="s">
        <v>31</v>
      </c>
      <c r="U848" s="1">
        <v>3</v>
      </c>
      <c r="V848" s="1">
        <v>132250</v>
      </c>
      <c r="W848" s="7">
        <v>917.66</v>
      </c>
      <c r="X848" s="1">
        <v>0.76</v>
      </c>
      <c r="Y848" s="4">
        <v>44505</v>
      </c>
      <c r="Z848" s="1" t="s">
        <v>38</v>
      </c>
      <c r="AA848" s="1" t="s">
        <v>33</v>
      </c>
      <c r="AB848" s="36" t="str" cm="1">
        <f t="array" ref="AB848">_xlfn.IFS(K848&gt;650,"LOW",K848&gt;=550,"MEDIUM",K848&lt;550,"HIGH")</f>
        <v>MEDIUM</v>
      </c>
    </row>
    <row r="849" spans="3:28" x14ac:dyDescent="0.3">
      <c r="C849" s="35" t="s">
        <v>3930</v>
      </c>
      <c r="D849" s="1" t="s">
        <v>1934</v>
      </c>
      <c r="E849" s="1">
        <v>22</v>
      </c>
      <c r="F849" s="1" t="s">
        <v>26</v>
      </c>
      <c r="G849" s="1" t="s">
        <v>45</v>
      </c>
      <c r="H849" s="1" t="s">
        <v>61</v>
      </c>
      <c r="I849" s="1" t="s">
        <v>59</v>
      </c>
      <c r="J849" s="7">
        <v>93889</v>
      </c>
      <c r="K849" s="1">
        <v>622</v>
      </c>
      <c r="L849" s="7">
        <v>26322</v>
      </c>
      <c r="M849" s="1">
        <v>48</v>
      </c>
      <c r="N849" s="6">
        <v>5.9400000000000001E-2</v>
      </c>
      <c r="O849" s="1" t="s">
        <v>37</v>
      </c>
      <c r="P849" s="1" t="s">
        <v>47</v>
      </c>
      <c r="Q849" s="1">
        <v>11</v>
      </c>
      <c r="R849" s="1">
        <v>4</v>
      </c>
      <c r="S849" s="1" t="s">
        <v>31</v>
      </c>
      <c r="T849" s="1" t="s">
        <v>31</v>
      </c>
      <c r="U849" s="1">
        <v>4</v>
      </c>
      <c r="V849" s="1">
        <v>70935</v>
      </c>
      <c r="W849" s="7">
        <v>371.7</v>
      </c>
      <c r="X849" s="1">
        <v>0.62</v>
      </c>
      <c r="Y849" s="4">
        <v>44802</v>
      </c>
      <c r="Z849" s="1" t="s">
        <v>32</v>
      </c>
      <c r="AA849" s="1" t="s">
        <v>33</v>
      </c>
      <c r="AB849" s="36" t="str" cm="1">
        <f t="array" ref="AB849">_xlfn.IFS(K849&gt;650,"LOW",K849&gt;=550,"MEDIUM",K849&lt;550,"HIGH")</f>
        <v>MEDIUM</v>
      </c>
    </row>
    <row r="850" spans="3:28" x14ac:dyDescent="0.3">
      <c r="C850" s="35" t="s">
        <v>2942</v>
      </c>
      <c r="D850" s="1" t="s">
        <v>970</v>
      </c>
      <c r="E850" s="1">
        <v>31</v>
      </c>
      <c r="F850" s="1" t="s">
        <v>44</v>
      </c>
      <c r="G850" s="1" t="s">
        <v>27</v>
      </c>
      <c r="H850" s="1" t="s">
        <v>36</v>
      </c>
      <c r="I850" s="1" t="s">
        <v>29</v>
      </c>
      <c r="J850" s="7">
        <v>146896</v>
      </c>
      <c r="K850" s="1">
        <v>621</v>
      </c>
      <c r="L850" s="7">
        <v>32457</v>
      </c>
      <c r="M850" s="1">
        <v>48</v>
      </c>
      <c r="N850" s="6">
        <v>0.18329999999999999</v>
      </c>
      <c r="O850" s="1" t="s">
        <v>41</v>
      </c>
      <c r="P850" s="1" t="s">
        <v>50</v>
      </c>
      <c r="Q850" s="1">
        <v>9</v>
      </c>
      <c r="R850" s="1">
        <v>2</v>
      </c>
      <c r="S850" s="1" t="s">
        <v>33</v>
      </c>
      <c r="T850" s="1" t="s">
        <v>31</v>
      </c>
      <c r="U850" s="1">
        <v>4</v>
      </c>
      <c r="V850" s="1">
        <v>101351</v>
      </c>
      <c r="W850" s="7">
        <v>1011.32</v>
      </c>
      <c r="X850" s="1">
        <v>0.64</v>
      </c>
      <c r="Y850" s="4">
        <v>44999</v>
      </c>
      <c r="Z850" s="1" t="s">
        <v>38</v>
      </c>
      <c r="AA850" s="1" t="s">
        <v>33</v>
      </c>
      <c r="AB850" s="36" t="str" cm="1">
        <f t="array" ref="AB850">_xlfn.IFS(K850&gt;650,"LOW",K850&gt;=550,"MEDIUM",K850&lt;550,"HIGH")</f>
        <v>MEDIUM</v>
      </c>
    </row>
    <row r="851" spans="3:28" x14ac:dyDescent="0.3">
      <c r="C851" s="35" t="s">
        <v>3871</v>
      </c>
      <c r="D851" s="1" t="s">
        <v>1877</v>
      </c>
      <c r="E851" s="1">
        <v>34</v>
      </c>
      <c r="F851" s="1" t="s">
        <v>44</v>
      </c>
      <c r="G851" s="1" t="s">
        <v>56</v>
      </c>
      <c r="H851" s="1" t="s">
        <v>28</v>
      </c>
      <c r="I851" s="1" t="s">
        <v>59</v>
      </c>
      <c r="J851" s="7">
        <v>105929</v>
      </c>
      <c r="K851" s="1">
        <v>621</v>
      </c>
      <c r="L851" s="7">
        <v>25281</v>
      </c>
      <c r="M851" s="1">
        <v>48</v>
      </c>
      <c r="N851" s="6">
        <v>0.115</v>
      </c>
      <c r="O851" s="1" t="s">
        <v>46</v>
      </c>
      <c r="P851" s="1" t="s">
        <v>30</v>
      </c>
      <c r="Q851" s="1">
        <v>25</v>
      </c>
      <c r="R851" s="1">
        <v>2</v>
      </c>
      <c r="S851" s="1" t="s">
        <v>33</v>
      </c>
      <c r="T851" s="1" t="s">
        <v>31</v>
      </c>
      <c r="U851" s="1">
        <v>4</v>
      </c>
      <c r="V851" s="1">
        <v>195621</v>
      </c>
      <c r="W851" s="7">
        <v>334.38</v>
      </c>
      <c r="X851" s="1">
        <v>0.24</v>
      </c>
      <c r="Y851" s="4">
        <v>44483</v>
      </c>
      <c r="Z851" s="1" t="s">
        <v>38</v>
      </c>
      <c r="AA851" s="1" t="s">
        <v>33</v>
      </c>
      <c r="AB851" s="36" t="str" cm="1">
        <f t="array" ref="AB851">_xlfn.IFS(K851&gt;650,"LOW",K851&gt;=550,"MEDIUM",K851&lt;550,"HIGH")</f>
        <v>MEDIUM</v>
      </c>
    </row>
    <row r="852" spans="3:28" x14ac:dyDescent="0.3">
      <c r="C852" s="35" t="s">
        <v>2147</v>
      </c>
      <c r="D852" s="1" t="s">
        <v>178</v>
      </c>
      <c r="E852" s="1">
        <v>25</v>
      </c>
      <c r="F852" s="1" t="s">
        <v>26</v>
      </c>
      <c r="G852" s="1" t="s">
        <v>56</v>
      </c>
      <c r="H852" s="1" t="s">
        <v>28</v>
      </c>
      <c r="I852" s="1" t="s">
        <v>59</v>
      </c>
      <c r="J852" s="7">
        <v>104627</v>
      </c>
      <c r="K852" s="1">
        <v>620</v>
      </c>
      <c r="L852" s="7">
        <v>36814</v>
      </c>
      <c r="M852" s="1">
        <v>12</v>
      </c>
      <c r="N852" s="6">
        <v>5.0499999999999996E-2</v>
      </c>
      <c r="O852" s="1" t="s">
        <v>37</v>
      </c>
      <c r="P852" s="1" t="s">
        <v>30</v>
      </c>
      <c r="Q852" s="1">
        <v>2</v>
      </c>
      <c r="R852" s="1">
        <v>1</v>
      </c>
      <c r="S852" s="1" t="s">
        <v>31</v>
      </c>
      <c r="T852" s="1" t="s">
        <v>33</v>
      </c>
      <c r="U852" s="1">
        <v>3</v>
      </c>
      <c r="V852" s="1">
        <v>160120</v>
      </c>
      <c r="W852" s="7">
        <v>1515.36</v>
      </c>
      <c r="X852" s="1">
        <v>0.45</v>
      </c>
      <c r="Y852" s="4">
        <v>44226</v>
      </c>
      <c r="Z852" s="1" t="s">
        <v>32</v>
      </c>
      <c r="AA852" s="1" t="s">
        <v>33</v>
      </c>
      <c r="AB852" s="36" t="str" cm="1">
        <f t="array" ref="AB852">_xlfn.IFS(K852&gt;650,"LOW",K852&gt;=550,"MEDIUM",K852&lt;550,"HIGH")</f>
        <v>MEDIUM</v>
      </c>
    </row>
    <row r="853" spans="3:28" x14ac:dyDescent="0.3">
      <c r="C853" s="35" t="s">
        <v>2218</v>
      </c>
      <c r="D853" s="1" t="s">
        <v>249</v>
      </c>
      <c r="E853" s="1">
        <v>43</v>
      </c>
      <c r="F853" s="1" t="s">
        <v>44</v>
      </c>
      <c r="G853" s="1" t="s">
        <v>27</v>
      </c>
      <c r="H853" s="1" t="s">
        <v>54</v>
      </c>
      <c r="I853" s="1" t="s">
        <v>57</v>
      </c>
      <c r="J853" s="7">
        <v>76805</v>
      </c>
      <c r="K853" s="1">
        <v>620</v>
      </c>
      <c r="L853" s="7">
        <v>7050</v>
      </c>
      <c r="M853" s="1">
        <v>24</v>
      </c>
      <c r="N853" s="6">
        <v>5.3499999999999999E-2</v>
      </c>
      <c r="O853" s="1" t="s">
        <v>63</v>
      </c>
      <c r="P853" s="1" t="s">
        <v>50</v>
      </c>
      <c r="Q853" s="1">
        <v>3</v>
      </c>
      <c r="R853" s="1">
        <v>3</v>
      </c>
      <c r="S853" s="1" t="s">
        <v>31</v>
      </c>
      <c r="T853" s="1" t="s">
        <v>33</v>
      </c>
      <c r="U853" s="1">
        <v>4</v>
      </c>
      <c r="V853" s="1">
        <v>144086</v>
      </c>
      <c r="W853" s="7">
        <v>601.74</v>
      </c>
      <c r="X853" s="1">
        <v>0.92</v>
      </c>
      <c r="Y853" s="4">
        <v>45639</v>
      </c>
      <c r="Z853" s="1" t="s">
        <v>32</v>
      </c>
      <c r="AA853" s="1" t="s">
        <v>33</v>
      </c>
      <c r="AB853" s="36" t="str" cm="1">
        <f t="array" ref="AB853">_xlfn.IFS(K853&gt;650,"LOW",K853&gt;=550,"MEDIUM",K853&lt;550,"HIGH")</f>
        <v>MEDIUM</v>
      </c>
    </row>
    <row r="854" spans="3:28" x14ac:dyDescent="0.3">
      <c r="C854" s="35" t="s">
        <v>2554</v>
      </c>
      <c r="D854" s="1" t="s">
        <v>584</v>
      </c>
      <c r="E854" s="1">
        <v>39</v>
      </c>
      <c r="F854" s="1" t="s">
        <v>44</v>
      </c>
      <c r="G854" s="1" t="s">
        <v>27</v>
      </c>
      <c r="H854" s="1" t="s">
        <v>36</v>
      </c>
      <c r="I854" s="1" t="s">
        <v>59</v>
      </c>
      <c r="J854" s="7">
        <v>41602</v>
      </c>
      <c r="K854" s="1">
        <v>620</v>
      </c>
      <c r="L854" s="7">
        <v>15669</v>
      </c>
      <c r="M854" s="1">
        <v>60</v>
      </c>
      <c r="N854" s="6">
        <v>0.1351</v>
      </c>
      <c r="O854" s="1" t="s">
        <v>52</v>
      </c>
      <c r="P854" s="1" t="s">
        <v>47</v>
      </c>
      <c r="Q854" s="1">
        <v>26</v>
      </c>
      <c r="R854" s="1">
        <v>2</v>
      </c>
      <c r="S854" s="1" t="s">
        <v>33</v>
      </c>
      <c r="T854" s="1" t="s">
        <v>33</v>
      </c>
      <c r="U854" s="1">
        <v>2</v>
      </c>
      <c r="V854" s="1">
        <v>132</v>
      </c>
      <c r="W854" s="7">
        <v>1688.88</v>
      </c>
      <c r="X854" s="1">
        <v>0.99</v>
      </c>
      <c r="Y854" s="4">
        <v>45499</v>
      </c>
      <c r="Z854" s="1" t="s">
        <v>32</v>
      </c>
      <c r="AA854" s="1" t="s">
        <v>33</v>
      </c>
      <c r="AB854" s="36" t="str" cm="1">
        <f t="array" ref="AB854">_xlfn.IFS(K854&gt;650,"LOW",K854&gt;=550,"MEDIUM",K854&lt;550,"HIGH")</f>
        <v>MEDIUM</v>
      </c>
    </row>
    <row r="855" spans="3:28" x14ac:dyDescent="0.3">
      <c r="C855" s="35" t="s">
        <v>2645</v>
      </c>
      <c r="D855" s="1" t="s">
        <v>675</v>
      </c>
      <c r="E855" s="1">
        <v>57</v>
      </c>
      <c r="F855" s="1" t="s">
        <v>44</v>
      </c>
      <c r="G855" s="1" t="s">
        <v>45</v>
      </c>
      <c r="H855" s="1" t="s">
        <v>61</v>
      </c>
      <c r="I855" s="1" t="s">
        <v>59</v>
      </c>
      <c r="J855" s="7">
        <v>49483</v>
      </c>
      <c r="K855" s="1">
        <v>620</v>
      </c>
      <c r="L855" s="7">
        <v>13294</v>
      </c>
      <c r="M855" s="1">
        <v>36</v>
      </c>
      <c r="N855" s="6">
        <v>0.16870000000000002</v>
      </c>
      <c r="O855" s="1" t="s">
        <v>5</v>
      </c>
      <c r="P855" s="1" t="s">
        <v>30</v>
      </c>
      <c r="Q855" s="1">
        <v>1</v>
      </c>
      <c r="R855" s="1">
        <v>2</v>
      </c>
      <c r="S855" s="1" t="s">
        <v>33</v>
      </c>
      <c r="T855" s="1" t="s">
        <v>31</v>
      </c>
      <c r="U855" s="1">
        <v>0</v>
      </c>
      <c r="V855" s="1">
        <v>179065</v>
      </c>
      <c r="W855" s="7">
        <v>1814.5</v>
      </c>
      <c r="X855" s="1">
        <v>0.62</v>
      </c>
      <c r="Y855" s="4">
        <v>45355</v>
      </c>
      <c r="Z855" s="1" t="s">
        <v>38</v>
      </c>
      <c r="AA855" s="1" t="s">
        <v>33</v>
      </c>
      <c r="AB855" s="36" t="str" cm="1">
        <f t="array" ref="AB855">_xlfn.IFS(K855&gt;650,"LOW",K855&gt;=550,"MEDIUM",K855&lt;550,"HIGH")</f>
        <v>MEDIUM</v>
      </c>
    </row>
    <row r="856" spans="3:28" x14ac:dyDescent="0.3">
      <c r="C856" s="35" t="s">
        <v>2291</v>
      </c>
      <c r="D856" s="1" t="s">
        <v>322</v>
      </c>
      <c r="E856" s="1">
        <v>28</v>
      </c>
      <c r="F856" s="1" t="s">
        <v>44</v>
      </c>
      <c r="G856" s="1" t="s">
        <v>35</v>
      </c>
      <c r="H856" s="1" t="s">
        <v>54</v>
      </c>
      <c r="I856" s="1" t="s">
        <v>59</v>
      </c>
      <c r="J856" s="7">
        <v>58104</v>
      </c>
      <c r="K856" s="1">
        <v>619</v>
      </c>
      <c r="L856" s="7">
        <v>19643</v>
      </c>
      <c r="M856" s="1">
        <v>60</v>
      </c>
      <c r="N856" s="6">
        <v>0.1144</v>
      </c>
      <c r="O856" s="1" t="s">
        <v>41</v>
      </c>
      <c r="P856" s="1" t="s">
        <v>47</v>
      </c>
      <c r="Q856" s="1">
        <v>2</v>
      </c>
      <c r="R856" s="1">
        <v>3</v>
      </c>
      <c r="S856" s="1" t="s">
        <v>31</v>
      </c>
      <c r="T856" s="1" t="s">
        <v>33</v>
      </c>
      <c r="U856" s="1">
        <v>4</v>
      </c>
      <c r="V856" s="1">
        <v>169814</v>
      </c>
      <c r="W856" s="7">
        <v>428.6</v>
      </c>
      <c r="X856" s="1">
        <v>0.53</v>
      </c>
      <c r="Y856" s="4">
        <v>45096</v>
      </c>
      <c r="Z856" s="1" t="s">
        <v>38</v>
      </c>
      <c r="AA856" s="1" t="s">
        <v>33</v>
      </c>
      <c r="AB856" s="36" t="str" cm="1">
        <f t="array" ref="AB856">_xlfn.IFS(K856&gt;650,"LOW",K856&gt;=550,"MEDIUM",K856&lt;550,"HIGH")</f>
        <v>MEDIUM</v>
      </c>
    </row>
    <row r="857" spans="3:28" x14ac:dyDescent="0.3">
      <c r="C857" s="35" t="s">
        <v>2346</v>
      </c>
      <c r="D857" s="1" t="s">
        <v>377</v>
      </c>
      <c r="E857" s="1">
        <v>57</v>
      </c>
      <c r="F857" s="1" t="s">
        <v>26</v>
      </c>
      <c r="G857" s="1" t="s">
        <v>56</v>
      </c>
      <c r="H857" s="1" t="s">
        <v>61</v>
      </c>
      <c r="I857" s="1" t="s">
        <v>29</v>
      </c>
      <c r="J857" s="7">
        <v>23320</v>
      </c>
      <c r="K857" s="1">
        <v>619</v>
      </c>
      <c r="L857" s="7">
        <v>23554</v>
      </c>
      <c r="M857" s="1">
        <v>24</v>
      </c>
      <c r="N857" s="6">
        <v>7.9500000000000001E-2</v>
      </c>
      <c r="O857" s="1" t="s">
        <v>5</v>
      </c>
      <c r="P857" s="1" t="s">
        <v>30</v>
      </c>
      <c r="Q857" s="1">
        <v>22</v>
      </c>
      <c r="R857" s="1">
        <v>3</v>
      </c>
      <c r="S857" s="1" t="s">
        <v>33</v>
      </c>
      <c r="T857" s="1" t="s">
        <v>31</v>
      </c>
      <c r="U857" s="1">
        <v>2</v>
      </c>
      <c r="V857" s="1">
        <v>29059</v>
      </c>
      <c r="W857" s="7">
        <v>910.65</v>
      </c>
      <c r="X857" s="1">
        <v>0.7</v>
      </c>
      <c r="Y857" s="4">
        <v>45407</v>
      </c>
      <c r="Z857" s="1" t="s">
        <v>32</v>
      </c>
      <c r="AA857" s="1" t="s">
        <v>33</v>
      </c>
      <c r="AB857" s="36" t="str" cm="1">
        <f t="array" ref="AB857">_xlfn.IFS(K857&gt;650,"LOW",K857&gt;=550,"MEDIUM",K857&lt;550,"HIGH")</f>
        <v>MEDIUM</v>
      </c>
    </row>
    <row r="858" spans="3:28" x14ac:dyDescent="0.3">
      <c r="C858" s="35" t="s">
        <v>2599</v>
      </c>
      <c r="D858" s="1" t="s">
        <v>629</v>
      </c>
      <c r="E858" s="1">
        <v>22</v>
      </c>
      <c r="F858" s="1" t="s">
        <v>26</v>
      </c>
      <c r="G858" s="1" t="s">
        <v>45</v>
      </c>
      <c r="H858" s="1" t="s">
        <v>54</v>
      </c>
      <c r="I858" s="1" t="s">
        <v>59</v>
      </c>
      <c r="J858" s="7">
        <v>88045</v>
      </c>
      <c r="K858" s="1">
        <v>619</v>
      </c>
      <c r="L858" s="7">
        <v>2415</v>
      </c>
      <c r="M858" s="1">
        <v>60</v>
      </c>
      <c r="N858" s="6">
        <v>0.1384</v>
      </c>
      <c r="O858" s="1" t="s">
        <v>52</v>
      </c>
      <c r="P858" s="1" t="s">
        <v>30</v>
      </c>
      <c r="Q858" s="1">
        <v>22</v>
      </c>
      <c r="R858" s="1">
        <v>1</v>
      </c>
      <c r="S858" s="1" t="s">
        <v>31</v>
      </c>
      <c r="T858" s="1" t="s">
        <v>31</v>
      </c>
      <c r="U858" s="1">
        <v>1</v>
      </c>
      <c r="V858" s="1">
        <v>192758</v>
      </c>
      <c r="W858" s="7">
        <v>1848.06</v>
      </c>
      <c r="X858" s="1">
        <v>0.26</v>
      </c>
      <c r="Y858" s="4">
        <v>44434</v>
      </c>
      <c r="Z858" s="1" t="s">
        <v>38</v>
      </c>
      <c r="AA858" s="1" t="s">
        <v>33</v>
      </c>
      <c r="AB858" s="36" t="str" cm="1">
        <f t="array" ref="AB858">_xlfn.IFS(K858&gt;650,"LOW",K858&gt;=550,"MEDIUM",K858&lt;550,"HIGH")</f>
        <v>MEDIUM</v>
      </c>
    </row>
    <row r="859" spans="3:28" x14ac:dyDescent="0.3">
      <c r="C859" s="35" t="s">
        <v>3157</v>
      </c>
      <c r="D859" s="1" t="s">
        <v>1181</v>
      </c>
      <c r="E859" s="1">
        <v>33</v>
      </c>
      <c r="F859" s="1" t="s">
        <v>26</v>
      </c>
      <c r="G859" s="1" t="s">
        <v>27</v>
      </c>
      <c r="H859" s="1" t="s">
        <v>54</v>
      </c>
      <c r="I859" s="1" t="s">
        <v>59</v>
      </c>
      <c r="J859" s="7">
        <v>83645</v>
      </c>
      <c r="K859" s="1">
        <v>619</v>
      </c>
      <c r="L859" s="7">
        <v>10945</v>
      </c>
      <c r="M859" s="1">
        <v>12</v>
      </c>
      <c r="N859" s="6">
        <v>0.1013</v>
      </c>
      <c r="O859" s="1" t="s">
        <v>63</v>
      </c>
      <c r="P859" s="1" t="s">
        <v>50</v>
      </c>
      <c r="Q859" s="1">
        <v>22</v>
      </c>
      <c r="R859" s="1">
        <v>2</v>
      </c>
      <c r="S859" s="1" t="s">
        <v>31</v>
      </c>
      <c r="T859" s="1" t="s">
        <v>33</v>
      </c>
      <c r="U859" s="1">
        <v>1</v>
      </c>
      <c r="V859" s="1">
        <v>131913</v>
      </c>
      <c r="W859" s="7">
        <v>1764.83</v>
      </c>
      <c r="X859" s="1">
        <v>0.85</v>
      </c>
      <c r="Y859" s="4">
        <v>45716</v>
      </c>
      <c r="Z859" s="1" t="s">
        <v>32</v>
      </c>
      <c r="AA859" s="1" t="s">
        <v>33</v>
      </c>
      <c r="AB859" s="36" t="str" cm="1">
        <f t="array" ref="AB859">_xlfn.IFS(K859&gt;650,"LOW",K859&gt;=550,"MEDIUM",K859&lt;550,"HIGH")</f>
        <v>MEDIUM</v>
      </c>
    </row>
    <row r="860" spans="3:28" x14ac:dyDescent="0.3">
      <c r="C860" s="35" t="s">
        <v>3438</v>
      </c>
      <c r="D860" s="1" t="s">
        <v>1457</v>
      </c>
      <c r="E860" s="1">
        <v>38</v>
      </c>
      <c r="F860" s="1" t="s">
        <v>26</v>
      </c>
      <c r="G860" s="1" t="s">
        <v>35</v>
      </c>
      <c r="H860" s="1" t="s">
        <v>54</v>
      </c>
      <c r="I860" s="1" t="s">
        <v>59</v>
      </c>
      <c r="J860" s="7">
        <v>36704</v>
      </c>
      <c r="K860" s="1">
        <v>619</v>
      </c>
      <c r="L860" s="7">
        <v>39551</v>
      </c>
      <c r="M860" s="1">
        <v>12</v>
      </c>
      <c r="N860" s="6">
        <v>0.121</v>
      </c>
      <c r="O860" s="1" t="s">
        <v>41</v>
      </c>
      <c r="P860" s="1" t="s">
        <v>50</v>
      </c>
      <c r="Q860" s="1">
        <v>25</v>
      </c>
      <c r="R860" s="1">
        <v>1</v>
      </c>
      <c r="S860" s="1" t="s">
        <v>31</v>
      </c>
      <c r="T860" s="1" t="s">
        <v>33</v>
      </c>
      <c r="U860" s="1">
        <v>2</v>
      </c>
      <c r="V860" s="1">
        <v>95526</v>
      </c>
      <c r="W860" s="7">
        <v>292.64999999999998</v>
      </c>
      <c r="X860" s="1">
        <v>0.82</v>
      </c>
      <c r="Y860" s="4">
        <v>44201</v>
      </c>
      <c r="Z860" s="1" t="s">
        <v>32</v>
      </c>
      <c r="AA860" s="1" t="s">
        <v>31</v>
      </c>
      <c r="AB860" s="36" t="str" cm="1">
        <f t="array" ref="AB860">_xlfn.IFS(K860&gt;650,"LOW",K860&gt;=550,"MEDIUM",K860&lt;550,"HIGH")</f>
        <v>MEDIUM</v>
      </c>
    </row>
    <row r="861" spans="3:28" x14ac:dyDescent="0.3">
      <c r="C861" s="35" t="s">
        <v>3597</v>
      </c>
      <c r="D861" s="1" t="s">
        <v>1611</v>
      </c>
      <c r="E861" s="1">
        <v>60</v>
      </c>
      <c r="F861" s="1" t="s">
        <v>26</v>
      </c>
      <c r="G861" s="1" t="s">
        <v>27</v>
      </c>
      <c r="H861" s="1" t="s">
        <v>54</v>
      </c>
      <c r="I861" s="1" t="s">
        <v>40</v>
      </c>
      <c r="J861" s="7">
        <v>107908</v>
      </c>
      <c r="K861" s="1">
        <v>619</v>
      </c>
      <c r="L861" s="7">
        <v>45477</v>
      </c>
      <c r="M861" s="1">
        <v>12</v>
      </c>
      <c r="N861" s="6">
        <v>0.19649999999999998</v>
      </c>
      <c r="O861" s="1" t="s">
        <v>52</v>
      </c>
      <c r="P861" s="1" t="s">
        <v>50</v>
      </c>
      <c r="Q861" s="1">
        <v>10</v>
      </c>
      <c r="R861" s="1">
        <v>4</v>
      </c>
      <c r="S861" s="1" t="s">
        <v>31</v>
      </c>
      <c r="T861" s="1" t="s">
        <v>31</v>
      </c>
      <c r="U861" s="1">
        <v>0</v>
      </c>
      <c r="V861" s="1">
        <v>124026</v>
      </c>
      <c r="W861" s="7">
        <v>1368.39</v>
      </c>
      <c r="X861" s="1">
        <v>0.16</v>
      </c>
      <c r="Y861" s="4">
        <v>44091</v>
      </c>
      <c r="Z861" s="1" t="s">
        <v>38</v>
      </c>
      <c r="AA861" s="1" t="s">
        <v>33</v>
      </c>
      <c r="AB861" s="36" t="str" cm="1">
        <f t="array" ref="AB861">_xlfn.IFS(K861&gt;650,"LOW",K861&gt;=550,"MEDIUM",K861&lt;550,"HIGH")</f>
        <v>MEDIUM</v>
      </c>
    </row>
    <row r="862" spans="3:28" x14ac:dyDescent="0.3">
      <c r="C862" s="35" t="s">
        <v>2124</v>
      </c>
      <c r="D862" s="1" t="s">
        <v>155</v>
      </c>
      <c r="E862" s="1">
        <v>61</v>
      </c>
      <c r="F862" s="1" t="s">
        <v>44</v>
      </c>
      <c r="G862" s="1" t="s">
        <v>27</v>
      </c>
      <c r="H862" s="1" t="s">
        <v>54</v>
      </c>
      <c r="I862" s="1" t="s">
        <v>57</v>
      </c>
      <c r="J862" s="7">
        <v>35994</v>
      </c>
      <c r="K862" s="1">
        <v>618</v>
      </c>
      <c r="L862" s="7">
        <v>37621</v>
      </c>
      <c r="M862" s="1">
        <v>24</v>
      </c>
      <c r="N862" s="6">
        <v>0.13600000000000001</v>
      </c>
      <c r="O862" s="1" t="s">
        <v>52</v>
      </c>
      <c r="P862" s="1" t="s">
        <v>30</v>
      </c>
      <c r="Q862" s="1">
        <v>27</v>
      </c>
      <c r="R862" s="1">
        <v>2</v>
      </c>
      <c r="S862" s="1" t="s">
        <v>33</v>
      </c>
      <c r="T862" s="1" t="s">
        <v>31</v>
      </c>
      <c r="U862" s="1">
        <v>3</v>
      </c>
      <c r="V862" s="1">
        <v>17602</v>
      </c>
      <c r="W862" s="7">
        <v>1008.88</v>
      </c>
      <c r="X862" s="1">
        <v>0.14000000000000001</v>
      </c>
      <c r="Y862" s="4">
        <v>45458</v>
      </c>
      <c r="Z862" s="1" t="s">
        <v>38</v>
      </c>
      <c r="AA862" s="1" t="s">
        <v>33</v>
      </c>
      <c r="AB862" s="36" t="str" cm="1">
        <f t="array" ref="AB862">_xlfn.IFS(K862&gt;650,"LOW",K862&gt;=550,"MEDIUM",K862&lt;550,"HIGH")</f>
        <v>MEDIUM</v>
      </c>
    </row>
    <row r="863" spans="3:28" x14ac:dyDescent="0.3">
      <c r="C863" s="35" t="s">
        <v>3672</v>
      </c>
      <c r="D863" s="1" t="s">
        <v>1684</v>
      </c>
      <c r="E863" s="1">
        <v>41</v>
      </c>
      <c r="F863" s="1" t="s">
        <v>26</v>
      </c>
      <c r="G863" s="1" t="s">
        <v>45</v>
      </c>
      <c r="H863" s="1" t="s">
        <v>28</v>
      </c>
      <c r="I863" s="1" t="s">
        <v>40</v>
      </c>
      <c r="J863" s="7">
        <v>133672</v>
      </c>
      <c r="K863" s="1">
        <v>618</v>
      </c>
      <c r="L863" s="7">
        <v>29006</v>
      </c>
      <c r="M863" s="1">
        <v>36</v>
      </c>
      <c r="N863" s="6">
        <v>0.16289999999999999</v>
      </c>
      <c r="O863" s="1" t="s">
        <v>5</v>
      </c>
      <c r="P863" s="1" t="s">
        <v>50</v>
      </c>
      <c r="Q863" s="1">
        <v>28</v>
      </c>
      <c r="R863" s="1">
        <v>3</v>
      </c>
      <c r="S863" s="1" t="s">
        <v>31</v>
      </c>
      <c r="T863" s="1" t="s">
        <v>33</v>
      </c>
      <c r="U863" s="1">
        <v>0</v>
      </c>
      <c r="V863" s="1">
        <v>136361</v>
      </c>
      <c r="W863" s="7">
        <v>532.57000000000005</v>
      </c>
      <c r="X863" s="1">
        <v>0.12</v>
      </c>
      <c r="Y863" s="4">
        <v>45552</v>
      </c>
      <c r="Z863" s="1" t="s">
        <v>38</v>
      </c>
      <c r="AA863" s="1" t="s">
        <v>33</v>
      </c>
      <c r="AB863" s="36" t="str" cm="1">
        <f t="array" ref="AB863">_xlfn.IFS(K863&gt;650,"LOW",K863&gt;=550,"MEDIUM",K863&lt;550,"HIGH")</f>
        <v>MEDIUM</v>
      </c>
    </row>
    <row r="864" spans="3:28" x14ac:dyDescent="0.3">
      <c r="C864" s="35" t="s">
        <v>3693</v>
      </c>
      <c r="D864" s="1" t="s">
        <v>1704</v>
      </c>
      <c r="E864" s="1">
        <v>28</v>
      </c>
      <c r="F864" s="1" t="s">
        <v>26</v>
      </c>
      <c r="G864" s="1" t="s">
        <v>35</v>
      </c>
      <c r="H864" s="1" t="s">
        <v>28</v>
      </c>
      <c r="I864" s="1" t="s">
        <v>59</v>
      </c>
      <c r="J864" s="7">
        <v>64553</v>
      </c>
      <c r="K864" s="1">
        <v>618</v>
      </c>
      <c r="L864" s="7">
        <v>22066</v>
      </c>
      <c r="M864" s="1">
        <v>24</v>
      </c>
      <c r="N864" s="6">
        <v>0.10769999999999999</v>
      </c>
      <c r="O864" s="1" t="s">
        <v>37</v>
      </c>
      <c r="P864" s="1" t="s">
        <v>47</v>
      </c>
      <c r="Q864" s="1">
        <v>24</v>
      </c>
      <c r="R864" s="1">
        <v>1</v>
      </c>
      <c r="S864" s="1" t="s">
        <v>31</v>
      </c>
      <c r="T864" s="1" t="s">
        <v>33</v>
      </c>
      <c r="U864" s="1">
        <v>4</v>
      </c>
      <c r="V864" s="1">
        <v>85538</v>
      </c>
      <c r="W864" s="7">
        <v>1821.07</v>
      </c>
      <c r="X864" s="1">
        <v>0.85</v>
      </c>
      <c r="Y864" s="4">
        <v>44486</v>
      </c>
      <c r="Z864" s="1" t="s">
        <v>32</v>
      </c>
      <c r="AA864" s="1" t="s">
        <v>33</v>
      </c>
      <c r="AB864" s="36" t="str" cm="1">
        <f t="array" ref="AB864">_xlfn.IFS(K864&gt;650,"LOW",K864&gt;=550,"MEDIUM",K864&lt;550,"HIGH")</f>
        <v>MEDIUM</v>
      </c>
    </row>
    <row r="865" spans="3:28" x14ac:dyDescent="0.3">
      <c r="C865" s="35" t="s">
        <v>3832</v>
      </c>
      <c r="D865" s="1" t="s">
        <v>1838</v>
      </c>
      <c r="E865" s="1">
        <v>32</v>
      </c>
      <c r="F865" s="1" t="s">
        <v>44</v>
      </c>
      <c r="G865" s="1" t="s">
        <v>27</v>
      </c>
      <c r="H865" s="1" t="s">
        <v>54</v>
      </c>
      <c r="I865" s="1" t="s">
        <v>57</v>
      </c>
      <c r="J865" s="7">
        <v>47885</v>
      </c>
      <c r="K865" s="1">
        <v>618</v>
      </c>
      <c r="L865" s="7">
        <v>16683</v>
      </c>
      <c r="M865" s="1">
        <v>36</v>
      </c>
      <c r="N865" s="6">
        <v>9.7500000000000003E-2</v>
      </c>
      <c r="O865" s="1" t="s">
        <v>52</v>
      </c>
      <c r="P865" s="1" t="s">
        <v>30</v>
      </c>
      <c r="Q865" s="1">
        <v>3</v>
      </c>
      <c r="R865" s="1">
        <v>4</v>
      </c>
      <c r="S865" s="1" t="s">
        <v>33</v>
      </c>
      <c r="T865" s="1" t="s">
        <v>31</v>
      </c>
      <c r="U865" s="1">
        <v>4</v>
      </c>
      <c r="V865" s="1">
        <v>6909</v>
      </c>
      <c r="W865" s="7">
        <v>1050.83</v>
      </c>
      <c r="X865" s="1">
        <v>0.93</v>
      </c>
      <c r="Y865" s="4">
        <v>45114</v>
      </c>
      <c r="Z865" s="1" t="s">
        <v>32</v>
      </c>
      <c r="AA865" s="1" t="s">
        <v>33</v>
      </c>
      <c r="AB865" s="36" t="str" cm="1">
        <f t="array" ref="AB865">_xlfn.IFS(K865&gt;650,"LOW",K865&gt;=550,"MEDIUM",K865&lt;550,"HIGH")</f>
        <v>MEDIUM</v>
      </c>
    </row>
    <row r="866" spans="3:28" x14ac:dyDescent="0.3">
      <c r="C866" s="35" t="s">
        <v>3441</v>
      </c>
      <c r="D866" s="1" t="s">
        <v>1459</v>
      </c>
      <c r="E866" s="1">
        <v>55</v>
      </c>
      <c r="F866" s="1" t="s">
        <v>26</v>
      </c>
      <c r="G866" s="1" t="s">
        <v>27</v>
      </c>
      <c r="H866" s="1" t="s">
        <v>54</v>
      </c>
      <c r="I866" s="1" t="s">
        <v>40</v>
      </c>
      <c r="J866" s="7">
        <v>41323</v>
      </c>
      <c r="K866" s="1">
        <v>617</v>
      </c>
      <c r="L866" s="7">
        <v>29114</v>
      </c>
      <c r="M866" s="1">
        <v>60</v>
      </c>
      <c r="N866" s="6">
        <v>7.3800000000000004E-2</v>
      </c>
      <c r="O866" s="1" t="s">
        <v>63</v>
      </c>
      <c r="P866" s="1" t="s">
        <v>30</v>
      </c>
      <c r="Q866" s="1">
        <v>17</v>
      </c>
      <c r="R866" s="1">
        <v>4</v>
      </c>
      <c r="S866" s="1" t="s">
        <v>31</v>
      </c>
      <c r="T866" s="1" t="s">
        <v>31</v>
      </c>
      <c r="U866" s="1">
        <v>4</v>
      </c>
      <c r="V866" s="1">
        <v>125590</v>
      </c>
      <c r="W866" s="7">
        <v>917.75</v>
      </c>
      <c r="X866" s="1">
        <v>0.73</v>
      </c>
      <c r="Y866" s="4">
        <v>45411</v>
      </c>
      <c r="Z866" s="1" t="s">
        <v>38</v>
      </c>
      <c r="AA866" s="1" t="s">
        <v>33</v>
      </c>
      <c r="AB866" s="36" t="str" cm="1">
        <f t="array" ref="AB866">_xlfn.IFS(K866&gt;650,"LOW",K866&gt;=550,"MEDIUM",K866&lt;550,"HIGH")</f>
        <v>MEDIUM</v>
      </c>
    </row>
    <row r="867" spans="3:28" x14ac:dyDescent="0.3">
      <c r="C867" s="35" t="s">
        <v>3766</v>
      </c>
      <c r="D867" s="1" t="s">
        <v>1395</v>
      </c>
      <c r="E867" s="1">
        <v>59</v>
      </c>
      <c r="F867" s="1" t="s">
        <v>26</v>
      </c>
      <c r="G867" s="1" t="s">
        <v>35</v>
      </c>
      <c r="H867" s="1" t="s">
        <v>61</v>
      </c>
      <c r="I867" s="1" t="s">
        <v>40</v>
      </c>
      <c r="J867" s="7">
        <v>65712</v>
      </c>
      <c r="K867" s="1">
        <v>617</v>
      </c>
      <c r="L867" s="7">
        <v>37665</v>
      </c>
      <c r="M867" s="1">
        <v>12</v>
      </c>
      <c r="N867" s="6">
        <v>0.1772</v>
      </c>
      <c r="O867" s="1" t="s">
        <v>46</v>
      </c>
      <c r="P867" s="1" t="s">
        <v>47</v>
      </c>
      <c r="Q867" s="1">
        <v>18</v>
      </c>
      <c r="R867" s="1">
        <v>0</v>
      </c>
      <c r="S867" s="1" t="s">
        <v>31</v>
      </c>
      <c r="T867" s="1" t="s">
        <v>31</v>
      </c>
      <c r="U867" s="1">
        <v>2</v>
      </c>
      <c r="V867" s="1">
        <v>89000</v>
      </c>
      <c r="W867" s="7">
        <v>406.05</v>
      </c>
      <c r="X867" s="1">
        <v>0.87</v>
      </c>
      <c r="Y867" s="4">
        <v>44078</v>
      </c>
      <c r="Z867" s="1" t="s">
        <v>38</v>
      </c>
      <c r="AA867" s="1" t="s">
        <v>31</v>
      </c>
      <c r="AB867" s="36" t="str" cm="1">
        <f t="array" ref="AB867">_xlfn.IFS(K867&gt;650,"LOW",K867&gt;=550,"MEDIUM",K867&lt;550,"HIGH")</f>
        <v>MEDIUM</v>
      </c>
    </row>
    <row r="868" spans="3:28" x14ac:dyDescent="0.3">
      <c r="C868" s="35" t="s">
        <v>3793</v>
      </c>
      <c r="D868" s="1" t="s">
        <v>1799</v>
      </c>
      <c r="E868" s="1">
        <v>40</v>
      </c>
      <c r="F868" s="1" t="s">
        <v>26</v>
      </c>
      <c r="G868" s="1" t="s">
        <v>27</v>
      </c>
      <c r="H868" s="1" t="s">
        <v>28</v>
      </c>
      <c r="I868" s="1" t="s">
        <v>29</v>
      </c>
      <c r="J868" s="7">
        <v>119318</v>
      </c>
      <c r="K868" s="1">
        <v>617</v>
      </c>
      <c r="L868" s="7">
        <v>3940</v>
      </c>
      <c r="M868" s="1">
        <v>36</v>
      </c>
      <c r="N868" s="6">
        <v>0.1295</v>
      </c>
      <c r="O868" s="1" t="s">
        <v>63</v>
      </c>
      <c r="P868" s="1" t="s">
        <v>30</v>
      </c>
      <c r="Q868" s="1">
        <v>9</v>
      </c>
      <c r="R868" s="1">
        <v>2</v>
      </c>
      <c r="S868" s="1" t="s">
        <v>33</v>
      </c>
      <c r="T868" s="1" t="s">
        <v>31</v>
      </c>
      <c r="U868" s="1">
        <v>3</v>
      </c>
      <c r="V868" s="1">
        <v>183229</v>
      </c>
      <c r="W868" s="7">
        <v>363.51</v>
      </c>
      <c r="X868" s="1">
        <v>0.6</v>
      </c>
      <c r="Y868" s="4">
        <v>45039</v>
      </c>
      <c r="Z868" s="1" t="s">
        <v>38</v>
      </c>
      <c r="AA868" s="1" t="s">
        <v>33</v>
      </c>
      <c r="AB868" s="36" t="str" cm="1">
        <f t="array" ref="AB868">_xlfn.IFS(K868&gt;650,"LOW",K868&gt;=550,"MEDIUM",K868&lt;550,"HIGH")</f>
        <v>MEDIUM</v>
      </c>
    </row>
    <row r="869" spans="3:28" x14ac:dyDescent="0.3">
      <c r="C869" s="35" t="s">
        <v>3872</v>
      </c>
      <c r="D869" s="1" t="s">
        <v>1878</v>
      </c>
      <c r="E869" s="1">
        <v>34</v>
      </c>
      <c r="F869" s="1" t="s">
        <v>26</v>
      </c>
      <c r="G869" s="1" t="s">
        <v>35</v>
      </c>
      <c r="H869" s="1" t="s">
        <v>61</v>
      </c>
      <c r="I869" s="1" t="s">
        <v>57</v>
      </c>
      <c r="J869" s="7">
        <v>137423</v>
      </c>
      <c r="K869" s="1">
        <v>617</v>
      </c>
      <c r="L869" s="7">
        <v>49302</v>
      </c>
      <c r="M869" s="1">
        <v>36</v>
      </c>
      <c r="N869" s="6">
        <v>0.14699999999999999</v>
      </c>
      <c r="O869" s="1" t="s">
        <v>52</v>
      </c>
      <c r="P869" s="1" t="s">
        <v>30</v>
      </c>
      <c r="Q869" s="1">
        <v>23</v>
      </c>
      <c r="R869" s="1">
        <v>1</v>
      </c>
      <c r="S869" s="1" t="s">
        <v>33</v>
      </c>
      <c r="T869" s="1" t="s">
        <v>31</v>
      </c>
      <c r="U869" s="1">
        <v>4</v>
      </c>
      <c r="V869" s="1">
        <v>35306</v>
      </c>
      <c r="W869" s="7">
        <v>931.46</v>
      </c>
      <c r="X869" s="1">
        <v>0.22</v>
      </c>
      <c r="Y869" s="4">
        <v>44222</v>
      </c>
      <c r="Z869" s="1" t="s">
        <v>32</v>
      </c>
      <c r="AA869" s="1" t="s">
        <v>33</v>
      </c>
      <c r="AB869" s="36" t="str" cm="1">
        <f t="array" ref="AB869">_xlfn.IFS(K869&gt;650,"LOW",K869&gt;=550,"MEDIUM",K869&lt;550,"HIGH")</f>
        <v>MEDIUM</v>
      </c>
    </row>
    <row r="870" spans="3:28" x14ac:dyDescent="0.3">
      <c r="C870" s="35" t="s">
        <v>2324</v>
      </c>
      <c r="D870" s="1" t="s">
        <v>355</v>
      </c>
      <c r="E870" s="1">
        <v>58</v>
      </c>
      <c r="F870" s="1" t="s">
        <v>26</v>
      </c>
      <c r="G870" s="1" t="s">
        <v>35</v>
      </c>
      <c r="H870" s="1" t="s">
        <v>28</v>
      </c>
      <c r="I870" s="1" t="s">
        <v>59</v>
      </c>
      <c r="J870" s="7">
        <v>44143</v>
      </c>
      <c r="K870" s="1">
        <v>616</v>
      </c>
      <c r="L870" s="7">
        <v>49157</v>
      </c>
      <c r="M870" s="1">
        <v>12</v>
      </c>
      <c r="N870" s="6">
        <v>6.4699999999999994E-2</v>
      </c>
      <c r="O870" s="1" t="s">
        <v>63</v>
      </c>
      <c r="P870" s="1" t="s">
        <v>47</v>
      </c>
      <c r="Q870" s="1">
        <v>5</v>
      </c>
      <c r="R870" s="1">
        <v>0</v>
      </c>
      <c r="S870" s="1" t="s">
        <v>33</v>
      </c>
      <c r="T870" s="1" t="s">
        <v>31</v>
      </c>
      <c r="U870" s="1">
        <v>4</v>
      </c>
      <c r="V870" s="1">
        <v>34604</v>
      </c>
      <c r="W870" s="7">
        <v>184.32</v>
      </c>
      <c r="X870" s="1">
        <v>0.88</v>
      </c>
      <c r="Y870" s="4">
        <v>44518</v>
      </c>
      <c r="Z870" s="1" t="s">
        <v>32</v>
      </c>
      <c r="AA870" s="1" t="s">
        <v>33</v>
      </c>
      <c r="AB870" s="36" t="str" cm="1">
        <f t="array" ref="AB870">_xlfn.IFS(K870&gt;650,"LOW",K870&gt;=550,"MEDIUM",K870&lt;550,"HIGH")</f>
        <v>MEDIUM</v>
      </c>
    </row>
    <row r="871" spans="3:28" x14ac:dyDescent="0.3">
      <c r="C871" s="35" t="s">
        <v>2333</v>
      </c>
      <c r="D871" s="1" t="s">
        <v>364</v>
      </c>
      <c r="E871" s="1">
        <v>53</v>
      </c>
      <c r="F871" s="1" t="s">
        <v>26</v>
      </c>
      <c r="G871" s="1" t="s">
        <v>27</v>
      </c>
      <c r="H871" s="1" t="s">
        <v>54</v>
      </c>
      <c r="I871" s="1" t="s">
        <v>57</v>
      </c>
      <c r="J871" s="7">
        <v>89351</v>
      </c>
      <c r="K871" s="1">
        <v>616</v>
      </c>
      <c r="L871" s="7">
        <v>21584</v>
      </c>
      <c r="M871" s="1">
        <v>36</v>
      </c>
      <c r="N871" s="6">
        <v>6.7599999999999993E-2</v>
      </c>
      <c r="O871" s="1" t="s">
        <v>5</v>
      </c>
      <c r="P871" s="1" t="s">
        <v>50</v>
      </c>
      <c r="Q871" s="1">
        <v>29</v>
      </c>
      <c r="R871" s="1">
        <v>0</v>
      </c>
      <c r="S871" s="1" t="s">
        <v>31</v>
      </c>
      <c r="T871" s="1" t="s">
        <v>33</v>
      </c>
      <c r="U871" s="1">
        <v>2</v>
      </c>
      <c r="V871" s="1">
        <v>39293</v>
      </c>
      <c r="W871" s="7">
        <v>1527.83</v>
      </c>
      <c r="X871" s="1">
        <v>0.64</v>
      </c>
      <c r="Y871" s="4">
        <v>45125</v>
      </c>
      <c r="Z871" s="1" t="s">
        <v>32</v>
      </c>
      <c r="AA871" s="1" t="s">
        <v>33</v>
      </c>
      <c r="AB871" s="36" t="str" cm="1">
        <f t="array" ref="AB871">_xlfn.IFS(K871&gt;650,"LOW",K871&gt;=550,"MEDIUM",K871&lt;550,"HIGH")</f>
        <v>MEDIUM</v>
      </c>
    </row>
    <row r="872" spans="3:28" x14ac:dyDescent="0.3">
      <c r="C872" s="35" t="s">
        <v>2344</v>
      </c>
      <c r="D872" s="1" t="s">
        <v>375</v>
      </c>
      <c r="E872" s="1">
        <v>55</v>
      </c>
      <c r="F872" s="1" t="s">
        <v>26</v>
      </c>
      <c r="G872" s="1" t="s">
        <v>27</v>
      </c>
      <c r="H872" s="1" t="s">
        <v>61</v>
      </c>
      <c r="I872" s="1" t="s">
        <v>57</v>
      </c>
      <c r="J872" s="7">
        <v>68632</v>
      </c>
      <c r="K872" s="1">
        <v>616</v>
      </c>
      <c r="L872" s="7">
        <v>28109</v>
      </c>
      <c r="M872" s="1">
        <v>12</v>
      </c>
      <c r="N872" s="6">
        <v>6.0499999999999998E-2</v>
      </c>
      <c r="O872" s="1" t="s">
        <v>63</v>
      </c>
      <c r="P872" s="1" t="s">
        <v>47</v>
      </c>
      <c r="Q872" s="1">
        <v>17</v>
      </c>
      <c r="R872" s="1">
        <v>0</v>
      </c>
      <c r="S872" s="1" t="s">
        <v>31</v>
      </c>
      <c r="T872" s="1" t="s">
        <v>33</v>
      </c>
      <c r="U872" s="1">
        <v>0</v>
      </c>
      <c r="V872" s="1">
        <v>123374</v>
      </c>
      <c r="W872" s="7">
        <v>1905.2</v>
      </c>
      <c r="X872" s="1">
        <v>0.14000000000000001</v>
      </c>
      <c r="Y872" s="4">
        <v>45844</v>
      </c>
      <c r="Z872" s="1" t="s">
        <v>32</v>
      </c>
      <c r="AA872" s="1" t="s">
        <v>33</v>
      </c>
      <c r="AB872" s="36" t="str" cm="1">
        <f t="array" ref="AB872">_xlfn.IFS(K872&gt;650,"LOW",K872&gt;=550,"MEDIUM",K872&lt;550,"HIGH")</f>
        <v>MEDIUM</v>
      </c>
    </row>
    <row r="873" spans="3:28" x14ac:dyDescent="0.3">
      <c r="C873" s="35" t="s">
        <v>2543</v>
      </c>
      <c r="D873" s="1" t="s">
        <v>573</v>
      </c>
      <c r="E873" s="1">
        <v>33</v>
      </c>
      <c r="F873" s="1" t="s">
        <v>26</v>
      </c>
      <c r="G873" s="1" t="s">
        <v>27</v>
      </c>
      <c r="H873" s="1" t="s">
        <v>54</v>
      </c>
      <c r="I873" s="1" t="s">
        <v>59</v>
      </c>
      <c r="J873" s="7">
        <v>59390</v>
      </c>
      <c r="K873" s="1">
        <v>616</v>
      </c>
      <c r="L873" s="7">
        <v>40743</v>
      </c>
      <c r="M873" s="1">
        <v>36</v>
      </c>
      <c r="N873" s="6">
        <v>0.15960000000000002</v>
      </c>
      <c r="O873" s="1" t="s">
        <v>5</v>
      </c>
      <c r="P873" s="1" t="s">
        <v>30</v>
      </c>
      <c r="Q873" s="1">
        <v>22</v>
      </c>
      <c r="R873" s="1">
        <v>1</v>
      </c>
      <c r="S873" s="1" t="s">
        <v>31</v>
      </c>
      <c r="T873" s="1" t="s">
        <v>31</v>
      </c>
      <c r="U873" s="1">
        <v>1</v>
      </c>
      <c r="V873" s="1">
        <v>42164</v>
      </c>
      <c r="W873" s="7">
        <v>1629.14</v>
      </c>
      <c r="X873" s="1">
        <v>0.16</v>
      </c>
      <c r="Y873" s="4">
        <v>45341</v>
      </c>
      <c r="Z873" s="1" t="s">
        <v>38</v>
      </c>
      <c r="AA873" s="1" t="s">
        <v>31</v>
      </c>
      <c r="AB873" s="36" t="str" cm="1">
        <f t="array" ref="AB873">_xlfn.IFS(K873&gt;650,"LOW",K873&gt;=550,"MEDIUM",K873&lt;550,"HIGH")</f>
        <v>MEDIUM</v>
      </c>
    </row>
    <row r="874" spans="3:28" x14ac:dyDescent="0.3">
      <c r="C874" s="35" t="s">
        <v>2698</v>
      </c>
      <c r="D874" s="1" t="s">
        <v>728</v>
      </c>
      <c r="E874" s="1">
        <v>21</v>
      </c>
      <c r="F874" s="1" t="s">
        <v>26</v>
      </c>
      <c r="G874" s="1" t="s">
        <v>45</v>
      </c>
      <c r="H874" s="1" t="s">
        <v>36</v>
      </c>
      <c r="I874" s="1" t="s">
        <v>29</v>
      </c>
      <c r="J874" s="7">
        <v>66660</v>
      </c>
      <c r="K874" s="1">
        <v>616</v>
      </c>
      <c r="L874" s="7">
        <v>25240</v>
      </c>
      <c r="M874" s="1">
        <v>12</v>
      </c>
      <c r="N874" s="6">
        <v>8.1199999999999994E-2</v>
      </c>
      <c r="O874" s="1" t="s">
        <v>41</v>
      </c>
      <c r="P874" s="1" t="s">
        <v>50</v>
      </c>
      <c r="Q874" s="1">
        <v>10</v>
      </c>
      <c r="R874" s="1">
        <v>1</v>
      </c>
      <c r="S874" s="1" t="s">
        <v>33</v>
      </c>
      <c r="T874" s="1" t="s">
        <v>31</v>
      </c>
      <c r="U874" s="1">
        <v>2</v>
      </c>
      <c r="V874" s="1">
        <v>52147</v>
      </c>
      <c r="W874" s="7">
        <v>1676.15</v>
      </c>
      <c r="X874" s="1">
        <v>0.27</v>
      </c>
      <c r="Y874" s="4">
        <v>45516</v>
      </c>
      <c r="Z874" s="1" t="s">
        <v>32</v>
      </c>
      <c r="AA874" s="1" t="s">
        <v>33</v>
      </c>
      <c r="AB874" s="36" t="str" cm="1">
        <f t="array" ref="AB874">_xlfn.IFS(K874&gt;650,"LOW",K874&gt;=550,"MEDIUM",K874&lt;550,"HIGH")</f>
        <v>MEDIUM</v>
      </c>
    </row>
    <row r="875" spans="3:28" x14ac:dyDescent="0.3">
      <c r="C875" s="35" t="s">
        <v>3225</v>
      </c>
      <c r="D875" s="1" t="s">
        <v>1249</v>
      </c>
      <c r="E875" s="1">
        <v>39</v>
      </c>
      <c r="F875" s="1" t="s">
        <v>44</v>
      </c>
      <c r="G875" s="1" t="s">
        <v>27</v>
      </c>
      <c r="H875" s="1" t="s">
        <v>36</v>
      </c>
      <c r="I875" s="1" t="s">
        <v>57</v>
      </c>
      <c r="J875" s="7">
        <v>119976</v>
      </c>
      <c r="K875" s="1">
        <v>616</v>
      </c>
      <c r="L875" s="7">
        <v>37533</v>
      </c>
      <c r="M875" s="1">
        <v>12</v>
      </c>
      <c r="N875" s="6">
        <v>0.15</v>
      </c>
      <c r="O875" s="1" t="s">
        <v>5</v>
      </c>
      <c r="P875" s="1" t="s">
        <v>47</v>
      </c>
      <c r="Q875" s="1">
        <v>11</v>
      </c>
      <c r="R875" s="1">
        <v>3</v>
      </c>
      <c r="S875" s="1" t="s">
        <v>33</v>
      </c>
      <c r="T875" s="1" t="s">
        <v>33</v>
      </c>
      <c r="U875" s="1">
        <v>1</v>
      </c>
      <c r="V875" s="1">
        <v>20971</v>
      </c>
      <c r="W875" s="7">
        <v>1057.1099999999999</v>
      </c>
      <c r="X875" s="1">
        <v>0.93</v>
      </c>
      <c r="Y875" s="4">
        <v>45691</v>
      </c>
      <c r="Z875" s="1" t="s">
        <v>38</v>
      </c>
      <c r="AA875" s="1" t="s">
        <v>33</v>
      </c>
      <c r="AB875" s="36" t="str" cm="1">
        <f t="array" ref="AB875">_xlfn.IFS(K875&gt;650,"LOW",K875&gt;=550,"MEDIUM",K875&lt;550,"HIGH")</f>
        <v>MEDIUM</v>
      </c>
    </row>
    <row r="876" spans="3:28" x14ac:dyDescent="0.3">
      <c r="C876" s="35" t="s">
        <v>3351</v>
      </c>
      <c r="D876" s="1" t="s">
        <v>1373</v>
      </c>
      <c r="E876" s="1">
        <v>58</v>
      </c>
      <c r="F876" s="1" t="s">
        <v>44</v>
      </c>
      <c r="G876" s="1" t="s">
        <v>35</v>
      </c>
      <c r="H876" s="1" t="s">
        <v>54</v>
      </c>
      <c r="I876" s="1" t="s">
        <v>29</v>
      </c>
      <c r="J876" s="7">
        <v>130402</v>
      </c>
      <c r="K876" s="1">
        <v>616</v>
      </c>
      <c r="L876" s="7">
        <v>20748</v>
      </c>
      <c r="M876" s="1">
        <v>60</v>
      </c>
      <c r="N876" s="6">
        <v>0.18739999999999998</v>
      </c>
      <c r="O876" s="1" t="s">
        <v>63</v>
      </c>
      <c r="P876" s="1" t="s">
        <v>47</v>
      </c>
      <c r="Q876" s="1">
        <v>19</v>
      </c>
      <c r="R876" s="1">
        <v>1</v>
      </c>
      <c r="S876" s="1" t="s">
        <v>33</v>
      </c>
      <c r="T876" s="1" t="s">
        <v>33</v>
      </c>
      <c r="U876" s="1">
        <v>1</v>
      </c>
      <c r="V876" s="1">
        <v>21249</v>
      </c>
      <c r="W876" s="7">
        <v>343.63</v>
      </c>
      <c r="X876" s="1">
        <v>0.56999999999999995</v>
      </c>
      <c r="Y876" s="4">
        <v>44076</v>
      </c>
      <c r="Z876" s="1" t="s">
        <v>32</v>
      </c>
      <c r="AA876" s="1" t="s">
        <v>33</v>
      </c>
      <c r="AB876" s="36" t="str" cm="1">
        <f t="array" ref="AB876">_xlfn.IFS(K876&gt;650,"LOW",K876&gt;=550,"MEDIUM",K876&lt;550,"HIGH")</f>
        <v>MEDIUM</v>
      </c>
    </row>
    <row r="877" spans="3:28" x14ac:dyDescent="0.3">
      <c r="C877" s="35" t="s">
        <v>3427</v>
      </c>
      <c r="D877" s="1" t="s">
        <v>1447</v>
      </c>
      <c r="E877" s="1">
        <v>53</v>
      </c>
      <c r="F877" s="1" t="s">
        <v>26</v>
      </c>
      <c r="G877" s="1" t="s">
        <v>35</v>
      </c>
      <c r="H877" s="1" t="s">
        <v>54</v>
      </c>
      <c r="I877" s="1" t="s">
        <v>59</v>
      </c>
      <c r="J877" s="7">
        <v>105879</v>
      </c>
      <c r="K877" s="1">
        <v>616</v>
      </c>
      <c r="L877" s="7">
        <v>26274</v>
      </c>
      <c r="M877" s="1">
        <v>24</v>
      </c>
      <c r="N877" s="6">
        <v>0.19649999999999998</v>
      </c>
      <c r="O877" s="1" t="s">
        <v>5</v>
      </c>
      <c r="P877" s="1" t="s">
        <v>50</v>
      </c>
      <c r="Q877" s="1">
        <v>1</v>
      </c>
      <c r="R877" s="1">
        <v>2</v>
      </c>
      <c r="S877" s="1" t="s">
        <v>33</v>
      </c>
      <c r="T877" s="1" t="s">
        <v>33</v>
      </c>
      <c r="U877" s="1">
        <v>4</v>
      </c>
      <c r="V877" s="1">
        <v>178184</v>
      </c>
      <c r="W877" s="7">
        <v>579.28</v>
      </c>
      <c r="X877" s="1">
        <v>0.96</v>
      </c>
      <c r="Y877" s="4">
        <v>44776</v>
      </c>
      <c r="Z877" s="1" t="s">
        <v>32</v>
      </c>
      <c r="AA877" s="1" t="s">
        <v>33</v>
      </c>
      <c r="AB877" s="36" t="str" cm="1">
        <f t="array" ref="AB877">_xlfn.IFS(K877&gt;650,"LOW",K877&gt;=550,"MEDIUM",K877&lt;550,"HIGH")</f>
        <v>MEDIUM</v>
      </c>
    </row>
    <row r="878" spans="3:28" x14ac:dyDescent="0.3">
      <c r="C878" s="35" t="s">
        <v>3846</v>
      </c>
      <c r="D878" s="1" t="s">
        <v>1852</v>
      </c>
      <c r="E878" s="1">
        <v>56</v>
      </c>
      <c r="F878" s="1" t="s">
        <v>26</v>
      </c>
      <c r="G878" s="1" t="s">
        <v>56</v>
      </c>
      <c r="H878" s="1" t="s">
        <v>36</v>
      </c>
      <c r="I878" s="1" t="s">
        <v>57</v>
      </c>
      <c r="J878" s="7">
        <v>146065</v>
      </c>
      <c r="K878" s="1">
        <v>616</v>
      </c>
      <c r="L878" s="7">
        <v>23705</v>
      </c>
      <c r="M878" s="1">
        <v>12</v>
      </c>
      <c r="N878" s="6">
        <v>6.2800000000000009E-2</v>
      </c>
      <c r="O878" s="1" t="s">
        <v>63</v>
      </c>
      <c r="P878" s="1" t="s">
        <v>47</v>
      </c>
      <c r="Q878" s="1">
        <v>9</v>
      </c>
      <c r="R878" s="1">
        <v>2</v>
      </c>
      <c r="S878" s="1" t="s">
        <v>33</v>
      </c>
      <c r="T878" s="1" t="s">
        <v>31</v>
      </c>
      <c r="U878" s="1">
        <v>4</v>
      </c>
      <c r="V878" s="1">
        <v>190660</v>
      </c>
      <c r="W878" s="7">
        <v>1293.8800000000001</v>
      </c>
      <c r="X878" s="1">
        <v>0.73</v>
      </c>
      <c r="Y878" s="4">
        <v>44623</v>
      </c>
      <c r="Z878" s="1" t="s">
        <v>32</v>
      </c>
      <c r="AA878" s="1" t="s">
        <v>33</v>
      </c>
      <c r="AB878" s="36" t="str" cm="1">
        <f t="array" ref="AB878">_xlfn.IFS(K878&gt;650,"LOW",K878&gt;=550,"MEDIUM",K878&lt;550,"HIGH")</f>
        <v>MEDIUM</v>
      </c>
    </row>
    <row r="879" spans="3:28" x14ac:dyDescent="0.3">
      <c r="C879" s="35" t="s">
        <v>2159</v>
      </c>
      <c r="D879" s="1" t="s">
        <v>190</v>
      </c>
      <c r="E879" s="1">
        <v>59</v>
      </c>
      <c r="F879" s="1" t="s">
        <v>26</v>
      </c>
      <c r="G879" s="1" t="s">
        <v>56</v>
      </c>
      <c r="H879" s="1" t="s">
        <v>61</v>
      </c>
      <c r="I879" s="1" t="s">
        <v>40</v>
      </c>
      <c r="J879" s="7">
        <v>144462</v>
      </c>
      <c r="K879" s="1">
        <v>615</v>
      </c>
      <c r="L879" s="7">
        <v>9680</v>
      </c>
      <c r="M879" s="1">
        <v>60</v>
      </c>
      <c r="N879" s="6">
        <v>0.17059999999999997</v>
      </c>
      <c r="O879" s="1" t="s">
        <v>46</v>
      </c>
      <c r="P879" s="1" t="s">
        <v>50</v>
      </c>
      <c r="Q879" s="1">
        <v>27</v>
      </c>
      <c r="R879" s="1">
        <v>4</v>
      </c>
      <c r="S879" s="1" t="s">
        <v>31</v>
      </c>
      <c r="T879" s="1" t="s">
        <v>33</v>
      </c>
      <c r="U879" s="1">
        <v>0</v>
      </c>
      <c r="V879" s="1">
        <v>119614</v>
      </c>
      <c r="W879" s="7">
        <v>1193.2</v>
      </c>
      <c r="X879" s="1">
        <v>0.7</v>
      </c>
      <c r="Y879" s="4">
        <v>45122</v>
      </c>
      <c r="Z879" s="1" t="s">
        <v>38</v>
      </c>
      <c r="AA879" s="1" t="s">
        <v>33</v>
      </c>
      <c r="AB879" s="36" t="str" cm="1">
        <f t="array" ref="AB879">_xlfn.IFS(K879&gt;650,"LOW",K879&gt;=550,"MEDIUM",K879&lt;550,"HIGH")</f>
        <v>MEDIUM</v>
      </c>
    </row>
    <row r="880" spans="3:28" x14ac:dyDescent="0.3">
      <c r="C880" s="35" t="s">
        <v>2874</v>
      </c>
      <c r="D880" s="1" t="s">
        <v>902</v>
      </c>
      <c r="E880" s="1">
        <v>30</v>
      </c>
      <c r="F880" s="1" t="s">
        <v>44</v>
      </c>
      <c r="G880" s="1" t="s">
        <v>45</v>
      </c>
      <c r="H880" s="1" t="s">
        <v>54</v>
      </c>
      <c r="I880" s="1" t="s">
        <v>57</v>
      </c>
      <c r="J880" s="7">
        <v>85614</v>
      </c>
      <c r="K880" s="1">
        <v>615</v>
      </c>
      <c r="L880" s="7">
        <v>37700</v>
      </c>
      <c r="M880" s="1">
        <v>12</v>
      </c>
      <c r="N880" s="6">
        <v>0.12939999999999999</v>
      </c>
      <c r="O880" s="1" t="s">
        <v>41</v>
      </c>
      <c r="P880" s="1" t="s">
        <v>30</v>
      </c>
      <c r="Q880" s="1">
        <v>25</v>
      </c>
      <c r="R880" s="1">
        <v>4</v>
      </c>
      <c r="S880" s="1" t="s">
        <v>33</v>
      </c>
      <c r="T880" s="1" t="s">
        <v>33</v>
      </c>
      <c r="U880" s="1">
        <v>3</v>
      </c>
      <c r="V880" s="1">
        <v>29492</v>
      </c>
      <c r="W880" s="7">
        <v>1164.6300000000001</v>
      </c>
      <c r="X880" s="1">
        <v>0.5</v>
      </c>
      <c r="Y880" s="4">
        <v>44782</v>
      </c>
      <c r="Z880" s="1" t="s">
        <v>32</v>
      </c>
      <c r="AA880" s="1" t="s">
        <v>33</v>
      </c>
      <c r="AB880" s="36" t="str" cm="1">
        <f t="array" ref="AB880">_xlfn.IFS(K880&gt;650,"LOW",K880&gt;=550,"MEDIUM",K880&lt;550,"HIGH")</f>
        <v>MEDIUM</v>
      </c>
    </row>
    <row r="881" spans="3:28" x14ac:dyDescent="0.3">
      <c r="C881" s="35" t="s">
        <v>3307</v>
      </c>
      <c r="D881" s="1" t="s">
        <v>1330</v>
      </c>
      <c r="E881" s="1">
        <v>56</v>
      </c>
      <c r="F881" s="1" t="s">
        <v>26</v>
      </c>
      <c r="G881" s="1" t="s">
        <v>56</v>
      </c>
      <c r="H881" s="1" t="s">
        <v>36</v>
      </c>
      <c r="I881" s="1" t="s">
        <v>40</v>
      </c>
      <c r="J881" s="7">
        <v>49086</v>
      </c>
      <c r="K881" s="1">
        <v>615</v>
      </c>
      <c r="L881" s="7">
        <v>4909</v>
      </c>
      <c r="M881" s="1">
        <v>24</v>
      </c>
      <c r="N881" s="6">
        <v>0.1404</v>
      </c>
      <c r="O881" s="1" t="s">
        <v>46</v>
      </c>
      <c r="P881" s="1" t="s">
        <v>47</v>
      </c>
      <c r="Q881" s="1">
        <v>18</v>
      </c>
      <c r="R881" s="1">
        <v>3</v>
      </c>
      <c r="S881" s="1" t="s">
        <v>33</v>
      </c>
      <c r="T881" s="1" t="s">
        <v>33</v>
      </c>
      <c r="U881" s="1">
        <v>4</v>
      </c>
      <c r="V881" s="1">
        <v>4825</v>
      </c>
      <c r="W881" s="7">
        <v>1114.4000000000001</v>
      </c>
      <c r="X881" s="1">
        <v>0.28999999999999998</v>
      </c>
      <c r="Y881" s="4">
        <v>44332</v>
      </c>
      <c r="Z881" s="1" t="s">
        <v>38</v>
      </c>
      <c r="AA881" s="1" t="s">
        <v>33</v>
      </c>
      <c r="AB881" s="36" t="str" cm="1">
        <f t="array" ref="AB881">_xlfn.IFS(K881&gt;650,"LOW",K881&gt;=550,"MEDIUM",K881&lt;550,"HIGH")</f>
        <v>MEDIUM</v>
      </c>
    </row>
    <row r="882" spans="3:28" x14ac:dyDescent="0.3">
      <c r="C882" s="35" t="s">
        <v>3814</v>
      </c>
      <c r="D882" s="1" t="s">
        <v>1820</v>
      </c>
      <c r="E882" s="1">
        <v>52</v>
      </c>
      <c r="F882" s="1" t="s">
        <v>26</v>
      </c>
      <c r="G882" s="1" t="s">
        <v>56</v>
      </c>
      <c r="H882" s="1" t="s">
        <v>54</v>
      </c>
      <c r="I882" s="1" t="s">
        <v>59</v>
      </c>
      <c r="J882" s="7">
        <v>23650</v>
      </c>
      <c r="K882" s="1">
        <v>615</v>
      </c>
      <c r="L882" s="7">
        <v>9253</v>
      </c>
      <c r="M882" s="1">
        <v>60</v>
      </c>
      <c r="N882" s="6">
        <v>0.13300000000000001</v>
      </c>
      <c r="O882" s="1" t="s">
        <v>5</v>
      </c>
      <c r="P882" s="1" t="s">
        <v>50</v>
      </c>
      <c r="Q882" s="1">
        <v>16</v>
      </c>
      <c r="R882" s="1">
        <v>3</v>
      </c>
      <c r="S882" s="1" t="s">
        <v>33</v>
      </c>
      <c r="T882" s="1" t="s">
        <v>33</v>
      </c>
      <c r="U882" s="1">
        <v>4</v>
      </c>
      <c r="V882" s="1">
        <v>73923</v>
      </c>
      <c r="W882" s="7">
        <v>149.97999999999999</v>
      </c>
      <c r="X882" s="1">
        <v>0.68</v>
      </c>
      <c r="Y882" s="4">
        <v>45622</v>
      </c>
      <c r="Z882" s="1" t="s">
        <v>32</v>
      </c>
      <c r="AA882" s="1" t="s">
        <v>33</v>
      </c>
      <c r="AB882" s="36" t="str" cm="1">
        <f t="array" ref="AB882">_xlfn.IFS(K882&gt;650,"LOW",K882&gt;=550,"MEDIUM",K882&lt;550,"HIGH")</f>
        <v>MEDIUM</v>
      </c>
    </row>
    <row r="883" spans="3:28" x14ac:dyDescent="0.3">
      <c r="C883" s="35" t="s">
        <v>2351</v>
      </c>
      <c r="D883" s="1" t="s">
        <v>382</v>
      </c>
      <c r="E883" s="1">
        <v>53</v>
      </c>
      <c r="F883" s="1" t="s">
        <v>44</v>
      </c>
      <c r="G883" s="1" t="s">
        <v>27</v>
      </c>
      <c r="H883" s="1" t="s">
        <v>36</v>
      </c>
      <c r="I883" s="1" t="s">
        <v>40</v>
      </c>
      <c r="J883" s="7">
        <v>138361</v>
      </c>
      <c r="K883" s="1">
        <v>614</v>
      </c>
      <c r="L883" s="7">
        <v>30802</v>
      </c>
      <c r="M883" s="1">
        <v>24</v>
      </c>
      <c r="N883" s="6">
        <v>9.0299999999999991E-2</v>
      </c>
      <c r="O883" s="1" t="s">
        <v>5</v>
      </c>
      <c r="P883" s="1" t="s">
        <v>47</v>
      </c>
      <c r="Q883" s="1">
        <v>8</v>
      </c>
      <c r="R883" s="1">
        <v>0</v>
      </c>
      <c r="S883" s="1" t="s">
        <v>33</v>
      </c>
      <c r="T883" s="1" t="s">
        <v>33</v>
      </c>
      <c r="U883" s="1">
        <v>4</v>
      </c>
      <c r="V883" s="1">
        <v>122767</v>
      </c>
      <c r="W883" s="7">
        <v>653.95000000000005</v>
      </c>
      <c r="X883" s="1">
        <v>0.61</v>
      </c>
      <c r="Y883" s="4">
        <v>45699</v>
      </c>
      <c r="Z883" s="1" t="s">
        <v>38</v>
      </c>
      <c r="AA883" s="1" t="s">
        <v>33</v>
      </c>
      <c r="AB883" s="36" t="str" cm="1">
        <f t="array" ref="AB883">_xlfn.IFS(K883&gt;650,"LOW",K883&gt;=550,"MEDIUM",K883&lt;550,"HIGH")</f>
        <v>MEDIUM</v>
      </c>
    </row>
    <row r="884" spans="3:28" x14ac:dyDescent="0.3">
      <c r="C884" s="35" t="s">
        <v>2169</v>
      </c>
      <c r="D884" s="1" t="s">
        <v>200</v>
      </c>
      <c r="E884" s="1">
        <v>56</v>
      </c>
      <c r="F884" s="1" t="s">
        <v>44</v>
      </c>
      <c r="G884" s="1" t="s">
        <v>35</v>
      </c>
      <c r="H884" s="1" t="s">
        <v>54</v>
      </c>
      <c r="I884" s="1" t="s">
        <v>40</v>
      </c>
      <c r="J884" s="7">
        <v>52991</v>
      </c>
      <c r="K884" s="1">
        <v>613</v>
      </c>
      <c r="L884" s="7">
        <v>13961</v>
      </c>
      <c r="M884" s="1">
        <v>60</v>
      </c>
      <c r="N884" s="6">
        <v>0.16750000000000001</v>
      </c>
      <c r="O884" s="1" t="s">
        <v>5</v>
      </c>
      <c r="P884" s="1" t="s">
        <v>47</v>
      </c>
      <c r="Q884" s="1">
        <v>4</v>
      </c>
      <c r="R884" s="1">
        <v>4</v>
      </c>
      <c r="S884" s="1" t="s">
        <v>31</v>
      </c>
      <c r="T884" s="1" t="s">
        <v>31</v>
      </c>
      <c r="U884" s="1">
        <v>1</v>
      </c>
      <c r="V884" s="1">
        <v>54612</v>
      </c>
      <c r="W884" s="7">
        <v>1462.95</v>
      </c>
      <c r="X884" s="1">
        <v>0.55000000000000004</v>
      </c>
      <c r="Y884" s="4">
        <v>45044</v>
      </c>
      <c r="Z884" s="1" t="s">
        <v>32</v>
      </c>
      <c r="AA884" s="1" t="s">
        <v>33</v>
      </c>
      <c r="AB884" s="36" t="str" cm="1">
        <f t="array" ref="AB884">_xlfn.IFS(K884&gt;650,"LOW",K884&gt;=550,"MEDIUM",K884&lt;550,"HIGH")</f>
        <v>MEDIUM</v>
      </c>
    </row>
    <row r="885" spans="3:28" x14ac:dyDescent="0.3">
      <c r="C885" s="35" t="s">
        <v>2052</v>
      </c>
      <c r="D885" s="1" t="s">
        <v>83</v>
      </c>
      <c r="E885" s="1">
        <v>36</v>
      </c>
      <c r="F885" s="1" t="s">
        <v>44</v>
      </c>
      <c r="G885" s="1" t="s">
        <v>27</v>
      </c>
      <c r="H885" s="1" t="s">
        <v>61</v>
      </c>
      <c r="I885" s="1" t="s">
        <v>57</v>
      </c>
      <c r="J885" s="7">
        <v>149753</v>
      </c>
      <c r="K885" s="1">
        <v>612</v>
      </c>
      <c r="L885" s="7">
        <v>37047</v>
      </c>
      <c r="M885" s="1">
        <v>48</v>
      </c>
      <c r="N885" s="6">
        <v>0.1525</v>
      </c>
      <c r="O885" s="1" t="s">
        <v>52</v>
      </c>
      <c r="P885" s="1" t="s">
        <v>50</v>
      </c>
      <c r="Q885" s="1">
        <v>26</v>
      </c>
      <c r="R885" s="1">
        <v>3</v>
      </c>
      <c r="S885" s="1" t="s">
        <v>33</v>
      </c>
      <c r="T885" s="1" t="s">
        <v>33</v>
      </c>
      <c r="U885" s="1">
        <v>0</v>
      </c>
      <c r="V885" s="1">
        <v>2639</v>
      </c>
      <c r="W885" s="7">
        <v>1914.62</v>
      </c>
      <c r="X885" s="1">
        <v>0.82</v>
      </c>
      <c r="Y885" s="4">
        <v>44350</v>
      </c>
      <c r="Z885" s="1" t="s">
        <v>32</v>
      </c>
      <c r="AA885" s="1" t="s">
        <v>33</v>
      </c>
      <c r="AB885" s="36" t="str" cm="1">
        <f t="array" ref="AB885">_xlfn.IFS(K885&gt;650,"LOW",K885&gt;=550,"MEDIUM",K885&lt;550,"HIGH")</f>
        <v>MEDIUM</v>
      </c>
    </row>
    <row r="886" spans="3:28" x14ac:dyDescent="0.3">
      <c r="C886" s="35" t="s">
        <v>2530</v>
      </c>
      <c r="D886" s="1" t="s">
        <v>560</v>
      </c>
      <c r="E886" s="1">
        <v>29</v>
      </c>
      <c r="F886" s="1" t="s">
        <v>26</v>
      </c>
      <c r="G886" s="1" t="s">
        <v>27</v>
      </c>
      <c r="H886" s="1" t="s">
        <v>28</v>
      </c>
      <c r="I886" s="1" t="s">
        <v>40</v>
      </c>
      <c r="J886" s="7">
        <v>66694</v>
      </c>
      <c r="K886" s="1">
        <v>612</v>
      </c>
      <c r="L886" s="7">
        <v>28718</v>
      </c>
      <c r="M886" s="1">
        <v>60</v>
      </c>
      <c r="N886" s="6">
        <v>0.16940000000000002</v>
      </c>
      <c r="O886" s="1" t="s">
        <v>46</v>
      </c>
      <c r="P886" s="1" t="s">
        <v>47</v>
      </c>
      <c r="Q886" s="1">
        <v>28</v>
      </c>
      <c r="R886" s="1">
        <v>4</v>
      </c>
      <c r="S886" s="1" t="s">
        <v>31</v>
      </c>
      <c r="T886" s="1" t="s">
        <v>31</v>
      </c>
      <c r="U886" s="1">
        <v>0</v>
      </c>
      <c r="V886" s="1">
        <v>37705</v>
      </c>
      <c r="W886" s="7">
        <v>1788.14</v>
      </c>
      <c r="X886" s="1">
        <v>0.18</v>
      </c>
      <c r="Y886" s="4">
        <v>45474</v>
      </c>
      <c r="Z886" s="1" t="s">
        <v>38</v>
      </c>
      <c r="AA886" s="1" t="s">
        <v>33</v>
      </c>
      <c r="AB886" s="36" t="str" cm="1">
        <f t="array" ref="AB886">_xlfn.IFS(K886&gt;650,"LOW",K886&gt;=550,"MEDIUM",K886&lt;550,"HIGH")</f>
        <v>MEDIUM</v>
      </c>
    </row>
    <row r="887" spans="3:28" x14ac:dyDescent="0.3">
      <c r="C887" s="35" t="s">
        <v>2712</v>
      </c>
      <c r="D887" s="1" t="s">
        <v>742</v>
      </c>
      <c r="E887" s="1">
        <v>21</v>
      </c>
      <c r="F887" s="1" t="s">
        <v>44</v>
      </c>
      <c r="G887" s="1" t="s">
        <v>45</v>
      </c>
      <c r="H887" s="1" t="s">
        <v>36</v>
      </c>
      <c r="I887" s="1" t="s">
        <v>29</v>
      </c>
      <c r="J887" s="7">
        <v>38174</v>
      </c>
      <c r="K887" s="1">
        <v>612</v>
      </c>
      <c r="L887" s="7">
        <v>19013</v>
      </c>
      <c r="M887" s="1">
        <v>48</v>
      </c>
      <c r="N887" s="6">
        <v>0.15859999999999999</v>
      </c>
      <c r="O887" s="1" t="s">
        <v>41</v>
      </c>
      <c r="P887" s="1" t="s">
        <v>50</v>
      </c>
      <c r="Q887" s="1">
        <v>28</v>
      </c>
      <c r="R887" s="1">
        <v>2</v>
      </c>
      <c r="S887" s="1" t="s">
        <v>31</v>
      </c>
      <c r="T887" s="1" t="s">
        <v>33</v>
      </c>
      <c r="U887" s="1">
        <v>2</v>
      </c>
      <c r="V887" s="1">
        <v>570</v>
      </c>
      <c r="W887" s="7">
        <v>688.32</v>
      </c>
      <c r="X887" s="1">
        <v>0.99</v>
      </c>
      <c r="Y887" s="4">
        <v>44173</v>
      </c>
      <c r="Z887" s="1" t="s">
        <v>38</v>
      </c>
      <c r="AA887" s="1" t="s">
        <v>33</v>
      </c>
      <c r="AB887" s="36" t="str" cm="1">
        <f t="array" ref="AB887">_xlfn.IFS(K887&gt;650,"LOW",K887&gt;=550,"MEDIUM",K887&lt;550,"HIGH")</f>
        <v>MEDIUM</v>
      </c>
    </row>
    <row r="888" spans="3:28" x14ac:dyDescent="0.3">
      <c r="C888" s="35" t="s">
        <v>3722</v>
      </c>
      <c r="D888" s="1" t="s">
        <v>1731</v>
      </c>
      <c r="E888" s="1">
        <v>31</v>
      </c>
      <c r="F888" s="1" t="s">
        <v>26</v>
      </c>
      <c r="G888" s="1" t="s">
        <v>35</v>
      </c>
      <c r="H888" s="1" t="s">
        <v>36</v>
      </c>
      <c r="I888" s="1" t="s">
        <v>29</v>
      </c>
      <c r="J888" s="7">
        <v>133655</v>
      </c>
      <c r="K888" s="1">
        <v>612</v>
      </c>
      <c r="L888" s="7">
        <v>7569</v>
      </c>
      <c r="M888" s="1">
        <v>48</v>
      </c>
      <c r="N888" s="6">
        <v>0.10369999999999999</v>
      </c>
      <c r="O888" s="1" t="s">
        <v>5</v>
      </c>
      <c r="P888" s="1" t="s">
        <v>50</v>
      </c>
      <c r="Q888" s="1">
        <v>7</v>
      </c>
      <c r="R888" s="1">
        <v>4</v>
      </c>
      <c r="S888" s="1" t="s">
        <v>31</v>
      </c>
      <c r="T888" s="1" t="s">
        <v>33</v>
      </c>
      <c r="U888" s="1">
        <v>4</v>
      </c>
      <c r="V888" s="1">
        <v>40295</v>
      </c>
      <c r="W888" s="7">
        <v>593.26</v>
      </c>
      <c r="X888" s="1">
        <v>0.3</v>
      </c>
      <c r="Y888" s="4">
        <v>44848</v>
      </c>
      <c r="Z888" s="1" t="s">
        <v>38</v>
      </c>
      <c r="AA888" s="1" t="s">
        <v>33</v>
      </c>
      <c r="AB888" s="36" t="str" cm="1">
        <f t="array" ref="AB888">_xlfn.IFS(K888&gt;650,"LOW",K888&gt;=550,"MEDIUM",K888&lt;550,"HIGH")</f>
        <v>MEDIUM</v>
      </c>
    </row>
    <row r="889" spans="3:28" x14ac:dyDescent="0.3">
      <c r="C889" s="35" t="s">
        <v>3068</v>
      </c>
      <c r="D889" s="1" t="s">
        <v>1094</v>
      </c>
      <c r="E889" s="1">
        <v>40</v>
      </c>
      <c r="F889" s="1" t="s">
        <v>44</v>
      </c>
      <c r="G889" s="1" t="s">
        <v>35</v>
      </c>
      <c r="H889" s="1" t="s">
        <v>54</v>
      </c>
      <c r="I889" s="1" t="s">
        <v>59</v>
      </c>
      <c r="J889" s="7">
        <v>27957</v>
      </c>
      <c r="K889" s="1">
        <v>611</v>
      </c>
      <c r="L889" s="7">
        <v>4339</v>
      </c>
      <c r="M889" s="1">
        <v>60</v>
      </c>
      <c r="N889" s="6">
        <v>5.9500000000000004E-2</v>
      </c>
      <c r="O889" s="1" t="s">
        <v>63</v>
      </c>
      <c r="P889" s="1" t="s">
        <v>47</v>
      </c>
      <c r="Q889" s="1">
        <v>8</v>
      </c>
      <c r="R889" s="1">
        <v>4</v>
      </c>
      <c r="S889" s="1" t="s">
        <v>31</v>
      </c>
      <c r="T889" s="1" t="s">
        <v>31</v>
      </c>
      <c r="U889" s="1">
        <v>4</v>
      </c>
      <c r="V889" s="1">
        <v>198273</v>
      </c>
      <c r="W889" s="7">
        <v>1614.34</v>
      </c>
      <c r="X889" s="1">
        <v>0.46</v>
      </c>
      <c r="Y889" s="4">
        <v>45124</v>
      </c>
      <c r="Z889" s="1" t="s">
        <v>32</v>
      </c>
      <c r="AA889" s="1" t="s">
        <v>33</v>
      </c>
      <c r="AB889" s="36" t="str" cm="1">
        <f t="array" ref="AB889">_xlfn.IFS(K889&gt;650,"LOW",K889&gt;=550,"MEDIUM",K889&lt;550,"HIGH")</f>
        <v>MEDIUM</v>
      </c>
    </row>
    <row r="890" spans="3:28" x14ac:dyDescent="0.3">
      <c r="C890" s="35" t="s">
        <v>2025</v>
      </c>
      <c r="D890" s="1" t="s">
        <v>48</v>
      </c>
      <c r="E890" s="1">
        <v>41</v>
      </c>
      <c r="F890" s="1" t="s">
        <v>44</v>
      </c>
      <c r="G890" s="1" t="s">
        <v>45</v>
      </c>
      <c r="H890" s="1" t="s">
        <v>36</v>
      </c>
      <c r="I890" s="1" t="s">
        <v>29</v>
      </c>
      <c r="J890" s="7">
        <v>113627</v>
      </c>
      <c r="K890" s="1">
        <v>610</v>
      </c>
      <c r="L890" s="7">
        <v>27844</v>
      </c>
      <c r="M890" s="1">
        <v>36</v>
      </c>
      <c r="N890" s="6">
        <v>0.1971</v>
      </c>
      <c r="O890" s="1" t="s">
        <v>37</v>
      </c>
      <c r="P890" s="1" t="s">
        <v>47</v>
      </c>
      <c r="Q890" s="1">
        <v>11</v>
      </c>
      <c r="R890" s="1">
        <v>3</v>
      </c>
      <c r="S890" s="1" t="s">
        <v>31</v>
      </c>
      <c r="T890" s="1" t="s">
        <v>33</v>
      </c>
      <c r="U890" s="1">
        <v>1</v>
      </c>
      <c r="V890" s="1">
        <v>48826</v>
      </c>
      <c r="W890" s="7">
        <v>1219.9000000000001</v>
      </c>
      <c r="X890" s="1">
        <v>0.36</v>
      </c>
      <c r="Y890" s="4">
        <v>45696</v>
      </c>
      <c r="Z890" s="1" t="s">
        <v>32</v>
      </c>
      <c r="AA890" s="1" t="s">
        <v>31</v>
      </c>
      <c r="AB890" s="36" t="str" cm="1">
        <f t="array" ref="AB890">_xlfn.IFS(K890&gt;650,"LOW",K890&gt;=550,"MEDIUM",K890&lt;550,"HIGH")</f>
        <v>MEDIUM</v>
      </c>
    </row>
    <row r="891" spans="3:28" x14ac:dyDescent="0.3">
      <c r="C891" s="35" t="s">
        <v>2211</v>
      </c>
      <c r="D891" s="1" t="s">
        <v>242</v>
      </c>
      <c r="E891" s="1">
        <v>22</v>
      </c>
      <c r="F891" s="1" t="s">
        <v>26</v>
      </c>
      <c r="G891" s="1" t="s">
        <v>27</v>
      </c>
      <c r="H891" s="1" t="s">
        <v>54</v>
      </c>
      <c r="I891" s="1" t="s">
        <v>29</v>
      </c>
      <c r="J891" s="7">
        <v>47938</v>
      </c>
      <c r="K891" s="1">
        <v>610</v>
      </c>
      <c r="L891" s="7">
        <v>26544</v>
      </c>
      <c r="M891" s="1">
        <v>12</v>
      </c>
      <c r="N891" s="6">
        <v>0.18559999999999999</v>
      </c>
      <c r="O891" s="1" t="s">
        <v>52</v>
      </c>
      <c r="P891" s="1" t="s">
        <v>30</v>
      </c>
      <c r="Q891" s="1">
        <v>22</v>
      </c>
      <c r="R891" s="1">
        <v>4</v>
      </c>
      <c r="S891" s="1" t="s">
        <v>33</v>
      </c>
      <c r="T891" s="1" t="s">
        <v>31</v>
      </c>
      <c r="U891" s="1">
        <v>1</v>
      </c>
      <c r="V891" s="1">
        <v>7688</v>
      </c>
      <c r="W891" s="7">
        <v>706.18</v>
      </c>
      <c r="X891" s="1">
        <v>0.9</v>
      </c>
      <c r="Y891" s="4">
        <v>44884</v>
      </c>
      <c r="Z891" s="1" t="s">
        <v>32</v>
      </c>
      <c r="AA891" s="1" t="s">
        <v>31</v>
      </c>
      <c r="AB891" s="36" t="str" cm="1">
        <f t="array" ref="AB891">_xlfn.IFS(K891&gt;650,"LOW",K891&gt;=550,"MEDIUM",K891&lt;550,"HIGH")</f>
        <v>MEDIUM</v>
      </c>
    </row>
    <row r="892" spans="3:28" x14ac:dyDescent="0.3">
      <c r="C892" s="35" t="s">
        <v>2985</v>
      </c>
      <c r="D892" s="1" t="s">
        <v>1013</v>
      </c>
      <c r="E892" s="1">
        <v>31</v>
      </c>
      <c r="F892" s="1" t="s">
        <v>26</v>
      </c>
      <c r="G892" s="1" t="s">
        <v>45</v>
      </c>
      <c r="H892" s="1" t="s">
        <v>61</v>
      </c>
      <c r="I892" s="1" t="s">
        <v>59</v>
      </c>
      <c r="J892" s="7">
        <v>64460</v>
      </c>
      <c r="K892" s="1">
        <v>610</v>
      </c>
      <c r="L892" s="7">
        <v>37007</v>
      </c>
      <c r="M892" s="1">
        <v>48</v>
      </c>
      <c r="N892" s="6">
        <v>5.7800000000000004E-2</v>
      </c>
      <c r="O892" s="1" t="s">
        <v>41</v>
      </c>
      <c r="P892" s="1" t="s">
        <v>30</v>
      </c>
      <c r="Q892" s="1">
        <v>6</v>
      </c>
      <c r="R892" s="1">
        <v>3</v>
      </c>
      <c r="S892" s="1" t="s">
        <v>31</v>
      </c>
      <c r="T892" s="1" t="s">
        <v>33</v>
      </c>
      <c r="U892" s="1">
        <v>4</v>
      </c>
      <c r="V892" s="1">
        <v>40887</v>
      </c>
      <c r="W892" s="7">
        <v>805.23</v>
      </c>
      <c r="X892" s="1">
        <v>0.8</v>
      </c>
      <c r="Y892" s="4">
        <v>44358</v>
      </c>
      <c r="Z892" s="1" t="s">
        <v>32</v>
      </c>
      <c r="AA892" s="1" t="s">
        <v>33</v>
      </c>
      <c r="AB892" s="36" t="str" cm="1">
        <f t="array" ref="AB892">_xlfn.IFS(K892&gt;650,"LOW",K892&gt;=550,"MEDIUM",K892&lt;550,"HIGH")</f>
        <v>MEDIUM</v>
      </c>
    </row>
    <row r="893" spans="3:28" x14ac:dyDescent="0.3">
      <c r="C893" s="35" t="s">
        <v>3558</v>
      </c>
      <c r="D893" s="1" t="s">
        <v>1575</v>
      </c>
      <c r="E893" s="1">
        <v>39</v>
      </c>
      <c r="F893" s="1" t="s">
        <v>26</v>
      </c>
      <c r="G893" s="1" t="s">
        <v>45</v>
      </c>
      <c r="H893" s="1" t="s">
        <v>54</v>
      </c>
      <c r="I893" s="1" t="s">
        <v>57</v>
      </c>
      <c r="J893" s="7">
        <v>143163</v>
      </c>
      <c r="K893" s="1">
        <v>610</v>
      </c>
      <c r="L893" s="7">
        <v>33360</v>
      </c>
      <c r="M893" s="1">
        <v>36</v>
      </c>
      <c r="N893" s="6">
        <v>0.15670000000000001</v>
      </c>
      <c r="O893" s="1" t="s">
        <v>63</v>
      </c>
      <c r="P893" s="1" t="s">
        <v>47</v>
      </c>
      <c r="Q893" s="1">
        <v>17</v>
      </c>
      <c r="R893" s="1">
        <v>3</v>
      </c>
      <c r="S893" s="1" t="s">
        <v>31</v>
      </c>
      <c r="T893" s="1" t="s">
        <v>31</v>
      </c>
      <c r="U893" s="1">
        <v>0</v>
      </c>
      <c r="V893" s="1">
        <v>93979</v>
      </c>
      <c r="W893" s="7">
        <v>436.04</v>
      </c>
      <c r="X893" s="1">
        <v>0.54</v>
      </c>
      <c r="Y893" s="4">
        <v>45078</v>
      </c>
      <c r="Z893" s="1" t="s">
        <v>32</v>
      </c>
      <c r="AA893" s="1" t="s">
        <v>33</v>
      </c>
      <c r="AB893" s="36" t="str" cm="1">
        <f t="array" ref="AB893">_xlfn.IFS(K893&gt;650,"LOW",K893&gt;=550,"MEDIUM",K893&lt;550,"HIGH")</f>
        <v>MEDIUM</v>
      </c>
    </row>
    <row r="894" spans="3:28" x14ac:dyDescent="0.3">
      <c r="C894" s="35" t="s">
        <v>3933</v>
      </c>
      <c r="D894" s="1" t="s">
        <v>1937</v>
      </c>
      <c r="E894" s="1">
        <v>40</v>
      </c>
      <c r="F894" s="1" t="s">
        <v>26</v>
      </c>
      <c r="G894" s="1" t="s">
        <v>27</v>
      </c>
      <c r="H894" s="1" t="s">
        <v>61</v>
      </c>
      <c r="I894" s="1" t="s">
        <v>29</v>
      </c>
      <c r="J894" s="7">
        <v>111239</v>
      </c>
      <c r="K894" s="1">
        <v>610</v>
      </c>
      <c r="L894" s="7">
        <v>39278</v>
      </c>
      <c r="M894" s="1">
        <v>12</v>
      </c>
      <c r="N894" s="6">
        <v>0.1069</v>
      </c>
      <c r="O894" s="1" t="s">
        <v>5</v>
      </c>
      <c r="P894" s="1" t="s">
        <v>30</v>
      </c>
      <c r="Q894" s="1">
        <v>16</v>
      </c>
      <c r="R894" s="1">
        <v>2</v>
      </c>
      <c r="S894" s="1" t="s">
        <v>33</v>
      </c>
      <c r="T894" s="1" t="s">
        <v>33</v>
      </c>
      <c r="U894" s="1">
        <v>3</v>
      </c>
      <c r="V894" s="1">
        <v>174008</v>
      </c>
      <c r="W894" s="7">
        <v>624.1</v>
      </c>
      <c r="X894" s="1">
        <v>0.65</v>
      </c>
      <c r="Y894" s="4">
        <v>44072</v>
      </c>
      <c r="Z894" s="1" t="s">
        <v>38</v>
      </c>
      <c r="AA894" s="1" t="s">
        <v>31</v>
      </c>
      <c r="AB894" s="36" t="str" cm="1">
        <f t="array" ref="AB894">_xlfn.IFS(K894&gt;650,"LOW",K894&gt;=550,"MEDIUM",K894&lt;550,"HIGH")</f>
        <v>MEDIUM</v>
      </c>
    </row>
    <row r="895" spans="3:28" x14ac:dyDescent="0.3">
      <c r="C895" s="35" t="s">
        <v>2446</v>
      </c>
      <c r="D895" s="1" t="s">
        <v>476</v>
      </c>
      <c r="E895" s="1">
        <v>49</v>
      </c>
      <c r="F895" s="1" t="s">
        <v>26</v>
      </c>
      <c r="G895" s="1" t="s">
        <v>35</v>
      </c>
      <c r="H895" s="1" t="s">
        <v>36</v>
      </c>
      <c r="I895" s="1" t="s">
        <v>40</v>
      </c>
      <c r="J895" s="7">
        <v>112864</v>
      </c>
      <c r="K895" s="1">
        <v>609</v>
      </c>
      <c r="L895" s="7">
        <v>34717</v>
      </c>
      <c r="M895" s="1">
        <v>12</v>
      </c>
      <c r="N895" s="6">
        <v>0.19500000000000001</v>
      </c>
      <c r="O895" s="1" t="s">
        <v>52</v>
      </c>
      <c r="P895" s="1" t="s">
        <v>30</v>
      </c>
      <c r="Q895" s="1">
        <v>7</v>
      </c>
      <c r="R895" s="1">
        <v>0</v>
      </c>
      <c r="S895" s="1" t="s">
        <v>31</v>
      </c>
      <c r="T895" s="1" t="s">
        <v>33</v>
      </c>
      <c r="U895" s="1">
        <v>4</v>
      </c>
      <c r="V895" s="1">
        <v>1067</v>
      </c>
      <c r="W895" s="7">
        <v>879.16</v>
      </c>
      <c r="X895" s="1">
        <v>0.15</v>
      </c>
      <c r="Y895" s="4">
        <v>44657</v>
      </c>
      <c r="Z895" s="1" t="s">
        <v>32</v>
      </c>
      <c r="AA895" s="1" t="s">
        <v>33</v>
      </c>
      <c r="AB895" s="36" t="str" cm="1">
        <f t="array" ref="AB895">_xlfn.IFS(K895&gt;650,"LOW",K895&gt;=550,"MEDIUM",K895&lt;550,"HIGH")</f>
        <v>MEDIUM</v>
      </c>
    </row>
    <row r="896" spans="3:28" x14ac:dyDescent="0.3">
      <c r="C896" s="35" t="s">
        <v>2546</v>
      </c>
      <c r="D896" s="1" t="s">
        <v>576</v>
      </c>
      <c r="E896" s="1">
        <v>55</v>
      </c>
      <c r="F896" s="1" t="s">
        <v>44</v>
      </c>
      <c r="G896" s="1" t="s">
        <v>35</v>
      </c>
      <c r="H896" s="1" t="s">
        <v>28</v>
      </c>
      <c r="I896" s="1" t="s">
        <v>57</v>
      </c>
      <c r="J896" s="7">
        <v>69252</v>
      </c>
      <c r="K896" s="1">
        <v>609</v>
      </c>
      <c r="L896" s="7">
        <v>15274</v>
      </c>
      <c r="M896" s="1">
        <v>12</v>
      </c>
      <c r="N896" s="6">
        <v>0.11220000000000001</v>
      </c>
      <c r="O896" s="1" t="s">
        <v>52</v>
      </c>
      <c r="P896" s="1" t="s">
        <v>50</v>
      </c>
      <c r="Q896" s="1">
        <v>1</v>
      </c>
      <c r="R896" s="1">
        <v>0</v>
      </c>
      <c r="S896" s="1" t="s">
        <v>31</v>
      </c>
      <c r="T896" s="1" t="s">
        <v>31</v>
      </c>
      <c r="U896" s="1">
        <v>3</v>
      </c>
      <c r="V896" s="1">
        <v>33983</v>
      </c>
      <c r="W896" s="7">
        <v>1910.86</v>
      </c>
      <c r="X896" s="1">
        <v>0.93</v>
      </c>
      <c r="Y896" s="4">
        <v>44952</v>
      </c>
      <c r="Z896" s="1" t="s">
        <v>32</v>
      </c>
      <c r="AA896" s="1" t="s">
        <v>33</v>
      </c>
      <c r="AB896" s="36" t="str" cm="1">
        <f t="array" ref="AB896">_xlfn.IFS(K896&gt;650,"LOW",K896&gt;=550,"MEDIUM",K896&lt;550,"HIGH")</f>
        <v>MEDIUM</v>
      </c>
    </row>
    <row r="897" spans="3:28" x14ac:dyDescent="0.3">
      <c r="C897" s="35" t="s">
        <v>2739</v>
      </c>
      <c r="D897" s="1" t="s">
        <v>769</v>
      </c>
      <c r="E897" s="1">
        <v>48</v>
      </c>
      <c r="F897" s="1" t="s">
        <v>44</v>
      </c>
      <c r="G897" s="1" t="s">
        <v>56</v>
      </c>
      <c r="H897" s="1" t="s">
        <v>28</v>
      </c>
      <c r="I897" s="1" t="s">
        <v>29</v>
      </c>
      <c r="J897" s="7">
        <v>22147</v>
      </c>
      <c r="K897" s="1">
        <v>608</v>
      </c>
      <c r="L897" s="7">
        <v>3654</v>
      </c>
      <c r="M897" s="1">
        <v>24</v>
      </c>
      <c r="N897" s="6">
        <v>6.6900000000000001E-2</v>
      </c>
      <c r="O897" s="1" t="s">
        <v>5</v>
      </c>
      <c r="P897" s="1" t="s">
        <v>50</v>
      </c>
      <c r="Q897" s="1">
        <v>19</v>
      </c>
      <c r="R897" s="1">
        <v>0</v>
      </c>
      <c r="S897" s="1" t="s">
        <v>31</v>
      </c>
      <c r="T897" s="1" t="s">
        <v>31</v>
      </c>
      <c r="U897" s="1">
        <v>4</v>
      </c>
      <c r="V897" s="1">
        <v>107078</v>
      </c>
      <c r="W897" s="7">
        <v>1750.22</v>
      </c>
      <c r="X897" s="1">
        <v>0.76</v>
      </c>
      <c r="Y897" s="4">
        <v>44991</v>
      </c>
      <c r="Z897" s="1" t="s">
        <v>32</v>
      </c>
      <c r="AA897" s="1" t="s">
        <v>31</v>
      </c>
      <c r="AB897" s="36" t="str" cm="1">
        <f t="array" ref="AB897">_xlfn.IFS(K897&gt;650,"LOW",K897&gt;=550,"MEDIUM",K897&lt;550,"HIGH")</f>
        <v>MEDIUM</v>
      </c>
    </row>
    <row r="898" spans="3:28" x14ac:dyDescent="0.3">
      <c r="C898" s="35" t="s">
        <v>3069</v>
      </c>
      <c r="D898" s="1" t="s">
        <v>1095</v>
      </c>
      <c r="E898" s="1">
        <v>31</v>
      </c>
      <c r="F898" s="1" t="s">
        <v>44</v>
      </c>
      <c r="G898" s="1" t="s">
        <v>56</v>
      </c>
      <c r="H898" s="1" t="s">
        <v>36</v>
      </c>
      <c r="I898" s="1" t="s">
        <v>57</v>
      </c>
      <c r="J898" s="7">
        <v>134534</v>
      </c>
      <c r="K898" s="1">
        <v>608</v>
      </c>
      <c r="L898" s="7">
        <v>24142</v>
      </c>
      <c r="M898" s="1">
        <v>36</v>
      </c>
      <c r="N898" s="6">
        <v>0.1137</v>
      </c>
      <c r="O898" s="1" t="s">
        <v>46</v>
      </c>
      <c r="P898" s="1" t="s">
        <v>47</v>
      </c>
      <c r="Q898" s="1">
        <v>10</v>
      </c>
      <c r="R898" s="1">
        <v>1</v>
      </c>
      <c r="S898" s="1" t="s">
        <v>31</v>
      </c>
      <c r="T898" s="1" t="s">
        <v>33</v>
      </c>
      <c r="U898" s="1">
        <v>3</v>
      </c>
      <c r="V898" s="1">
        <v>860</v>
      </c>
      <c r="W898" s="7">
        <v>940</v>
      </c>
      <c r="X898" s="1">
        <v>0.99</v>
      </c>
      <c r="Y898" s="4">
        <v>44652</v>
      </c>
      <c r="Z898" s="1" t="s">
        <v>38</v>
      </c>
      <c r="AA898" s="1" t="s">
        <v>33</v>
      </c>
      <c r="AB898" s="36" t="str" cm="1">
        <f t="array" ref="AB898">_xlfn.IFS(K898&gt;650,"LOW",K898&gt;=550,"MEDIUM",K898&lt;550,"HIGH")</f>
        <v>MEDIUM</v>
      </c>
    </row>
    <row r="899" spans="3:28" x14ac:dyDescent="0.3">
      <c r="C899" s="35" t="s">
        <v>3863</v>
      </c>
      <c r="D899" s="1" t="s">
        <v>1869</v>
      </c>
      <c r="E899" s="1">
        <v>55</v>
      </c>
      <c r="F899" s="1" t="s">
        <v>26</v>
      </c>
      <c r="G899" s="1" t="s">
        <v>45</v>
      </c>
      <c r="H899" s="1" t="s">
        <v>28</v>
      </c>
      <c r="I899" s="1" t="s">
        <v>57</v>
      </c>
      <c r="J899" s="7">
        <v>138571</v>
      </c>
      <c r="K899" s="1">
        <v>608</v>
      </c>
      <c r="L899" s="7">
        <v>32510</v>
      </c>
      <c r="M899" s="1">
        <v>12</v>
      </c>
      <c r="N899" s="6">
        <v>0.1356</v>
      </c>
      <c r="O899" s="1" t="s">
        <v>41</v>
      </c>
      <c r="P899" s="1" t="s">
        <v>30</v>
      </c>
      <c r="Q899" s="1">
        <v>5</v>
      </c>
      <c r="R899" s="1">
        <v>4</v>
      </c>
      <c r="S899" s="1" t="s">
        <v>33</v>
      </c>
      <c r="T899" s="1" t="s">
        <v>33</v>
      </c>
      <c r="U899" s="1">
        <v>1</v>
      </c>
      <c r="V899" s="1">
        <v>176851</v>
      </c>
      <c r="W899" s="7">
        <v>935.78</v>
      </c>
      <c r="X899" s="1">
        <v>0.3</v>
      </c>
      <c r="Y899" s="4">
        <v>45723</v>
      </c>
      <c r="Z899" s="1" t="s">
        <v>32</v>
      </c>
      <c r="AA899" s="1" t="s">
        <v>33</v>
      </c>
      <c r="AB899" s="36" t="str" cm="1">
        <f t="array" ref="AB899">_xlfn.IFS(K899&gt;650,"LOW",K899&gt;=550,"MEDIUM",K899&lt;550,"HIGH")</f>
        <v>MEDIUM</v>
      </c>
    </row>
    <row r="900" spans="3:28" x14ac:dyDescent="0.3">
      <c r="C900" s="35" t="s">
        <v>2241</v>
      </c>
      <c r="D900" s="1" t="s">
        <v>272</v>
      </c>
      <c r="E900" s="1">
        <v>53</v>
      </c>
      <c r="F900" s="1" t="s">
        <v>26</v>
      </c>
      <c r="G900" s="1" t="s">
        <v>45</v>
      </c>
      <c r="H900" s="1" t="s">
        <v>36</v>
      </c>
      <c r="I900" s="1" t="s">
        <v>59</v>
      </c>
      <c r="J900" s="7">
        <v>67779</v>
      </c>
      <c r="K900" s="1">
        <v>607</v>
      </c>
      <c r="L900" s="7">
        <v>10643</v>
      </c>
      <c r="M900" s="1">
        <v>48</v>
      </c>
      <c r="N900" s="6">
        <v>0.1837</v>
      </c>
      <c r="O900" s="1" t="s">
        <v>63</v>
      </c>
      <c r="P900" s="1" t="s">
        <v>47</v>
      </c>
      <c r="Q900" s="1">
        <v>14</v>
      </c>
      <c r="R900" s="1">
        <v>2</v>
      </c>
      <c r="S900" s="1" t="s">
        <v>33</v>
      </c>
      <c r="T900" s="1" t="s">
        <v>31</v>
      </c>
      <c r="U900" s="1">
        <v>2</v>
      </c>
      <c r="V900" s="1">
        <v>39170</v>
      </c>
      <c r="W900" s="7">
        <v>567.78</v>
      </c>
      <c r="X900" s="1">
        <v>0.39</v>
      </c>
      <c r="Y900" s="4">
        <v>45364</v>
      </c>
      <c r="Z900" s="1" t="s">
        <v>32</v>
      </c>
      <c r="AA900" s="1" t="s">
        <v>33</v>
      </c>
      <c r="AB900" s="36" t="str" cm="1">
        <f t="array" ref="AB900">_xlfn.IFS(K900&gt;650,"LOW",K900&gt;=550,"MEDIUM",K900&lt;550,"HIGH")</f>
        <v>MEDIUM</v>
      </c>
    </row>
    <row r="901" spans="3:28" x14ac:dyDescent="0.3">
      <c r="C901" s="35" t="s">
        <v>3396</v>
      </c>
      <c r="D901" s="1" t="s">
        <v>1416</v>
      </c>
      <c r="E901" s="1">
        <v>49</v>
      </c>
      <c r="F901" s="1" t="s">
        <v>44</v>
      </c>
      <c r="G901" s="1" t="s">
        <v>56</v>
      </c>
      <c r="H901" s="1" t="s">
        <v>61</v>
      </c>
      <c r="I901" s="1" t="s">
        <v>29</v>
      </c>
      <c r="J901" s="7">
        <v>149237</v>
      </c>
      <c r="K901" s="1">
        <v>607</v>
      </c>
      <c r="L901" s="7">
        <v>36713</v>
      </c>
      <c r="M901" s="1">
        <v>36</v>
      </c>
      <c r="N901" s="6">
        <v>0.1045</v>
      </c>
      <c r="O901" s="1" t="s">
        <v>63</v>
      </c>
      <c r="P901" s="1" t="s">
        <v>47</v>
      </c>
      <c r="Q901" s="1">
        <v>6</v>
      </c>
      <c r="R901" s="1">
        <v>2</v>
      </c>
      <c r="S901" s="1" t="s">
        <v>31</v>
      </c>
      <c r="T901" s="1" t="s">
        <v>33</v>
      </c>
      <c r="U901" s="1">
        <v>0</v>
      </c>
      <c r="V901" s="1">
        <v>54222</v>
      </c>
      <c r="W901" s="7">
        <v>1147.5899999999999</v>
      </c>
      <c r="X901" s="1">
        <v>0.67</v>
      </c>
      <c r="Y901" s="4">
        <v>44429</v>
      </c>
      <c r="Z901" s="1" t="s">
        <v>38</v>
      </c>
      <c r="AA901" s="1" t="s">
        <v>31</v>
      </c>
      <c r="AB901" s="36" t="str" cm="1">
        <f t="array" ref="AB901">_xlfn.IFS(K901&gt;650,"LOW",K901&gt;=550,"MEDIUM",K901&lt;550,"HIGH")</f>
        <v>MEDIUM</v>
      </c>
    </row>
    <row r="902" spans="3:28" x14ac:dyDescent="0.3">
      <c r="C902" s="35" t="s">
        <v>3640</v>
      </c>
      <c r="D902" s="1" t="s">
        <v>1652</v>
      </c>
      <c r="E902" s="1">
        <v>53</v>
      </c>
      <c r="F902" s="1" t="s">
        <v>44</v>
      </c>
      <c r="G902" s="1" t="s">
        <v>35</v>
      </c>
      <c r="H902" s="1" t="s">
        <v>61</v>
      </c>
      <c r="I902" s="1" t="s">
        <v>57</v>
      </c>
      <c r="J902" s="7">
        <v>61111</v>
      </c>
      <c r="K902" s="1">
        <v>607</v>
      </c>
      <c r="L902" s="7">
        <v>29525</v>
      </c>
      <c r="M902" s="1">
        <v>60</v>
      </c>
      <c r="N902" s="6">
        <v>7.9100000000000004E-2</v>
      </c>
      <c r="O902" s="1" t="s">
        <v>46</v>
      </c>
      <c r="P902" s="1" t="s">
        <v>30</v>
      </c>
      <c r="Q902" s="1">
        <v>28</v>
      </c>
      <c r="R902" s="1">
        <v>1</v>
      </c>
      <c r="S902" s="1" t="s">
        <v>33</v>
      </c>
      <c r="T902" s="1" t="s">
        <v>31</v>
      </c>
      <c r="U902" s="1">
        <v>0</v>
      </c>
      <c r="V902" s="1">
        <v>16151</v>
      </c>
      <c r="W902" s="7">
        <v>1520.52</v>
      </c>
      <c r="X902" s="1">
        <v>0.49</v>
      </c>
      <c r="Y902" s="4">
        <v>45256</v>
      </c>
      <c r="Z902" s="1" t="s">
        <v>38</v>
      </c>
      <c r="AA902" s="1" t="s">
        <v>33</v>
      </c>
      <c r="AB902" s="36" t="str" cm="1">
        <f t="array" ref="AB902">_xlfn.IFS(K902&gt;650,"LOW",K902&gt;=550,"MEDIUM",K902&lt;550,"HIGH")</f>
        <v>MEDIUM</v>
      </c>
    </row>
    <row r="903" spans="3:28" x14ac:dyDescent="0.3">
      <c r="C903" s="35" t="s">
        <v>3993</v>
      </c>
      <c r="D903" s="1" t="s">
        <v>1993</v>
      </c>
      <c r="E903" s="1">
        <v>61</v>
      </c>
      <c r="F903" s="1" t="s">
        <v>26</v>
      </c>
      <c r="G903" s="1" t="s">
        <v>45</v>
      </c>
      <c r="H903" s="1" t="s">
        <v>36</v>
      </c>
      <c r="I903" s="1" t="s">
        <v>40</v>
      </c>
      <c r="J903" s="7">
        <v>61831</v>
      </c>
      <c r="K903" s="1">
        <v>607</v>
      </c>
      <c r="L903" s="7">
        <v>21605</v>
      </c>
      <c r="M903" s="1">
        <v>12</v>
      </c>
      <c r="N903" s="6">
        <v>8.4600000000000009E-2</v>
      </c>
      <c r="O903" s="1" t="s">
        <v>52</v>
      </c>
      <c r="P903" s="1" t="s">
        <v>30</v>
      </c>
      <c r="Q903" s="1">
        <v>25</v>
      </c>
      <c r="R903" s="1">
        <v>1</v>
      </c>
      <c r="S903" s="1" t="s">
        <v>33</v>
      </c>
      <c r="T903" s="1" t="s">
        <v>33</v>
      </c>
      <c r="U903" s="1">
        <v>1</v>
      </c>
      <c r="V903" s="1">
        <v>11869</v>
      </c>
      <c r="W903" s="7">
        <v>1511.91</v>
      </c>
      <c r="X903" s="1">
        <v>0.72</v>
      </c>
      <c r="Y903" s="4">
        <v>44519</v>
      </c>
      <c r="Z903" s="1" t="s">
        <v>32</v>
      </c>
      <c r="AA903" s="1" t="s">
        <v>33</v>
      </c>
      <c r="AB903" s="36" t="str" cm="1">
        <f t="array" ref="AB903">_xlfn.IFS(K903&gt;650,"LOW",K903&gt;=550,"MEDIUM",K903&lt;550,"HIGH")</f>
        <v>MEDIUM</v>
      </c>
    </row>
    <row r="904" spans="3:28" x14ac:dyDescent="0.3">
      <c r="C904" s="35" t="s">
        <v>2514</v>
      </c>
      <c r="D904" s="1" t="s">
        <v>544</v>
      </c>
      <c r="E904" s="1">
        <v>49</v>
      </c>
      <c r="F904" s="1" t="s">
        <v>44</v>
      </c>
      <c r="G904" s="1" t="s">
        <v>56</v>
      </c>
      <c r="H904" s="1" t="s">
        <v>54</v>
      </c>
      <c r="I904" s="1" t="s">
        <v>57</v>
      </c>
      <c r="J904" s="7">
        <v>58563</v>
      </c>
      <c r="K904" s="1">
        <v>606</v>
      </c>
      <c r="L904" s="7">
        <v>22424</v>
      </c>
      <c r="M904" s="1">
        <v>36</v>
      </c>
      <c r="N904" s="6">
        <v>9.1199999999999989E-2</v>
      </c>
      <c r="O904" s="1" t="s">
        <v>41</v>
      </c>
      <c r="P904" s="1" t="s">
        <v>30</v>
      </c>
      <c r="Q904" s="1">
        <v>17</v>
      </c>
      <c r="R904" s="1">
        <v>2</v>
      </c>
      <c r="S904" s="1" t="s">
        <v>33</v>
      </c>
      <c r="T904" s="1" t="s">
        <v>31</v>
      </c>
      <c r="U904" s="1">
        <v>3</v>
      </c>
      <c r="V904" s="1">
        <v>116445</v>
      </c>
      <c r="W904" s="7">
        <v>1111.1500000000001</v>
      </c>
      <c r="X904" s="1">
        <v>0.4</v>
      </c>
      <c r="Y904" s="4">
        <v>44224</v>
      </c>
      <c r="Z904" s="1" t="s">
        <v>32</v>
      </c>
      <c r="AA904" s="1" t="s">
        <v>33</v>
      </c>
      <c r="AB904" s="36" t="str" cm="1">
        <f t="array" ref="AB904">_xlfn.IFS(K904&gt;650,"LOW",K904&gt;=550,"MEDIUM",K904&lt;550,"HIGH")</f>
        <v>MEDIUM</v>
      </c>
    </row>
    <row r="905" spans="3:28" x14ac:dyDescent="0.3">
      <c r="C905" s="35" t="s">
        <v>3047</v>
      </c>
      <c r="D905" s="1" t="s">
        <v>1074</v>
      </c>
      <c r="E905" s="1">
        <v>58</v>
      </c>
      <c r="F905" s="1" t="s">
        <v>44</v>
      </c>
      <c r="G905" s="1" t="s">
        <v>56</v>
      </c>
      <c r="H905" s="1" t="s">
        <v>61</v>
      </c>
      <c r="I905" s="1" t="s">
        <v>57</v>
      </c>
      <c r="J905" s="7">
        <v>94777</v>
      </c>
      <c r="K905" s="1">
        <v>606</v>
      </c>
      <c r="L905" s="7">
        <v>28898</v>
      </c>
      <c r="M905" s="1">
        <v>24</v>
      </c>
      <c r="N905" s="6">
        <v>0.1348</v>
      </c>
      <c r="O905" s="1" t="s">
        <v>37</v>
      </c>
      <c r="P905" s="1" t="s">
        <v>30</v>
      </c>
      <c r="Q905" s="1">
        <v>25</v>
      </c>
      <c r="R905" s="1">
        <v>4</v>
      </c>
      <c r="S905" s="1" t="s">
        <v>33</v>
      </c>
      <c r="T905" s="1" t="s">
        <v>33</v>
      </c>
      <c r="U905" s="1">
        <v>4</v>
      </c>
      <c r="V905" s="1">
        <v>95155</v>
      </c>
      <c r="W905" s="7">
        <v>401.92</v>
      </c>
      <c r="X905" s="1">
        <v>0.77</v>
      </c>
      <c r="Y905" s="4">
        <v>44697</v>
      </c>
      <c r="Z905" s="1" t="s">
        <v>32</v>
      </c>
      <c r="AA905" s="1" t="s">
        <v>33</v>
      </c>
      <c r="AB905" s="36" t="str" cm="1">
        <f t="array" ref="AB905">_xlfn.IFS(K905&gt;650,"LOW",K905&gt;=550,"MEDIUM",K905&lt;550,"HIGH")</f>
        <v>MEDIUM</v>
      </c>
    </row>
    <row r="906" spans="3:28" x14ac:dyDescent="0.3">
      <c r="C906" s="35" t="s">
        <v>3131</v>
      </c>
      <c r="D906" s="1" t="s">
        <v>1156</v>
      </c>
      <c r="E906" s="1">
        <v>37</v>
      </c>
      <c r="F906" s="1" t="s">
        <v>44</v>
      </c>
      <c r="G906" s="1" t="s">
        <v>35</v>
      </c>
      <c r="H906" s="1" t="s">
        <v>61</v>
      </c>
      <c r="I906" s="1" t="s">
        <v>59</v>
      </c>
      <c r="J906" s="7">
        <v>55929</v>
      </c>
      <c r="K906" s="1">
        <v>606</v>
      </c>
      <c r="L906" s="7">
        <v>1260</v>
      </c>
      <c r="M906" s="1">
        <v>24</v>
      </c>
      <c r="N906" s="6">
        <v>0.1875</v>
      </c>
      <c r="O906" s="1" t="s">
        <v>52</v>
      </c>
      <c r="P906" s="1" t="s">
        <v>47</v>
      </c>
      <c r="Q906" s="1">
        <v>2</v>
      </c>
      <c r="R906" s="1">
        <v>2</v>
      </c>
      <c r="S906" s="1" t="s">
        <v>33</v>
      </c>
      <c r="T906" s="1" t="s">
        <v>31</v>
      </c>
      <c r="U906" s="1">
        <v>0</v>
      </c>
      <c r="V906" s="1">
        <v>2521</v>
      </c>
      <c r="W906" s="7">
        <v>548.96</v>
      </c>
      <c r="X906" s="1">
        <v>0.69</v>
      </c>
      <c r="Y906" s="4">
        <v>45775</v>
      </c>
      <c r="Z906" s="1" t="s">
        <v>32</v>
      </c>
      <c r="AA906" s="1" t="s">
        <v>33</v>
      </c>
      <c r="AB906" s="36" t="str" cm="1">
        <f t="array" ref="AB906">_xlfn.IFS(K906&gt;650,"LOW",K906&gt;=550,"MEDIUM",K906&lt;550,"HIGH")</f>
        <v>MEDIUM</v>
      </c>
    </row>
    <row r="907" spans="3:28" x14ac:dyDescent="0.3">
      <c r="C907" s="35" t="s">
        <v>3445</v>
      </c>
      <c r="D907" s="1" t="s">
        <v>1463</v>
      </c>
      <c r="E907" s="1">
        <v>64</v>
      </c>
      <c r="F907" s="1" t="s">
        <v>44</v>
      </c>
      <c r="G907" s="1" t="s">
        <v>56</v>
      </c>
      <c r="H907" s="1" t="s">
        <v>61</v>
      </c>
      <c r="I907" s="1" t="s">
        <v>40</v>
      </c>
      <c r="J907" s="7">
        <v>129543</v>
      </c>
      <c r="K907" s="1">
        <v>606</v>
      </c>
      <c r="L907" s="7">
        <v>19996</v>
      </c>
      <c r="M907" s="1">
        <v>60</v>
      </c>
      <c r="N907" s="6">
        <v>0.12089999999999999</v>
      </c>
      <c r="O907" s="1" t="s">
        <v>37</v>
      </c>
      <c r="P907" s="1" t="s">
        <v>47</v>
      </c>
      <c r="Q907" s="1">
        <v>7</v>
      </c>
      <c r="R907" s="1">
        <v>0</v>
      </c>
      <c r="S907" s="1" t="s">
        <v>31</v>
      </c>
      <c r="T907" s="1" t="s">
        <v>33</v>
      </c>
      <c r="U907" s="1">
        <v>3</v>
      </c>
      <c r="V907" s="1">
        <v>92060</v>
      </c>
      <c r="W907" s="7">
        <v>1470.36</v>
      </c>
      <c r="X907" s="1">
        <v>0.49</v>
      </c>
      <c r="Y907" s="4">
        <v>45612</v>
      </c>
      <c r="Z907" s="1" t="s">
        <v>32</v>
      </c>
      <c r="AA907" s="1" t="s">
        <v>31</v>
      </c>
      <c r="AB907" s="36" t="str" cm="1">
        <f t="array" ref="AB907">_xlfn.IFS(K907&gt;650,"LOW",K907&gt;=550,"MEDIUM",K907&lt;550,"HIGH")</f>
        <v>MEDIUM</v>
      </c>
    </row>
    <row r="908" spans="3:28" x14ac:dyDescent="0.3">
      <c r="C908" s="35" t="s">
        <v>3505</v>
      </c>
      <c r="D908" s="1" t="s">
        <v>1522</v>
      </c>
      <c r="E908" s="1">
        <v>55</v>
      </c>
      <c r="F908" s="1" t="s">
        <v>44</v>
      </c>
      <c r="G908" s="1" t="s">
        <v>45</v>
      </c>
      <c r="H908" s="1" t="s">
        <v>54</v>
      </c>
      <c r="I908" s="1" t="s">
        <v>40</v>
      </c>
      <c r="J908" s="7">
        <v>70182</v>
      </c>
      <c r="K908" s="1">
        <v>606</v>
      </c>
      <c r="L908" s="7">
        <v>29080</v>
      </c>
      <c r="M908" s="1">
        <v>48</v>
      </c>
      <c r="N908" s="6">
        <v>0.17430000000000001</v>
      </c>
      <c r="O908" s="1" t="s">
        <v>52</v>
      </c>
      <c r="P908" s="1" t="s">
        <v>30</v>
      </c>
      <c r="Q908" s="1">
        <v>20</v>
      </c>
      <c r="R908" s="1">
        <v>2</v>
      </c>
      <c r="S908" s="1" t="s">
        <v>31</v>
      </c>
      <c r="T908" s="1" t="s">
        <v>31</v>
      </c>
      <c r="U908" s="1">
        <v>0</v>
      </c>
      <c r="V908" s="1">
        <v>146834</v>
      </c>
      <c r="W908" s="7">
        <v>440.42</v>
      </c>
      <c r="X908" s="1">
        <v>0.46</v>
      </c>
      <c r="Y908" s="4">
        <v>45736</v>
      </c>
      <c r="Z908" s="1" t="s">
        <v>32</v>
      </c>
      <c r="AA908" s="1" t="s">
        <v>33</v>
      </c>
      <c r="AB908" s="36" t="str" cm="1">
        <f t="array" ref="AB908">_xlfn.IFS(K908&gt;650,"LOW",K908&gt;=550,"MEDIUM",K908&lt;550,"HIGH")</f>
        <v>MEDIUM</v>
      </c>
    </row>
    <row r="909" spans="3:28" x14ac:dyDescent="0.3">
      <c r="C909" s="35" t="s">
        <v>3746</v>
      </c>
      <c r="D909" s="1" t="s">
        <v>1754</v>
      </c>
      <c r="E909" s="1">
        <v>35</v>
      </c>
      <c r="F909" s="1" t="s">
        <v>44</v>
      </c>
      <c r="G909" s="1" t="s">
        <v>45</v>
      </c>
      <c r="H909" s="1" t="s">
        <v>28</v>
      </c>
      <c r="I909" s="1" t="s">
        <v>29</v>
      </c>
      <c r="J909" s="7">
        <v>116895</v>
      </c>
      <c r="K909" s="1">
        <v>606</v>
      </c>
      <c r="L909" s="7">
        <v>35314</v>
      </c>
      <c r="M909" s="1">
        <v>48</v>
      </c>
      <c r="N909" s="6">
        <v>5.4800000000000001E-2</v>
      </c>
      <c r="O909" s="1" t="s">
        <v>46</v>
      </c>
      <c r="P909" s="1" t="s">
        <v>30</v>
      </c>
      <c r="Q909" s="1">
        <v>18</v>
      </c>
      <c r="R909" s="1">
        <v>3</v>
      </c>
      <c r="S909" s="1" t="s">
        <v>33</v>
      </c>
      <c r="T909" s="1" t="s">
        <v>31</v>
      </c>
      <c r="U909" s="1">
        <v>1</v>
      </c>
      <c r="V909" s="1">
        <v>76647</v>
      </c>
      <c r="W909" s="7">
        <v>821.34</v>
      </c>
      <c r="X909" s="1">
        <v>0.22</v>
      </c>
      <c r="Y909" s="4">
        <v>45337</v>
      </c>
      <c r="Z909" s="1" t="s">
        <v>32</v>
      </c>
      <c r="AA909" s="1" t="s">
        <v>33</v>
      </c>
      <c r="AB909" s="36" t="str" cm="1">
        <f t="array" ref="AB909">_xlfn.IFS(K909&gt;650,"LOW",K909&gt;=550,"MEDIUM",K909&lt;550,"HIGH")</f>
        <v>MEDIUM</v>
      </c>
    </row>
    <row r="910" spans="3:28" x14ac:dyDescent="0.3">
      <c r="C910" s="35" t="s">
        <v>3764</v>
      </c>
      <c r="D910" s="1" t="s">
        <v>1772</v>
      </c>
      <c r="E910" s="1">
        <v>46</v>
      </c>
      <c r="F910" s="1" t="s">
        <v>44</v>
      </c>
      <c r="G910" s="1" t="s">
        <v>45</v>
      </c>
      <c r="H910" s="1" t="s">
        <v>36</v>
      </c>
      <c r="I910" s="1" t="s">
        <v>29</v>
      </c>
      <c r="J910" s="7">
        <v>137399</v>
      </c>
      <c r="K910" s="1">
        <v>606</v>
      </c>
      <c r="L910" s="7">
        <v>25524</v>
      </c>
      <c r="M910" s="1">
        <v>36</v>
      </c>
      <c r="N910" s="6">
        <v>0.1091</v>
      </c>
      <c r="O910" s="1" t="s">
        <v>63</v>
      </c>
      <c r="P910" s="1" t="s">
        <v>30</v>
      </c>
      <c r="Q910" s="1">
        <v>22</v>
      </c>
      <c r="R910" s="1">
        <v>2</v>
      </c>
      <c r="S910" s="1" t="s">
        <v>31</v>
      </c>
      <c r="T910" s="1" t="s">
        <v>31</v>
      </c>
      <c r="U910" s="1">
        <v>1</v>
      </c>
      <c r="V910" s="1">
        <v>52963</v>
      </c>
      <c r="W910" s="7">
        <v>841.98</v>
      </c>
      <c r="X910" s="1">
        <v>0.96</v>
      </c>
      <c r="Y910" s="4">
        <v>45545</v>
      </c>
      <c r="Z910" s="1" t="s">
        <v>38</v>
      </c>
      <c r="AA910" s="1" t="s">
        <v>33</v>
      </c>
      <c r="AB910" s="36" t="str" cm="1">
        <f t="array" ref="AB910">_xlfn.IFS(K910&gt;650,"LOW",K910&gt;=550,"MEDIUM",K910&lt;550,"HIGH")</f>
        <v>MEDIUM</v>
      </c>
    </row>
    <row r="911" spans="3:28" x14ac:dyDescent="0.3">
      <c r="C911" s="35" t="s">
        <v>2373</v>
      </c>
      <c r="D911" s="1" t="s">
        <v>403</v>
      </c>
      <c r="E911" s="1">
        <v>60</v>
      </c>
      <c r="F911" s="1" t="s">
        <v>26</v>
      </c>
      <c r="G911" s="1" t="s">
        <v>27</v>
      </c>
      <c r="H911" s="1" t="s">
        <v>54</v>
      </c>
      <c r="I911" s="1" t="s">
        <v>29</v>
      </c>
      <c r="J911" s="7">
        <v>99732</v>
      </c>
      <c r="K911" s="1">
        <v>605</v>
      </c>
      <c r="L911" s="7">
        <v>35185</v>
      </c>
      <c r="M911" s="1">
        <v>12</v>
      </c>
      <c r="N911" s="6">
        <v>0.18179999999999999</v>
      </c>
      <c r="O911" s="1" t="s">
        <v>37</v>
      </c>
      <c r="P911" s="1" t="s">
        <v>30</v>
      </c>
      <c r="Q911" s="1">
        <v>24</v>
      </c>
      <c r="R911" s="1">
        <v>4</v>
      </c>
      <c r="S911" s="1" t="s">
        <v>31</v>
      </c>
      <c r="T911" s="1" t="s">
        <v>33</v>
      </c>
      <c r="U911" s="1">
        <v>0</v>
      </c>
      <c r="V911" s="1">
        <v>123652</v>
      </c>
      <c r="W911" s="7">
        <v>805.65</v>
      </c>
      <c r="X911" s="1">
        <v>0.74</v>
      </c>
      <c r="Y911" s="4">
        <v>44670</v>
      </c>
      <c r="Z911" s="1" t="s">
        <v>38</v>
      </c>
      <c r="AA911" s="1" t="s">
        <v>31</v>
      </c>
      <c r="AB911" s="36" t="str" cm="1">
        <f t="array" ref="AB911">_xlfn.IFS(K911&gt;650,"LOW",K911&gt;=550,"MEDIUM",K911&lt;550,"HIGH")</f>
        <v>MEDIUM</v>
      </c>
    </row>
    <row r="912" spans="3:28" x14ac:dyDescent="0.3">
      <c r="C912" s="35" t="s">
        <v>2601</v>
      </c>
      <c r="D912" s="1" t="s">
        <v>631</v>
      </c>
      <c r="E912" s="1">
        <v>49</v>
      </c>
      <c r="F912" s="1" t="s">
        <v>26</v>
      </c>
      <c r="G912" s="1" t="s">
        <v>45</v>
      </c>
      <c r="H912" s="1" t="s">
        <v>28</v>
      </c>
      <c r="I912" s="1" t="s">
        <v>40</v>
      </c>
      <c r="J912" s="7">
        <v>68270</v>
      </c>
      <c r="K912" s="1">
        <v>605</v>
      </c>
      <c r="L912" s="7">
        <v>2652</v>
      </c>
      <c r="M912" s="1">
        <v>48</v>
      </c>
      <c r="N912" s="6">
        <v>0.16899999999999998</v>
      </c>
      <c r="O912" s="1" t="s">
        <v>37</v>
      </c>
      <c r="P912" s="1" t="s">
        <v>50</v>
      </c>
      <c r="Q912" s="1">
        <v>20</v>
      </c>
      <c r="R912" s="1">
        <v>3</v>
      </c>
      <c r="S912" s="1" t="s">
        <v>31</v>
      </c>
      <c r="T912" s="1" t="s">
        <v>31</v>
      </c>
      <c r="U912" s="1">
        <v>4</v>
      </c>
      <c r="V912" s="1">
        <v>47683</v>
      </c>
      <c r="W912" s="7">
        <v>459.79</v>
      </c>
      <c r="X912" s="1">
        <v>0.86</v>
      </c>
      <c r="Y912" s="4">
        <v>45182</v>
      </c>
      <c r="Z912" s="1" t="s">
        <v>38</v>
      </c>
      <c r="AA912" s="1" t="s">
        <v>33</v>
      </c>
      <c r="AB912" s="36" t="str" cm="1">
        <f t="array" ref="AB912">_xlfn.IFS(K912&gt;650,"LOW",K912&gt;=550,"MEDIUM",K912&lt;550,"HIGH")</f>
        <v>MEDIUM</v>
      </c>
    </row>
    <row r="913" spans="3:28" x14ac:dyDescent="0.3">
      <c r="C913" s="35" t="s">
        <v>2828</v>
      </c>
      <c r="D913" s="1" t="s">
        <v>856</v>
      </c>
      <c r="E913" s="1">
        <v>29</v>
      </c>
      <c r="F913" s="1" t="s">
        <v>44</v>
      </c>
      <c r="G913" s="1" t="s">
        <v>27</v>
      </c>
      <c r="H913" s="1" t="s">
        <v>36</v>
      </c>
      <c r="I913" s="1" t="s">
        <v>59</v>
      </c>
      <c r="J913" s="7">
        <v>128965</v>
      </c>
      <c r="K913" s="1">
        <v>605</v>
      </c>
      <c r="L913" s="7">
        <v>36245</v>
      </c>
      <c r="M913" s="1">
        <v>12</v>
      </c>
      <c r="N913" s="6">
        <v>8.8499999999999995E-2</v>
      </c>
      <c r="O913" s="1" t="s">
        <v>46</v>
      </c>
      <c r="P913" s="1" t="s">
        <v>30</v>
      </c>
      <c r="Q913" s="1">
        <v>13</v>
      </c>
      <c r="R913" s="1">
        <v>0</v>
      </c>
      <c r="S913" s="1" t="s">
        <v>31</v>
      </c>
      <c r="T913" s="1" t="s">
        <v>31</v>
      </c>
      <c r="U913" s="1">
        <v>1</v>
      </c>
      <c r="V913" s="1">
        <v>134678</v>
      </c>
      <c r="W913" s="7">
        <v>792.66</v>
      </c>
      <c r="X913" s="1">
        <v>0.69</v>
      </c>
      <c r="Y913" s="4">
        <v>44040</v>
      </c>
      <c r="Z913" s="1" t="s">
        <v>32</v>
      </c>
      <c r="AA913" s="1" t="s">
        <v>33</v>
      </c>
      <c r="AB913" s="36" t="str" cm="1">
        <f t="array" ref="AB913">_xlfn.IFS(K913&gt;650,"LOW",K913&gt;=550,"MEDIUM",K913&lt;550,"HIGH")</f>
        <v>MEDIUM</v>
      </c>
    </row>
    <row r="914" spans="3:28" x14ac:dyDescent="0.3">
      <c r="C914" s="35" t="s">
        <v>3314</v>
      </c>
      <c r="D914" s="1" t="s">
        <v>1337</v>
      </c>
      <c r="E914" s="1">
        <v>56</v>
      </c>
      <c r="F914" s="1" t="s">
        <v>26</v>
      </c>
      <c r="G914" s="1" t="s">
        <v>56</v>
      </c>
      <c r="H914" s="1" t="s">
        <v>54</v>
      </c>
      <c r="I914" s="1" t="s">
        <v>59</v>
      </c>
      <c r="J914" s="7">
        <v>105610</v>
      </c>
      <c r="K914" s="1">
        <v>605</v>
      </c>
      <c r="L914" s="7">
        <v>20465</v>
      </c>
      <c r="M914" s="1">
        <v>48</v>
      </c>
      <c r="N914" s="6">
        <v>0.1825</v>
      </c>
      <c r="O914" s="1" t="s">
        <v>37</v>
      </c>
      <c r="P914" s="1" t="s">
        <v>47</v>
      </c>
      <c r="Q914" s="1">
        <v>22</v>
      </c>
      <c r="R914" s="1">
        <v>1</v>
      </c>
      <c r="S914" s="1" t="s">
        <v>33</v>
      </c>
      <c r="T914" s="1" t="s">
        <v>33</v>
      </c>
      <c r="U914" s="1">
        <v>0</v>
      </c>
      <c r="V914" s="1">
        <v>147964</v>
      </c>
      <c r="W914" s="7">
        <v>1396.82</v>
      </c>
      <c r="X914" s="1">
        <v>0.44</v>
      </c>
      <c r="Y914" s="4">
        <v>44630</v>
      </c>
      <c r="Z914" s="1" t="s">
        <v>38</v>
      </c>
      <c r="AA914" s="1" t="s">
        <v>33</v>
      </c>
      <c r="AB914" s="36" t="str" cm="1">
        <f t="array" ref="AB914">_xlfn.IFS(K914&gt;650,"LOW",K914&gt;=550,"MEDIUM",K914&lt;550,"HIGH")</f>
        <v>MEDIUM</v>
      </c>
    </row>
    <row r="915" spans="3:28" x14ac:dyDescent="0.3">
      <c r="C915" s="35" t="s">
        <v>3816</v>
      </c>
      <c r="D915" s="1" t="s">
        <v>1822</v>
      </c>
      <c r="E915" s="1">
        <v>38</v>
      </c>
      <c r="F915" s="1" t="s">
        <v>44</v>
      </c>
      <c r="G915" s="1" t="s">
        <v>45</v>
      </c>
      <c r="H915" s="1" t="s">
        <v>61</v>
      </c>
      <c r="I915" s="1" t="s">
        <v>29</v>
      </c>
      <c r="J915" s="7">
        <v>111244</v>
      </c>
      <c r="K915" s="1">
        <v>605</v>
      </c>
      <c r="L915" s="7">
        <v>5887</v>
      </c>
      <c r="M915" s="1">
        <v>12</v>
      </c>
      <c r="N915" s="6">
        <v>7.8E-2</v>
      </c>
      <c r="O915" s="1" t="s">
        <v>37</v>
      </c>
      <c r="P915" s="1" t="s">
        <v>47</v>
      </c>
      <c r="Q915" s="1">
        <v>27</v>
      </c>
      <c r="R915" s="1">
        <v>3</v>
      </c>
      <c r="S915" s="1" t="s">
        <v>33</v>
      </c>
      <c r="T915" s="1" t="s">
        <v>33</v>
      </c>
      <c r="U915" s="1">
        <v>2</v>
      </c>
      <c r="V915" s="1">
        <v>101395</v>
      </c>
      <c r="W915" s="7">
        <v>1442.32</v>
      </c>
      <c r="X915" s="1">
        <v>0.41</v>
      </c>
      <c r="Y915" s="4">
        <v>44201</v>
      </c>
      <c r="Z915" s="1" t="s">
        <v>38</v>
      </c>
      <c r="AA915" s="1" t="s">
        <v>33</v>
      </c>
      <c r="AB915" s="36" t="str" cm="1">
        <f t="array" ref="AB915">_xlfn.IFS(K915&gt;650,"LOW",K915&gt;=550,"MEDIUM",K915&lt;550,"HIGH")</f>
        <v>MEDIUM</v>
      </c>
    </row>
    <row r="916" spans="3:28" x14ac:dyDescent="0.3">
      <c r="C916" s="35" t="s">
        <v>3895</v>
      </c>
      <c r="D916" s="1" t="s">
        <v>1899</v>
      </c>
      <c r="E916" s="1">
        <v>56</v>
      </c>
      <c r="F916" s="1" t="s">
        <v>44</v>
      </c>
      <c r="G916" s="1" t="s">
        <v>35</v>
      </c>
      <c r="H916" s="1" t="s">
        <v>54</v>
      </c>
      <c r="I916" s="1" t="s">
        <v>29</v>
      </c>
      <c r="J916" s="7">
        <v>73080</v>
      </c>
      <c r="K916" s="1">
        <v>603</v>
      </c>
      <c r="L916" s="7">
        <v>9212</v>
      </c>
      <c r="M916" s="1">
        <v>24</v>
      </c>
      <c r="N916" s="6">
        <v>6.93E-2</v>
      </c>
      <c r="O916" s="1" t="s">
        <v>46</v>
      </c>
      <c r="P916" s="1" t="s">
        <v>47</v>
      </c>
      <c r="Q916" s="1">
        <v>20</v>
      </c>
      <c r="R916" s="1">
        <v>1</v>
      </c>
      <c r="S916" s="1" t="s">
        <v>31</v>
      </c>
      <c r="T916" s="1" t="s">
        <v>33</v>
      </c>
      <c r="U916" s="1">
        <v>1</v>
      </c>
      <c r="V916" s="1">
        <v>115799</v>
      </c>
      <c r="W916" s="7">
        <v>366.27</v>
      </c>
      <c r="X916" s="1">
        <v>0.84</v>
      </c>
      <c r="Y916" s="4">
        <v>45759</v>
      </c>
      <c r="Z916" s="1" t="s">
        <v>38</v>
      </c>
      <c r="AA916" s="1" t="s">
        <v>33</v>
      </c>
      <c r="AB916" s="36" t="str" cm="1">
        <f t="array" ref="AB916">_xlfn.IFS(K916&gt;650,"LOW",K916&gt;=550,"MEDIUM",K916&lt;550,"HIGH")</f>
        <v>MEDIUM</v>
      </c>
    </row>
    <row r="917" spans="3:28" x14ac:dyDescent="0.3">
      <c r="C917" s="35" t="s">
        <v>2501</v>
      </c>
      <c r="D917" s="1" t="s">
        <v>531</v>
      </c>
      <c r="E917" s="1">
        <v>30</v>
      </c>
      <c r="F917" s="1" t="s">
        <v>26</v>
      </c>
      <c r="G917" s="1" t="s">
        <v>35</v>
      </c>
      <c r="H917" s="1" t="s">
        <v>28</v>
      </c>
      <c r="I917" s="1" t="s">
        <v>57</v>
      </c>
      <c r="J917" s="7">
        <v>88178</v>
      </c>
      <c r="K917" s="1">
        <v>602</v>
      </c>
      <c r="L917" s="7">
        <v>21312</v>
      </c>
      <c r="M917" s="1">
        <v>48</v>
      </c>
      <c r="N917" s="6">
        <v>0.19829999999999998</v>
      </c>
      <c r="O917" s="1" t="s">
        <v>5</v>
      </c>
      <c r="P917" s="1" t="s">
        <v>30</v>
      </c>
      <c r="Q917" s="1">
        <v>24</v>
      </c>
      <c r="R917" s="1">
        <v>0</v>
      </c>
      <c r="S917" s="1" t="s">
        <v>33</v>
      </c>
      <c r="T917" s="1" t="s">
        <v>31</v>
      </c>
      <c r="U917" s="1">
        <v>2</v>
      </c>
      <c r="V917" s="1">
        <v>186041</v>
      </c>
      <c r="W917" s="7">
        <v>1660.41</v>
      </c>
      <c r="X917" s="1">
        <v>0.68</v>
      </c>
      <c r="Y917" s="4">
        <v>44430</v>
      </c>
      <c r="Z917" s="1" t="s">
        <v>38</v>
      </c>
      <c r="AA917" s="1" t="s">
        <v>33</v>
      </c>
      <c r="AB917" s="36" t="str" cm="1">
        <f t="array" ref="AB917">_xlfn.IFS(K917&gt;650,"LOW",K917&gt;=550,"MEDIUM",K917&lt;550,"HIGH")</f>
        <v>MEDIUM</v>
      </c>
    </row>
    <row r="918" spans="3:28" x14ac:dyDescent="0.3">
      <c r="C918" s="35" t="s">
        <v>3368</v>
      </c>
      <c r="D918" s="1" t="s">
        <v>1390</v>
      </c>
      <c r="E918" s="1">
        <v>57</v>
      </c>
      <c r="F918" s="1" t="s">
        <v>44</v>
      </c>
      <c r="G918" s="1" t="s">
        <v>45</v>
      </c>
      <c r="H918" s="1" t="s">
        <v>36</v>
      </c>
      <c r="I918" s="1" t="s">
        <v>57</v>
      </c>
      <c r="J918" s="7">
        <v>23771</v>
      </c>
      <c r="K918" s="1">
        <v>602</v>
      </c>
      <c r="L918" s="7">
        <v>23161</v>
      </c>
      <c r="M918" s="1">
        <v>60</v>
      </c>
      <c r="N918" s="6">
        <v>0.13390000000000002</v>
      </c>
      <c r="O918" s="1" t="s">
        <v>41</v>
      </c>
      <c r="P918" s="1" t="s">
        <v>47</v>
      </c>
      <c r="Q918" s="1">
        <v>22</v>
      </c>
      <c r="R918" s="1">
        <v>3</v>
      </c>
      <c r="S918" s="1" t="s">
        <v>31</v>
      </c>
      <c r="T918" s="1" t="s">
        <v>33</v>
      </c>
      <c r="U918" s="1">
        <v>1</v>
      </c>
      <c r="V918" s="1">
        <v>94538</v>
      </c>
      <c r="W918" s="7">
        <v>1454.01</v>
      </c>
      <c r="X918" s="1">
        <v>0.81</v>
      </c>
      <c r="Y918" s="4">
        <v>44940</v>
      </c>
      <c r="Z918" s="1" t="s">
        <v>32</v>
      </c>
      <c r="AA918" s="1" t="s">
        <v>33</v>
      </c>
      <c r="AB918" s="36" t="str" cm="1">
        <f t="array" ref="AB918">_xlfn.IFS(K918&gt;650,"LOW",K918&gt;=550,"MEDIUM",K918&lt;550,"HIGH")</f>
        <v>MEDIUM</v>
      </c>
    </row>
    <row r="919" spans="3:28" x14ac:dyDescent="0.3">
      <c r="C919" s="35" t="s">
        <v>3513</v>
      </c>
      <c r="D919" s="1" t="s">
        <v>1530</v>
      </c>
      <c r="E919" s="1">
        <v>54</v>
      </c>
      <c r="F919" s="1" t="s">
        <v>44</v>
      </c>
      <c r="G919" s="1" t="s">
        <v>56</v>
      </c>
      <c r="H919" s="1" t="s">
        <v>61</v>
      </c>
      <c r="I919" s="1" t="s">
        <v>57</v>
      </c>
      <c r="J919" s="7">
        <v>66057</v>
      </c>
      <c r="K919" s="1">
        <v>602</v>
      </c>
      <c r="L919" s="7">
        <v>34077</v>
      </c>
      <c r="M919" s="1">
        <v>24</v>
      </c>
      <c r="N919" s="6">
        <v>0.18609999999999999</v>
      </c>
      <c r="O919" s="1" t="s">
        <v>63</v>
      </c>
      <c r="P919" s="1" t="s">
        <v>47</v>
      </c>
      <c r="Q919" s="1">
        <v>6</v>
      </c>
      <c r="R919" s="1">
        <v>4</v>
      </c>
      <c r="S919" s="1" t="s">
        <v>33</v>
      </c>
      <c r="T919" s="1" t="s">
        <v>33</v>
      </c>
      <c r="U919" s="1">
        <v>2</v>
      </c>
      <c r="V919" s="1">
        <v>109865</v>
      </c>
      <c r="W919" s="7">
        <v>378.13</v>
      </c>
      <c r="X919" s="1">
        <v>0.66</v>
      </c>
      <c r="Y919" s="4">
        <v>45557</v>
      </c>
      <c r="Z919" s="1" t="s">
        <v>32</v>
      </c>
      <c r="AA919" s="1" t="s">
        <v>33</v>
      </c>
      <c r="AB919" s="36" t="str" cm="1">
        <f t="array" ref="AB919">_xlfn.IFS(K919&gt;650,"LOW",K919&gt;=550,"MEDIUM",K919&lt;550,"HIGH")</f>
        <v>MEDIUM</v>
      </c>
    </row>
    <row r="920" spans="3:28" x14ac:dyDescent="0.3">
      <c r="C920" s="35" t="s">
        <v>2160</v>
      </c>
      <c r="D920" s="1" t="s">
        <v>191</v>
      </c>
      <c r="E920" s="1">
        <v>52</v>
      </c>
      <c r="F920" s="1" t="s">
        <v>44</v>
      </c>
      <c r="G920" s="1" t="s">
        <v>45</v>
      </c>
      <c r="H920" s="1" t="s">
        <v>54</v>
      </c>
      <c r="I920" s="1" t="s">
        <v>40</v>
      </c>
      <c r="J920" s="7">
        <v>53332</v>
      </c>
      <c r="K920" s="1">
        <v>601</v>
      </c>
      <c r="L920" s="7">
        <v>2485</v>
      </c>
      <c r="M920" s="1">
        <v>60</v>
      </c>
      <c r="N920" s="6">
        <v>0.15689999999999998</v>
      </c>
      <c r="O920" s="1" t="s">
        <v>46</v>
      </c>
      <c r="P920" s="1" t="s">
        <v>47</v>
      </c>
      <c r="Q920" s="1">
        <v>19</v>
      </c>
      <c r="R920" s="1">
        <v>0</v>
      </c>
      <c r="S920" s="1" t="s">
        <v>31</v>
      </c>
      <c r="T920" s="1" t="s">
        <v>33</v>
      </c>
      <c r="U920" s="1">
        <v>2</v>
      </c>
      <c r="V920" s="1">
        <v>189554</v>
      </c>
      <c r="W920" s="7">
        <v>1496.97</v>
      </c>
      <c r="X920" s="1">
        <v>0.55000000000000004</v>
      </c>
      <c r="Y920" s="4">
        <v>44655</v>
      </c>
      <c r="Z920" s="1" t="s">
        <v>38</v>
      </c>
      <c r="AA920" s="1" t="s">
        <v>33</v>
      </c>
      <c r="AB920" s="36" t="str" cm="1">
        <f t="array" ref="AB920">_xlfn.IFS(K920&gt;650,"LOW",K920&gt;=550,"MEDIUM",K920&lt;550,"HIGH")</f>
        <v>MEDIUM</v>
      </c>
    </row>
    <row r="921" spans="3:28" x14ac:dyDescent="0.3">
      <c r="C921" s="35" t="s">
        <v>3385</v>
      </c>
      <c r="D921" s="1" t="s">
        <v>224</v>
      </c>
      <c r="E921" s="1">
        <v>43</v>
      </c>
      <c r="F921" s="1" t="s">
        <v>44</v>
      </c>
      <c r="G921" s="1" t="s">
        <v>27</v>
      </c>
      <c r="H921" s="1" t="s">
        <v>61</v>
      </c>
      <c r="I921" s="1" t="s">
        <v>29</v>
      </c>
      <c r="J921" s="7">
        <v>49332</v>
      </c>
      <c r="K921" s="1">
        <v>601</v>
      </c>
      <c r="L921" s="7">
        <v>37394</v>
      </c>
      <c r="M921" s="1">
        <v>24</v>
      </c>
      <c r="N921" s="6">
        <v>5.2900000000000003E-2</v>
      </c>
      <c r="O921" s="1" t="s">
        <v>41</v>
      </c>
      <c r="P921" s="1" t="s">
        <v>50</v>
      </c>
      <c r="Q921" s="1">
        <v>8</v>
      </c>
      <c r="R921" s="1">
        <v>4</v>
      </c>
      <c r="S921" s="1" t="s">
        <v>33</v>
      </c>
      <c r="T921" s="1" t="s">
        <v>31</v>
      </c>
      <c r="U921" s="1">
        <v>2</v>
      </c>
      <c r="V921" s="1">
        <v>137849</v>
      </c>
      <c r="W921" s="7">
        <v>1818.93</v>
      </c>
      <c r="X921" s="1">
        <v>0.59</v>
      </c>
      <c r="Y921" s="4">
        <v>45373</v>
      </c>
      <c r="Z921" s="1" t="s">
        <v>32</v>
      </c>
      <c r="AA921" s="1" t="s">
        <v>33</v>
      </c>
      <c r="AB921" s="36" t="str" cm="1">
        <f t="array" ref="AB921">_xlfn.IFS(K921&gt;650,"LOW",K921&gt;=550,"MEDIUM",K921&lt;550,"HIGH")</f>
        <v>MEDIUM</v>
      </c>
    </row>
    <row r="922" spans="3:28" x14ac:dyDescent="0.3">
      <c r="C922" s="35" t="s">
        <v>2583</v>
      </c>
      <c r="D922" s="1" t="s">
        <v>613</v>
      </c>
      <c r="E922" s="1">
        <v>49</v>
      </c>
      <c r="F922" s="1" t="s">
        <v>26</v>
      </c>
      <c r="G922" s="1" t="s">
        <v>45</v>
      </c>
      <c r="H922" s="1" t="s">
        <v>36</v>
      </c>
      <c r="I922" s="1" t="s">
        <v>59</v>
      </c>
      <c r="J922" s="7">
        <v>47818</v>
      </c>
      <c r="K922" s="1">
        <v>599</v>
      </c>
      <c r="L922" s="7">
        <v>41438</v>
      </c>
      <c r="M922" s="1">
        <v>48</v>
      </c>
      <c r="N922" s="6">
        <v>6.480000000000001E-2</v>
      </c>
      <c r="O922" s="1" t="s">
        <v>46</v>
      </c>
      <c r="P922" s="1" t="s">
        <v>47</v>
      </c>
      <c r="Q922" s="1">
        <v>15</v>
      </c>
      <c r="R922" s="1">
        <v>0</v>
      </c>
      <c r="S922" s="1" t="s">
        <v>33</v>
      </c>
      <c r="T922" s="1" t="s">
        <v>33</v>
      </c>
      <c r="U922" s="1">
        <v>2</v>
      </c>
      <c r="V922" s="1">
        <v>199001</v>
      </c>
      <c r="W922" s="7">
        <v>1704.52</v>
      </c>
      <c r="X922" s="1">
        <v>0.83</v>
      </c>
      <c r="Y922" s="4">
        <v>44671</v>
      </c>
      <c r="Z922" s="1" t="s">
        <v>32</v>
      </c>
      <c r="AA922" s="1" t="s">
        <v>33</v>
      </c>
      <c r="AB922" s="36" t="str" cm="1">
        <f t="array" ref="AB922">_xlfn.IFS(K922&gt;650,"LOW",K922&gt;=550,"MEDIUM",K922&lt;550,"HIGH")</f>
        <v>MEDIUM</v>
      </c>
    </row>
    <row r="923" spans="3:28" x14ac:dyDescent="0.3">
      <c r="C923" s="35" t="s">
        <v>2993</v>
      </c>
      <c r="D923" s="1" t="s">
        <v>1020</v>
      </c>
      <c r="E923" s="1">
        <v>25</v>
      </c>
      <c r="F923" s="1" t="s">
        <v>26</v>
      </c>
      <c r="G923" s="1" t="s">
        <v>27</v>
      </c>
      <c r="H923" s="1" t="s">
        <v>61</v>
      </c>
      <c r="I923" s="1" t="s">
        <v>29</v>
      </c>
      <c r="J923" s="7">
        <v>36459</v>
      </c>
      <c r="K923" s="1">
        <v>599</v>
      </c>
      <c r="L923" s="7">
        <v>31306</v>
      </c>
      <c r="M923" s="1">
        <v>24</v>
      </c>
      <c r="N923" s="6">
        <v>0.1225</v>
      </c>
      <c r="O923" s="1" t="s">
        <v>41</v>
      </c>
      <c r="P923" s="1" t="s">
        <v>30</v>
      </c>
      <c r="Q923" s="1">
        <v>6</v>
      </c>
      <c r="R923" s="1">
        <v>3</v>
      </c>
      <c r="S923" s="1" t="s">
        <v>33</v>
      </c>
      <c r="T923" s="1" t="s">
        <v>31</v>
      </c>
      <c r="U923" s="1">
        <v>1</v>
      </c>
      <c r="V923" s="1">
        <v>54738</v>
      </c>
      <c r="W923" s="7">
        <v>657.74</v>
      </c>
      <c r="X923" s="1">
        <v>0.19</v>
      </c>
      <c r="Y923" s="4">
        <v>44764</v>
      </c>
      <c r="Z923" s="1" t="s">
        <v>38</v>
      </c>
      <c r="AA923" s="1" t="s">
        <v>33</v>
      </c>
      <c r="AB923" s="36" t="str" cm="1">
        <f t="array" ref="AB923">_xlfn.IFS(K923&gt;650,"LOW",K923&gt;=550,"MEDIUM",K923&lt;550,"HIGH")</f>
        <v>MEDIUM</v>
      </c>
    </row>
    <row r="924" spans="3:28" x14ac:dyDescent="0.3">
      <c r="C924" s="35" t="s">
        <v>2253</v>
      </c>
      <c r="D924" s="1" t="s">
        <v>284</v>
      </c>
      <c r="E924" s="1">
        <v>40</v>
      </c>
      <c r="F924" s="1" t="s">
        <v>44</v>
      </c>
      <c r="G924" s="1" t="s">
        <v>35</v>
      </c>
      <c r="H924" s="1" t="s">
        <v>28</v>
      </c>
      <c r="I924" s="1" t="s">
        <v>57</v>
      </c>
      <c r="J924" s="7">
        <v>132857</v>
      </c>
      <c r="K924" s="1">
        <v>598</v>
      </c>
      <c r="L924" s="7">
        <v>8147</v>
      </c>
      <c r="M924" s="1">
        <v>60</v>
      </c>
      <c r="N924" s="6">
        <v>9.6099999999999991E-2</v>
      </c>
      <c r="O924" s="1" t="s">
        <v>5</v>
      </c>
      <c r="P924" s="1" t="s">
        <v>47</v>
      </c>
      <c r="Q924" s="1">
        <v>26</v>
      </c>
      <c r="R924" s="1">
        <v>3</v>
      </c>
      <c r="S924" s="1" t="s">
        <v>31</v>
      </c>
      <c r="T924" s="1" t="s">
        <v>31</v>
      </c>
      <c r="U924" s="1">
        <v>3</v>
      </c>
      <c r="V924" s="1">
        <v>94258</v>
      </c>
      <c r="W924" s="7">
        <v>1427.58</v>
      </c>
      <c r="X924" s="1">
        <v>0.61</v>
      </c>
      <c r="Y924" s="4">
        <v>45692</v>
      </c>
      <c r="Z924" s="1" t="s">
        <v>32</v>
      </c>
      <c r="AA924" s="1" t="s">
        <v>33</v>
      </c>
      <c r="AB924" s="36" t="str" cm="1">
        <f t="array" ref="AB924">_xlfn.IFS(K924&gt;650,"LOW",K924&gt;=550,"MEDIUM",K924&lt;550,"HIGH")</f>
        <v>MEDIUM</v>
      </c>
    </row>
    <row r="925" spans="3:28" x14ac:dyDescent="0.3">
      <c r="C925" s="35" t="s">
        <v>2384</v>
      </c>
      <c r="D925" s="1" t="s">
        <v>414</v>
      </c>
      <c r="E925" s="1">
        <v>33</v>
      </c>
      <c r="F925" s="1" t="s">
        <v>26</v>
      </c>
      <c r="G925" s="1" t="s">
        <v>35</v>
      </c>
      <c r="H925" s="1" t="s">
        <v>61</v>
      </c>
      <c r="I925" s="1" t="s">
        <v>29</v>
      </c>
      <c r="J925" s="7">
        <v>116261</v>
      </c>
      <c r="K925" s="1">
        <v>598</v>
      </c>
      <c r="L925" s="7">
        <v>36272</v>
      </c>
      <c r="M925" s="1">
        <v>60</v>
      </c>
      <c r="N925" s="6">
        <v>5.91E-2</v>
      </c>
      <c r="O925" s="1" t="s">
        <v>41</v>
      </c>
      <c r="P925" s="1" t="s">
        <v>30</v>
      </c>
      <c r="Q925" s="1">
        <v>11</v>
      </c>
      <c r="R925" s="1">
        <v>2</v>
      </c>
      <c r="S925" s="1" t="s">
        <v>33</v>
      </c>
      <c r="T925" s="1" t="s">
        <v>33</v>
      </c>
      <c r="U925" s="1">
        <v>4</v>
      </c>
      <c r="V925" s="1">
        <v>159074</v>
      </c>
      <c r="W925" s="7">
        <v>541.36</v>
      </c>
      <c r="X925" s="1">
        <v>0.53</v>
      </c>
      <c r="Y925" s="4">
        <v>44195</v>
      </c>
      <c r="Z925" s="1" t="s">
        <v>32</v>
      </c>
      <c r="AA925" s="1" t="s">
        <v>33</v>
      </c>
      <c r="AB925" s="36" t="str" cm="1">
        <f t="array" ref="AB925">_xlfn.IFS(K925&gt;650,"LOW",K925&gt;=550,"MEDIUM",K925&lt;550,"HIGH")</f>
        <v>MEDIUM</v>
      </c>
    </row>
    <row r="926" spans="3:28" x14ac:dyDescent="0.3">
      <c r="C926" s="35" t="s">
        <v>2688</v>
      </c>
      <c r="D926" s="1" t="s">
        <v>718</v>
      </c>
      <c r="E926" s="1">
        <v>55</v>
      </c>
      <c r="F926" s="1" t="s">
        <v>44</v>
      </c>
      <c r="G926" s="1" t="s">
        <v>56</v>
      </c>
      <c r="H926" s="1" t="s">
        <v>61</v>
      </c>
      <c r="I926" s="1" t="s">
        <v>57</v>
      </c>
      <c r="J926" s="7">
        <v>110283</v>
      </c>
      <c r="K926" s="1">
        <v>598</v>
      </c>
      <c r="L926" s="7">
        <v>10732</v>
      </c>
      <c r="M926" s="1">
        <v>60</v>
      </c>
      <c r="N926" s="6">
        <v>0.1285</v>
      </c>
      <c r="O926" s="1" t="s">
        <v>63</v>
      </c>
      <c r="P926" s="1" t="s">
        <v>47</v>
      </c>
      <c r="Q926" s="1">
        <v>11</v>
      </c>
      <c r="R926" s="1">
        <v>3</v>
      </c>
      <c r="S926" s="1" t="s">
        <v>33</v>
      </c>
      <c r="T926" s="1" t="s">
        <v>33</v>
      </c>
      <c r="U926" s="1">
        <v>4</v>
      </c>
      <c r="V926" s="1">
        <v>143088</v>
      </c>
      <c r="W926" s="7">
        <v>701.74</v>
      </c>
      <c r="X926" s="1">
        <v>0.74</v>
      </c>
      <c r="Y926" s="4">
        <v>45702</v>
      </c>
      <c r="Z926" s="1" t="s">
        <v>32</v>
      </c>
      <c r="AA926" s="1" t="s">
        <v>33</v>
      </c>
      <c r="AB926" s="36" t="str" cm="1">
        <f t="array" ref="AB926">_xlfn.IFS(K926&gt;650,"LOW",K926&gt;=550,"MEDIUM",K926&lt;550,"HIGH")</f>
        <v>MEDIUM</v>
      </c>
    </row>
    <row r="927" spans="3:28" x14ac:dyDescent="0.3">
      <c r="C927" s="35" t="s">
        <v>2743</v>
      </c>
      <c r="D927" s="1" t="s">
        <v>773</v>
      </c>
      <c r="E927" s="1">
        <v>46</v>
      </c>
      <c r="F927" s="1" t="s">
        <v>44</v>
      </c>
      <c r="G927" s="1" t="s">
        <v>35</v>
      </c>
      <c r="H927" s="1" t="s">
        <v>28</v>
      </c>
      <c r="I927" s="1" t="s">
        <v>29</v>
      </c>
      <c r="J927" s="7">
        <v>73803</v>
      </c>
      <c r="K927" s="1">
        <v>598</v>
      </c>
      <c r="L927" s="7">
        <v>31552</v>
      </c>
      <c r="M927" s="1">
        <v>48</v>
      </c>
      <c r="N927" s="6">
        <v>0.17749999999999999</v>
      </c>
      <c r="O927" s="1" t="s">
        <v>63</v>
      </c>
      <c r="P927" s="1" t="s">
        <v>50</v>
      </c>
      <c r="Q927" s="1">
        <v>6</v>
      </c>
      <c r="R927" s="1">
        <v>3</v>
      </c>
      <c r="S927" s="1" t="s">
        <v>33</v>
      </c>
      <c r="T927" s="1" t="s">
        <v>33</v>
      </c>
      <c r="U927" s="1">
        <v>1</v>
      </c>
      <c r="V927" s="1">
        <v>59924</v>
      </c>
      <c r="W927" s="7">
        <v>712.65</v>
      </c>
      <c r="X927" s="1">
        <v>0.75</v>
      </c>
      <c r="Y927" s="4">
        <v>44500</v>
      </c>
      <c r="Z927" s="1" t="s">
        <v>32</v>
      </c>
      <c r="AA927" s="1" t="s">
        <v>33</v>
      </c>
      <c r="AB927" s="36" t="str" cm="1">
        <f t="array" ref="AB927">_xlfn.IFS(K927&gt;650,"LOW",K927&gt;=550,"MEDIUM",K927&lt;550,"HIGH")</f>
        <v>MEDIUM</v>
      </c>
    </row>
    <row r="928" spans="3:28" x14ac:dyDescent="0.3">
      <c r="C928" s="35" t="s">
        <v>3582</v>
      </c>
      <c r="D928" s="1" t="s">
        <v>1596</v>
      </c>
      <c r="E928" s="1">
        <v>51</v>
      </c>
      <c r="F928" s="1" t="s">
        <v>26</v>
      </c>
      <c r="G928" s="1" t="s">
        <v>56</v>
      </c>
      <c r="H928" s="1" t="s">
        <v>61</v>
      </c>
      <c r="I928" s="1" t="s">
        <v>29</v>
      </c>
      <c r="J928" s="7">
        <v>50699</v>
      </c>
      <c r="K928" s="1">
        <v>598</v>
      </c>
      <c r="L928" s="7">
        <v>6443</v>
      </c>
      <c r="M928" s="1">
        <v>60</v>
      </c>
      <c r="N928" s="6">
        <v>0.1744</v>
      </c>
      <c r="O928" s="1" t="s">
        <v>5</v>
      </c>
      <c r="P928" s="1" t="s">
        <v>30</v>
      </c>
      <c r="Q928" s="1">
        <v>14</v>
      </c>
      <c r="R928" s="1">
        <v>0</v>
      </c>
      <c r="S928" s="1" t="s">
        <v>31</v>
      </c>
      <c r="T928" s="1" t="s">
        <v>33</v>
      </c>
      <c r="U928" s="1">
        <v>2</v>
      </c>
      <c r="V928" s="1">
        <v>434</v>
      </c>
      <c r="W928" s="7">
        <v>1699.89</v>
      </c>
      <c r="X928" s="1">
        <v>0.28000000000000003</v>
      </c>
      <c r="Y928" s="4">
        <v>45146</v>
      </c>
      <c r="Z928" s="1" t="s">
        <v>32</v>
      </c>
      <c r="AA928" s="1" t="s">
        <v>33</v>
      </c>
      <c r="AB928" s="36" t="str" cm="1">
        <f t="array" ref="AB928">_xlfn.IFS(K928&gt;650,"LOW",K928&gt;=550,"MEDIUM",K928&lt;550,"HIGH")</f>
        <v>MEDIUM</v>
      </c>
    </row>
    <row r="929" spans="3:28" x14ac:dyDescent="0.3">
      <c r="C929" s="35" t="s">
        <v>3449</v>
      </c>
      <c r="D929" s="1" t="s">
        <v>1467</v>
      </c>
      <c r="E929" s="1">
        <v>50</v>
      </c>
      <c r="F929" s="1" t="s">
        <v>26</v>
      </c>
      <c r="G929" s="1" t="s">
        <v>45</v>
      </c>
      <c r="H929" s="1" t="s">
        <v>61</v>
      </c>
      <c r="I929" s="1" t="s">
        <v>29</v>
      </c>
      <c r="J929" s="7">
        <v>128500</v>
      </c>
      <c r="K929" s="1">
        <v>597</v>
      </c>
      <c r="L929" s="7">
        <v>17347</v>
      </c>
      <c r="M929" s="1">
        <v>36</v>
      </c>
      <c r="N929" s="6">
        <v>0.10949999999999999</v>
      </c>
      <c r="O929" s="1" t="s">
        <v>37</v>
      </c>
      <c r="P929" s="1" t="s">
        <v>50</v>
      </c>
      <c r="Q929" s="1">
        <v>2</v>
      </c>
      <c r="R929" s="1">
        <v>3</v>
      </c>
      <c r="S929" s="1" t="s">
        <v>33</v>
      </c>
      <c r="T929" s="1" t="s">
        <v>33</v>
      </c>
      <c r="U929" s="1">
        <v>2</v>
      </c>
      <c r="V929" s="1">
        <v>121485</v>
      </c>
      <c r="W929" s="7">
        <v>297.95999999999998</v>
      </c>
      <c r="X929" s="1">
        <v>0.76</v>
      </c>
      <c r="Y929" s="4">
        <v>45164</v>
      </c>
      <c r="Z929" s="1" t="s">
        <v>32</v>
      </c>
      <c r="AA929" s="1" t="s">
        <v>33</v>
      </c>
      <c r="AB929" s="36" t="str" cm="1">
        <f t="array" ref="AB929">_xlfn.IFS(K929&gt;650,"LOW",K929&gt;=550,"MEDIUM",K929&lt;550,"HIGH")</f>
        <v>MEDIUM</v>
      </c>
    </row>
    <row r="930" spans="3:28" x14ac:dyDescent="0.3">
      <c r="C930" s="35" t="s">
        <v>3845</v>
      </c>
      <c r="D930" s="1" t="s">
        <v>1851</v>
      </c>
      <c r="E930" s="1">
        <v>61</v>
      </c>
      <c r="F930" s="1" t="s">
        <v>44</v>
      </c>
      <c r="G930" s="1" t="s">
        <v>45</v>
      </c>
      <c r="H930" s="1" t="s">
        <v>36</v>
      </c>
      <c r="I930" s="1" t="s">
        <v>59</v>
      </c>
      <c r="J930" s="7">
        <v>105468</v>
      </c>
      <c r="K930" s="1">
        <v>597</v>
      </c>
      <c r="L930" s="7">
        <v>7055</v>
      </c>
      <c r="M930" s="1">
        <v>60</v>
      </c>
      <c r="N930" s="6">
        <v>0.1857</v>
      </c>
      <c r="O930" s="1" t="s">
        <v>46</v>
      </c>
      <c r="P930" s="1" t="s">
        <v>47</v>
      </c>
      <c r="Q930" s="1">
        <v>16</v>
      </c>
      <c r="R930" s="1">
        <v>3</v>
      </c>
      <c r="S930" s="1" t="s">
        <v>33</v>
      </c>
      <c r="T930" s="1" t="s">
        <v>33</v>
      </c>
      <c r="U930" s="1">
        <v>4</v>
      </c>
      <c r="V930" s="1">
        <v>176451</v>
      </c>
      <c r="W930" s="7">
        <v>1024.44</v>
      </c>
      <c r="X930" s="1">
        <v>0.79</v>
      </c>
      <c r="Y930" s="4">
        <v>44959</v>
      </c>
      <c r="Z930" s="1" t="s">
        <v>38</v>
      </c>
      <c r="AA930" s="1" t="s">
        <v>31</v>
      </c>
      <c r="AB930" s="36" t="str" cm="1">
        <f t="array" ref="AB930">_xlfn.IFS(K930&gt;650,"LOW",K930&gt;=550,"MEDIUM",K930&lt;550,"HIGH")</f>
        <v>MEDIUM</v>
      </c>
    </row>
    <row r="931" spans="3:28" x14ac:dyDescent="0.3">
      <c r="C931" s="35" t="s">
        <v>2063</v>
      </c>
      <c r="D931" s="1" t="s">
        <v>94</v>
      </c>
      <c r="E931" s="1">
        <v>45</v>
      </c>
      <c r="F931" s="1" t="s">
        <v>44</v>
      </c>
      <c r="G931" s="1" t="s">
        <v>56</v>
      </c>
      <c r="H931" s="1" t="s">
        <v>54</v>
      </c>
      <c r="I931" s="1" t="s">
        <v>57</v>
      </c>
      <c r="J931" s="7">
        <v>97511</v>
      </c>
      <c r="K931" s="1">
        <v>596</v>
      </c>
      <c r="L931" s="7">
        <v>30881</v>
      </c>
      <c r="M931" s="1">
        <v>60</v>
      </c>
      <c r="N931" s="6">
        <v>0.1384</v>
      </c>
      <c r="O931" s="1" t="s">
        <v>46</v>
      </c>
      <c r="P931" s="1" t="s">
        <v>47</v>
      </c>
      <c r="Q931" s="1">
        <v>7</v>
      </c>
      <c r="R931" s="1">
        <v>3</v>
      </c>
      <c r="S931" s="1" t="s">
        <v>33</v>
      </c>
      <c r="T931" s="1" t="s">
        <v>31</v>
      </c>
      <c r="U931" s="1">
        <v>4</v>
      </c>
      <c r="V931" s="1">
        <v>197013</v>
      </c>
      <c r="W931" s="7">
        <v>1159.9100000000001</v>
      </c>
      <c r="X931" s="1">
        <v>0.24</v>
      </c>
      <c r="Y931" s="4">
        <v>44344</v>
      </c>
      <c r="Z931" s="1" t="s">
        <v>38</v>
      </c>
      <c r="AA931" s="1" t="s">
        <v>31</v>
      </c>
      <c r="AB931" s="36" t="str" cm="1">
        <f t="array" ref="AB931">_xlfn.IFS(K931&gt;650,"LOW",K931&gt;=550,"MEDIUM",K931&lt;550,"HIGH")</f>
        <v>MEDIUM</v>
      </c>
    </row>
    <row r="932" spans="3:28" x14ac:dyDescent="0.3">
      <c r="C932" s="35" t="s">
        <v>2420</v>
      </c>
      <c r="D932" s="1" t="s">
        <v>450</v>
      </c>
      <c r="E932" s="1">
        <v>60</v>
      </c>
      <c r="F932" s="1" t="s">
        <v>44</v>
      </c>
      <c r="G932" s="1" t="s">
        <v>45</v>
      </c>
      <c r="H932" s="1" t="s">
        <v>28</v>
      </c>
      <c r="I932" s="1" t="s">
        <v>57</v>
      </c>
      <c r="J932" s="7">
        <v>66015</v>
      </c>
      <c r="K932" s="1">
        <v>596</v>
      </c>
      <c r="L932" s="7">
        <v>25785</v>
      </c>
      <c r="M932" s="1">
        <v>24</v>
      </c>
      <c r="N932" s="6">
        <v>0.15679999999999999</v>
      </c>
      <c r="O932" s="1" t="s">
        <v>52</v>
      </c>
      <c r="P932" s="1" t="s">
        <v>30</v>
      </c>
      <c r="Q932" s="1">
        <v>11</v>
      </c>
      <c r="R932" s="1">
        <v>3</v>
      </c>
      <c r="S932" s="1" t="s">
        <v>33</v>
      </c>
      <c r="T932" s="1" t="s">
        <v>33</v>
      </c>
      <c r="U932" s="1">
        <v>3</v>
      </c>
      <c r="V932" s="1">
        <v>85291</v>
      </c>
      <c r="W932" s="7">
        <v>1440.04</v>
      </c>
      <c r="X932" s="1">
        <v>0.33</v>
      </c>
      <c r="Y932" s="4">
        <v>45103</v>
      </c>
      <c r="Z932" s="1" t="s">
        <v>32</v>
      </c>
      <c r="AA932" s="1" t="s">
        <v>33</v>
      </c>
      <c r="AB932" s="36" t="str" cm="1">
        <f t="array" ref="AB932">_xlfn.IFS(K932&gt;650,"LOW",K932&gt;=550,"MEDIUM",K932&lt;550,"HIGH")</f>
        <v>MEDIUM</v>
      </c>
    </row>
    <row r="933" spans="3:28" x14ac:dyDescent="0.3">
      <c r="C933" s="35" t="s">
        <v>2658</v>
      </c>
      <c r="D933" s="1" t="s">
        <v>688</v>
      </c>
      <c r="E933" s="1">
        <v>43</v>
      </c>
      <c r="F933" s="1" t="s">
        <v>44</v>
      </c>
      <c r="G933" s="1" t="s">
        <v>45</v>
      </c>
      <c r="H933" s="1" t="s">
        <v>28</v>
      </c>
      <c r="I933" s="1" t="s">
        <v>59</v>
      </c>
      <c r="J933" s="7">
        <v>41058</v>
      </c>
      <c r="K933" s="1">
        <v>596</v>
      </c>
      <c r="L933" s="7">
        <v>48148</v>
      </c>
      <c r="M933" s="1">
        <v>24</v>
      </c>
      <c r="N933" s="6">
        <v>0.15140000000000001</v>
      </c>
      <c r="O933" s="1" t="s">
        <v>52</v>
      </c>
      <c r="P933" s="1" t="s">
        <v>50</v>
      </c>
      <c r="Q933" s="1">
        <v>28</v>
      </c>
      <c r="R933" s="1">
        <v>0</v>
      </c>
      <c r="S933" s="1" t="s">
        <v>33</v>
      </c>
      <c r="T933" s="1" t="s">
        <v>33</v>
      </c>
      <c r="U933" s="1">
        <v>2</v>
      </c>
      <c r="V933" s="1">
        <v>124790</v>
      </c>
      <c r="W933" s="7">
        <v>1198.3599999999999</v>
      </c>
      <c r="X933" s="1">
        <v>0.96</v>
      </c>
      <c r="Y933" s="4">
        <v>44895</v>
      </c>
      <c r="Z933" s="1" t="s">
        <v>38</v>
      </c>
      <c r="AA933" s="1" t="s">
        <v>33</v>
      </c>
      <c r="AB933" s="36" t="str" cm="1">
        <f t="array" ref="AB933">_xlfn.IFS(K933&gt;650,"LOW",K933&gt;=550,"MEDIUM",K933&lt;550,"HIGH")</f>
        <v>MEDIUM</v>
      </c>
    </row>
    <row r="934" spans="3:28" x14ac:dyDescent="0.3">
      <c r="C934" s="35" t="s">
        <v>3585</v>
      </c>
      <c r="D934" s="1" t="s">
        <v>1599</v>
      </c>
      <c r="E934" s="1">
        <v>22</v>
      </c>
      <c r="F934" s="1" t="s">
        <v>26</v>
      </c>
      <c r="G934" s="1" t="s">
        <v>56</v>
      </c>
      <c r="H934" s="1" t="s">
        <v>36</v>
      </c>
      <c r="I934" s="1" t="s">
        <v>59</v>
      </c>
      <c r="J934" s="7">
        <v>23293</v>
      </c>
      <c r="K934" s="1">
        <v>596</v>
      </c>
      <c r="L934" s="7">
        <v>9712</v>
      </c>
      <c r="M934" s="1">
        <v>24</v>
      </c>
      <c r="N934" s="6">
        <v>7.8399999999999997E-2</v>
      </c>
      <c r="O934" s="1" t="s">
        <v>41</v>
      </c>
      <c r="P934" s="1" t="s">
        <v>47</v>
      </c>
      <c r="Q934" s="1">
        <v>2</v>
      </c>
      <c r="R934" s="1">
        <v>0</v>
      </c>
      <c r="S934" s="1" t="s">
        <v>33</v>
      </c>
      <c r="T934" s="1" t="s">
        <v>33</v>
      </c>
      <c r="U934" s="1">
        <v>3</v>
      </c>
      <c r="V934" s="1">
        <v>76891</v>
      </c>
      <c r="W934" s="7">
        <v>637</v>
      </c>
      <c r="X934" s="1">
        <v>0.73</v>
      </c>
      <c r="Y934" s="4">
        <v>44674</v>
      </c>
      <c r="Z934" s="1" t="s">
        <v>32</v>
      </c>
      <c r="AA934" s="1" t="s">
        <v>33</v>
      </c>
      <c r="AB934" s="36" t="str" cm="1">
        <f t="array" ref="AB934">_xlfn.IFS(K934&gt;650,"LOW",K934&gt;=550,"MEDIUM",K934&lt;550,"HIGH")</f>
        <v>MEDIUM</v>
      </c>
    </row>
    <row r="935" spans="3:28" x14ac:dyDescent="0.3">
      <c r="C935" s="35" t="s">
        <v>3788</v>
      </c>
      <c r="D935" s="1" t="s">
        <v>1794</v>
      </c>
      <c r="E935" s="1">
        <v>28</v>
      </c>
      <c r="F935" s="1" t="s">
        <v>26</v>
      </c>
      <c r="G935" s="1" t="s">
        <v>56</v>
      </c>
      <c r="H935" s="1" t="s">
        <v>54</v>
      </c>
      <c r="I935" s="1" t="s">
        <v>59</v>
      </c>
      <c r="J935" s="7">
        <v>48527</v>
      </c>
      <c r="K935" s="1">
        <v>596</v>
      </c>
      <c r="L935" s="7">
        <v>28723</v>
      </c>
      <c r="M935" s="1">
        <v>60</v>
      </c>
      <c r="N935" s="6">
        <v>9.5100000000000004E-2</v>
      </c>
      <c r="O935" s="1" t="s">
        <v>5</v>
      </c>
      <c r="P935" s="1" t="s">
        <v>30</v>
      </c>
      <c r="Q935" s="1">
        <v>14</v>
      </c>
      <c r="R935" s="1">
        <v>4</v>
      </c>
      <c r="S935" s="1" t="s">
        <v>31</v>
      </c>
      <c r="T935" s="1" t="s">
        <v>31</v>
      </c>
      <c r="U935" s="1">
        <v>4</v>
      </c>
      <c r="V935" s="1">
        <v>78229</v>
      </c>
      <c r="W935" s="7">
        <v>784.82</v>
      </c>
      <c r="X935" s="1">
        <v>0.32</v>
      </c>
      <c r="Y935" s="4">
        <v>44393</v>
      </c>
      <c r="Z935" s="1" t="s">
        <v>32</v>
      </c>
      <c r="AA935" s="1" t="s">
        <v>33</v>
      </c>
      <c r="AB935" s="36" t="str" cm="1">
        <f t="array" ref="AB935">_xlfn.IFS(K935&gt;650,"LOW",K935&gt;=550,"MEDIUM",K935&lt;550,"HIGH")</f>
        <v>MEDIUM</v>
      </c>
    </row>
    <row r="936" spans="3:28" x14ac:dyDescent="0.3">
      <c r="C936" s="35" t="s">
        <v>2791</v>
      </c>
      <c r="D936" s="1" t="s">
        <v>819</v>
      </c>
      <c r="E936" s="1">
        <v>63</v>
      </c>
      <c r="F936" s="1" t="s">
        <v>26</v>
      </c>
      <c r="G936" s="1" t="s">
        <v>35</v>
      </c>
      <c r="H936" s="1" t="s">
        <v>61</v>
      </c>
      <c r="I936" s="1" t="s">
        <v>57</v>
      </c>
      <c r="J936" s="7">
        <v>94255</v>
      </c>
      <c r="K936" s="1">
        <v>595</v>
      </c>
      <c r="L936" s="7">
        <v>13391</v>
      </c>
      <c r="M936" s="1">
        <v>24</v>
      </c>
      <c r="N936" s="6">
        <v>8.2299999999999998E-2</v>
      </c>
      <c r="O936" s="1" t="s">
        <v>52</v>
      </c>
      <c r="P936" s="1" t="s">
        <v>30</v>
      </c>
      <c r="Q936" s="1">
        <v>4</v>
      </c>
      <c r="R936" s="1">
        <v>4</v>
      </c>
      <c r="S936" s="1" t="s">
        <v>33</v>
      </c>
      <c r="T936" s="1" t="s">
        <v>31</v>
      </c>
      <c r="U936" s="1">
        <v>3</v>
      </c>
      <c r="V936" s="1">
        <v>35215</v>
      </c>
      <c r="W936" s="7">
        <v>1259.05</v>
      </c>
      <c r="X936" s="1">
        <v>0.75</v>
      </c>
      <c r="Y936" s="4">
        <v>45534</v>
      </c>
      <c r="Z936" s="1" t="s">
        <v>38</v>
      </c>
      <c r="AA936" s="1" t="s">
        <v>33</v>
      </c>
      <c r="AB936" s="36" t="str" cm="1">
        <f t="array" ref="AB936">_xlfn.IFS(K936&gt;650,"LOW",K936&gt;=550,"MEDIUM",K936&lt;550,"HIGH")</f>
        <v>MEDIUM</v>
      </c>
    </row>
    <row r="937" spans="3:28" x14ac:dyDescent="0.3">
      <c r="C937" s="35" t="s">
        <v>3318</v>
      </c>
      <c r="D937" s="1" t="s">
        <v>1341</v>
      </c>
      <c r="E937" s="1">
        <v>54</v>
      </c>
      <c r="F937" s="1" t="s">
        <v>44</v>
      </c>
      <c r="G937" s="1" t="s">
        <v>35</v>
      </c>
      <c r="H937" s="1" t="s">
        <v>61</v>
      </c>
      <c r="I937" s="1" t="s">
        <v>40</v>
      </c>
      <c r="J937" s="7">
        <v>73331</v>
      </c>
      <c r="K937" s="1">
        <v>595</v>
      </c>
      <c r="L937" s="7">
        <v>48147</v>
      </c>
      <c r="M937" s="1">
        <v>12</v>
      </c>
      <c r="N937" s="6">
        <v>0.11609999999999999</v>
      </c>
      <c r="O937" s="1" t="s">
        <v>63</v>
      </c>
      <c r="P937" s="1" t="s">
        <v>30</v>
      </c>
      <c r="Q937" s="1">
        <v>12</v>
      </c>
      <c r="R937" s="1">
        <v>0</v>
      </c>
      <c r="S937" s="1" t="s">
        <v>31</v>
      </c>
      <c r="T937" s="1" t="s">
        <v>33</v>
      </c>
      <c r="U937" s="1">
        <v>3</v>
      </c>
      <c r="V937" s="1">
        <v>115962</v>
      </c>
      <c r="W937" s="7">
        <v>1584.9</v>
      </c>
      <c r="X937" s="1">
        <v>0.26</v>
      </c>
      <c r="Y937" s="4">
        <v>45137</v>
      </c>
      <c r="Z937" s="1" t="s">
        <v>38</v>
      </c>
      <c r="AA937" s="1" t="s">
        <v>33</v>
      </c>
      <c r="AB937" s="36" t="str" cm="1">
        <f t="array" ref="AB937">_xlfn.IFS(K937&gt;650,"LOW",K937&gt;=550,"MEDIUM",K937&lt;550,"HIGH")</f>
        <v>MEDIUM</v>
      </c>
    </row>
    <row r="938" spans="3:28" x14ac:dyDescent="0.3">
      <c r="C938" s="35" t="s">
        <v>3453</v>
      </c>
      <c r="D938" s="1" t="s">
        <v>1471</v>
      </c>
      <c r="E938" s="1">
        <v>25</v>
      </c>
      <c r="F938" s="1" t="s">
        <v>44</v>
      </c>
      <c r="G938" s="1" t="s">
        <v>45</v>
      </c>
      <c r="H938" s="1" t="s">
        <v>36</v>
      </c>
      <c r="I938" s="1" t="s">
        <v>29</v>
      </c>
      <c r="J938" s="7">
        <v>41225</v>
      </c>
      <c r="K938" s="1">
        <v>595</v>
      </c>
      <c r="L938" s="7">
        <v>44049</v>
      </c>
      <c r="M938" s="1">
        <v>24</v>
      </c>
      <c r="N938" s="6">
        <v>0.19739999999999999</v>
      </c>
      <c r="O938" s="1" t="s">
        <v>37</v>
      </c>
      <c r="P938" s="1" t="s">
        <v>30</v>
      </c>
      <c r="Q938" s="1">
        <v>24</v>
      </c>
      <c r="R938" s="1">
        <v>3</v>
      </c>
      <c r="S938" s="1" t="s">
        <v>31</v>
      </c>
      <c r="T938" s="1" t="s">
        <v>31</v>
      </c>
      <c r="U938" s="1">
        <v>0</v>
      </c>
      <c r="V938" s="1">
        <v>54057</v>
      </c>
      <c r="W938" s="7">
        <v>752.3</v>
      </c>
      <c r="X938" s="1">
        <v>0.12</v>
      </c>
      <c r="Y938" s="4">
        <v>45114</v>
      </c>
      <c r="Z938" s="1" t="s">
        <v>38</v>
      </c>
      <c r="AA938" s="1" t="s">
        <v>33</v>
      </c>
      <c r="AB938" s="36" t="str" cm="1">
        <f t="array" ref="AB938">_xlfn.IFS(K938&gt;650,"LOW",K938&gt;=550,"MEDIUM",K938&lt;550,"HIGH")</f>
        <v>MEDIUM</v>
      </c>
    </row>
    <row r="939" spans="3:28" x14ac:dyDescent="0.3">
      <c r="C939" s="35" t="s">
        <v>3472</v>
      </c>
      <c r="D939" s="1" t="s">
        <v>1490</v>
      </c>
      <c r="E939" s="1">
        <v>63</v>
      </c>
      <c r="F939" s="1" t="s">
        <v>44</v>
      </c>
      <c r="G939" s="1" t="s">
        <v>27</v>
      </c>
      <c r="H939" s="1" t="s">
        <v>28</v>
      </c>
      <c r="I939" s="1" t="s">
        <v>57</v>
      </c>
      <c r="J939" s="7">
        <v>99971</v>
      </c>
      <c r="K939" s="1">
        <v>595</v>
      </c>
      <c r="L939" s="7">
        <v>8878</v>
      </c>
      <c r="M939" s="1">
        <v>36</v>
      </c>
      <c r="N939" s="6">
        <v>8.199999999999999E-2</v>
      </c>
      <c r="O939" s="1" t="s">
        <v>5</v>
      </c>
      <c r="P939" s="1" t="s">
        <v>50</v>
      </c>
      <c r="Q939" s="1">
        <v>20</v>
      </c>
      <c r="R939" s="1">
        <v>0</v>
      </c>
      <c r="S939" s="1" t="s">
        <v>31</v>
      </c>
      <c r="T939" s="1" t="s">
        <v>33</v>
      </c>
      <c r="U939" s="1">
        <v>0</v>
      </c>
      <c r="V939" s="1">
        <v>997</v>
      </c>
      <c r="W939" s="7">
        <v>196.23</v>
      </c>
      <c r="X939" s="1">
        <v>0.75</v>
      </c>
      <c r="Y939" s="4">
        <v>44205</v>
      </c>
      <c r="Z939" s="1" t="s">
        <v>32</v>
      </c>
      <c r="AA939" s="1" t="s">
        <v>33</v>
      </c>
      <c r="AB939" s="36" t="str" cm="1">
        <f t="array" ref="AB939">_xlfn.IFS(K939&gt;650,"LOW",K939&gt;=550,"MEDIUM",K939&lt;550,"HIGH")</f>
        <v>MEDIUM</v>
      </c>
    </row>
    <row r="940" spans="3:28" x14ac:dyDescent="0.3">
      <c r="C940" s="35" t="s">
        <v>2223</v>
      </c>
      <c r="D940" s="1" t="s">
        <v>254</v>
      </c>
      <c r="E940" s="1">
        <v>39</v>
      </c>
      <c r="F940" s="1" t="s">
        <v>26</v>
      </c>
      <c r="G940" s="1" t="s">
        <v>56</v>
      </c>
      <c r="H940" s="1" t="s">
        <v>28</v>
      </c>
      <c r="I940" s="1" t="s">
        <v>40</v>
      </c>
      <c r="J940" s="7">
        <v>32161</v>
      </c>
      <c r="K940" s="1">
        <v>594</v>
      </c>
      <c r="L940" s="7">
        <v>32323</v>
      </c>
      <c r="M940" s="1">
        <v>36</v>
      </c>
      <c r="N940" s="6">
        <v>0.1003</v>
      </c>
      <c r="O940" s="1" t="s">
        <v>41</v>
      </c>
      <c r="P940" s="1" t="s">
        <v>30</v>
      </c>
      <c r="Q940" s="1">
        <v>9</v>
      </c>
      <c r="R940" s="1">
        <v>3</v>
      </c>
      <c r="S940" s="1" t="s">
        <v>31</v>
      </c>
      <c r="T940" s="1" t="s">
        <v>33</v>
      </c>
      <c r="U940" s="1">
        <v>2</v>
      </c>
      <c r="V940" s="1">
        <v>119086</v>
      </c>
      <c r="W940" s="7">
        <v>1447.33</v>
      </c>
      <c r="X940" s="1">
        <v>0.87</v>
      </c>
      <c r="Y940" s="4">
        <v>44275</v>
      </c>
      <c r="Z940" s="1" t="s">
        <v>32</v>
      </c>
      <c r="AA940" s="1" t="s">
        <v>33</v>
      </c>
      <c r="AB940" s="36" t="str" cm="1">
        <f t="array" ref="AB940">_xlfn.IFS(K940&gt;650,"LOW",K940&gt;=550,"MEDIUM",K940&lt;550,"HIGH")</f>
        <v>MEDIUM</v>
      </c>
    </row>
    <row r="941" spans="3:28" x14ac:dyDescent="0.3">
      <c r="C941" s="35" t="s">
        <v>2684</v>
      </c>
      <c r="D941" s="1" t="s">
        <v>714</v>
      </c>
      <c r="E941" s="1">
        <v>33</v>
      </c>
      <c r="F941" s="1" t="s">
        <v>44</v>
      </c>
      <c r="G941" s="1" t="s">
        <v>27</v>
      </c>
      <c r="H941" s="1" t="s">
        <v>61</v>
      </c>
      <c r="I941" s="1" t="s">
        <v>40</v>
      </c>
      <c r="J941" s="7">
        <v>50337</v>
      </c>
      <c r="K941" s="1">
        <v>594</v>
      </c>
      <c r="L941" s="7">
        <v>44713</v>
      </c>
      <c r="M941" s="1">
        <v>12</v>
      </c>
      <c r="N941" s="6">
        <v>0.15179999999999999</v>
      </c>
      <c r="O941" s="1" t="s">
        <v>5</v>
      </c>
      <c r="P941" s="1" t="s">
        <v>50</v>
      </c>
      <c r="Q941" s="1">
        <v>6</v>
      </c>
      <c r="R941" s="1">
        <v>2</v>
      </c>
      <c r="S941" s="1" t="s">
        <v>31</v>
      </c>
      <c r="T941" s="1" t="s">
        <v>33</v>
      </c>
      <c r="U941" s="1">
        <v>1</v>
      </c>
      <c r="V941" s="1">
        <v>145662</v>
      </c>
      <c r="W941" s="7">
        <v>1162.94</v>
      </c>
      <c r="X941" s="1">
        <v>0.3</v>
      </c>
      <c r="Y941" s="4">
        <v>45153</v>
      </c>
      <c r="Z941" s="1" t="s">
        <v>32</v>
      </c>
      <c r="AA941" s="1" t="s">
        <v>33</v>
      </c>
      <c r="AB941" s="36" t="str" cm="1">
        <f t="array" ref="AB941">_xlfn.IFS(K941&gt;650,"LOW",K941&gt;=550,"MEDIUM",K941&lt;550,"HIGH")</f>
        <v>MEDIUM</v>
      </c>
    </row>
    <row r="942" spans="3:28" x14ac:dyDescent="0.3">
      <c r="C942" s="35" t="s">
        <v>2668</v>
      </c>
      <c r="D942" s="1" t="s">
        <v>698</v>
      </c>
      <c r="E942" s="1">
        <v>48</v>
      </c>
      <c r="F942" s="1" t="s">
        <v>44</v>
      </c>
      <c r="G942" s="1" t="s">
        <v>56</v>
      </c>
      <c r="H942" s="1" t="s">
        <v>28</v>
      </c>
      <c r="I942" s="1" t="s">
        <v>40</v>
      </c>
      <c r="J942" s="7">
        <v>147880</v>
      </c>
      <c r="K942" s="1">
        <v>593</v>
      </c>
      <c r="L942" s="7">
        <v>3365</v>
      </c>
      <c r="M942" s="1">
        <v>12</v>
      </c>
      <c r="N942" s="6">
        <v>5.45E-2</v>
      </c>
      <c r="O942" s="1" t="s">
        <v>37</v>
      </c>
      <c r="P942" s="1" t="s">
        <v>50</v>
      </c>
      <c r="Q942" s="1">
        <v>22</v>
      </c>
      <c r="R942" s="1">
        <v>2</v>
      </c>
      <c r="S942" s="1" t="s">
        <v>33</v>
      </c>
      <c r="T942" s="1" t="s">
        <v>31</v>
      </c>
      <c r="U942" s="1">
        <v>2</v>
      </c>
      <c r="V942" s="1">
        <v>84926</v>
      </c>
      <c r="W942" s="7">
        <v>189.75</v>
      </c>
      <c r="X942" s="1">
        <v>0.79</v>
      </c>
      <c r="Y942" s="4">
        <v>45541</v>
      </c>
      <c r="Z942" s="1" t="s">
        <v>32</v>
      </c>
      <c r="AA942" s="1" t="s">
        <v>33</v>
      </c>
      <c r="AB942" s="36" t="str" cm="1">
        <f t="array" ref="AB942">_xlfn.IFS(K942&gt;650,"LOW",K942&gt;=550,"MEDIUM",K942&lt;550,"HIGH")</f>
        <v>MEDIUM</v>
      </c>
    </row>
    <row r="943" spans="3:28" x14ac:dyDescent="0.3">
      <c r="C943" s="35" t="s">
        <v>3031</v>
      </c>
      <c r="D943" s="1" t="s">
        <v>1058</v>
      </c>
      <c r="E943" s="1">
        <v>59</v>
      </c>
      <c r="F943" s="1" t="s">
        <v>44</v>
      </c>
      <c r="G943" s="1" t="s">
        <v>27</v>
      </c>
      <c r="H943" s="1" t="s">
        <v>54</v>
      </c>
      <c r="I943" s="1" t="s">
        <v>59</v>
      </c>
      <c r="J943" s="7">
        <v>122500</v>
      </c>
      <c r="K943" s="1">
        <v>593</v>
      </c>
      <c r="L943" s="7">
        <v>1443</v>
      </c>
      <c r="M943" s="1">
        <v>12</v>
      </c>
      <c r="N943" s="6">
        <v>0.10730000000000001</v>
      </c>
      <c r="O943" s="1" t="s">
        <v>52</v>
      </c>
      <c r="P943" s="1" t="s">
        <v>47</v>
      </c>
      <c r="Q943" s="1">
        <v>4</v>
      </c>
      <c r="R943" s="1">
        <v>2</v>
      </c>
      <c r="S943" s="1" t="s">
        <v>31</v>
      </c>
      <c r="T943" s="1" t="s">
        <v>31</v>
      </c>
      <c r="U943" s="1">
        <v>4</v>
      </c>
      <c r="V943" s="1">
        <v>118222</v>
      </c>
      <c r="W943" s="7">
        <v>1985.8</v>
      </c>
      <c r="X943" s="1">
        <v>0.95</v>
      </c>
      <c r="Y943" s="4">
        <v>44938</v>
      </c>
      <c r="Z943" s="1" t="s">
        <v>32</v>
      </c>
      <c r="AA943" s="1" t="s">
        <v>33</v>
      </c>
      <c r="AB943" s="36" t="str" cm="1">
        <f t="array" ref="AB943">_xlfn.IFS(K943&gt;650,"LOW",K943&gt;=550,"MEDIUM",K943&lt;550,"HIGH")</f>
        <v>MEDIUM</v>
      </c>
    </row>
    <row r="944" spans="3:28" x14ac:dyDescent="0.3">
      <c r="C944" s="35" t="s">
        <v>2023</v>
      </c>
      <c r="D944" s="1" t="s">
        <v>42</v>
      </c>
      <c r="E944" s="1">
        <v>63</v>
      </c>
      <c r="F944" s="1" t="s">
        <v>26</v>
      </c>
      <c r="G944" s="1" t="s">
        <v>27</v>
      </c>
      <c r="H944" s="1" t="s">
        <v>28</v>
      </c>
      <c r="I944" s="1" t="s">
        <v>40</v>
      </c>
      <c r="J944" s="7">
        <v>143714</v>
      </c>
      <c r="K944" s="1">
        <v>592</v>
      </c>
      <c r="L944" s="7">
        <v>43663</v>
      </c>
      <c r="M944" s="1">
        <v>48</v>
      </c>
      <c r="N944" s="6">
        <v>0.13970000000000002</v>
      </c>
      <c r="O944" s="1" t="s">
        <v>5</v>
      </c>
      <c r="P944" s="1" t="s">
        <v>30</v>
      </c>
      <c r="Q944" s="1">
        <v>6</v>
      </c>
      <c r="R944" s="1">
        <v>1</v>
      </c>
      <c r="S944" s="1" t="s">
        <v>33</v>
      </c>
      <c r="T944" s="1" t="s">
        <v>31</v>
      </c>
      <c r="U944" s="1">
        <v>0</v>
      </c>
      <c r="V944" s="1">
        <v>103116</v>
      </c>
      <c r="W944" s="7">
        <v>1741.25</v>
      </c>
      <c r="X944" s="1">
        <v>0.9</v>
      </c>
      <c r="Y944" s="4">
        <v>44302</v>
      </c>
      <c r="Z944" s="1" t="s">
        <v>38</v>
      </c>
      <c r="AA944" s="1" t="s">
        <v>33</v>
      </c>
      <c r="AB944" s="36" t="str" cm="1">
        <f t="array" ref="AB944">_xlfn.IFS(K944&gt;650,"LOW",K944&gt;=550,"MEDIUM",K944&lt;550,"HIGH")</f>
        <v>MEDIUM</v>
      </c>
    </row>
    <row r="945" spans="3:28" x14ac:dyDescent="0.3">
      <c r="C945" s="35" t="s">
        <v>2356</v>
      </c>
      <c r="D945" s="1" t="s">
        <v>387</v>
      </c>
      <c r="E945" s="1">
        <v>23</v>
      </c>
      <c r="F945" s="1" t="s">
        <v>44</v>
      </c>
      <c r="G945" s="1" t="s">
        <v>35</v>
      </c>
      <c r="H945" s="1" t="s">
        <v>28</v>
      </c>
      <c r="I945" s="1" t="s">
        <v>57</v>
      </c>
      <c r="J945" s="7">
        <v>109051</v>
      </c>
      <c r="K945" s="1">
        <v>592</v>
      </c>
      <c r="L945" s="7">
        <v>10180</v>
      </c>
      <c r="M945" s="1">
        <v>36</v>
      </c>
      <c r="N945" s="6">
        <v>7.46E-2</v>
      </c>
      <c r="O945" s="1" t="s">
        <v>63</v>
      </c>
      <c r="P945" s="1" t="s">
        <v>30</v>
      </c>
      <c r="Q945" s="1">
        <v>9</v>
      </c>
      <c r="R945" s="1">
        <v>0</v>
      </c>
      <c r="S945" s="1" t="s">
        <v>33</v>
      </c>
      <c r="T945" s="1" t="s">
        <v>33</v>
      </c>
      <c r="U945" s="1">
        <v>3</v>
      </c>
      <c r="V945" s="1">
        <v>89064</v>
      </c>
      <c r="W945" s="7">
        <v>1848.98</v>
      </c>
      <c r="X945" s="1">
        <v>0.19</v>
      </c>
      <c r="Y945" s="4">
        <v>45272</v>
      </c>
      <c r="Z945" s="1" t="s">
        <v>32</v>
      </c>
      <c r="AA945" s="1" t="s">
        <v>31</v>
      </c>
      <c r="AB945" s="36" t="str" cm="1">
        <f t="array" ref="AB945">_xlfn.IFS(K945&gt;650,"LOW",K945&gt;=550,"MEDIUM",K945&lt;550,"HIGH")</f>
        <v>MEDIUM</v>
      </c>
    </row>
    <row r="946" spans="3:28" x14ac:dyDescent="0.3">
      <c r="C946" s="35" t="s">
        <v>2885</v>
      </c>
      <c r="D946" s="1" t="s">
        <v>913</v>
      </c>
      <c r="E946" s="1">
        <v>62</v>
      </c>
      <c r="F946" s="1" t="s">
        <v>26</v>
      </c>
      <c r="G946" s="1" t="s">
        <v>45</v>
      </c>
      <c r="H946" s="1" t="s">
        <v>28</v>
      </c>
      <c r="I946" s="1" t="s">
        <v>59</v>
      </c>
      <c r="J946" s="7">
        <v>38562</v>
      </c>
      <c r="K946" s="1">
        <v>592</v>
      </c>
      <c r="L946" s="7">
        <v>7344</v>
      </c>
      <c r="M946" s="1">
        <v>60</v>
      </c>
      <c r="N946" s="6">
        <v>5.1399999999999994E-2</v>
      </c>
      <c r="O946" s="1" t="s">
        <v>41</v>
      </c>
      <c r="P946" s="1" t="s">
        <v>30</v>
      </c>
      <c r="Q946" s="1">
        <v>24</v>
      </c>
      <c r="R946" s="1">
        <v>1</v>
      </c>
      <c r="S946" s="1" t="s">
        <v>31</v>
      </c>
      <c r="T946" s="1" t="s">
        <v>31</v>
      </c>
      <c r="U946" s="1">
        <v>4</v>
      </c>
      <c r="V946" s="1">
        <v>80415</v>
      </c>
      <c r="W946" s="7">
        <v>1409.45</v>
      </c>
      <c r="X946" s="1">
        <v>0.68</v>
      </c>
      <c r="Y946" s="4">
        <v>44605</v>
      </c>
      <c r="Z946" s="1" t="s">
        <v>38</v>
      </c>
      <c r="AA946" s="1" t="s">
        <v>33</v>
      </c>
      <c r="AB946" s="36" t="str" cm="1">
        <f t="array" ref="AB946">_xlfn.IFS(K946&gt;650,"LOW",K946&gt;=550,"MEDIUM",K946&lt;550,"HIGH")</f>
        <v>MEDIUM</v>
      </c>
    </row>
    <row r="947" spans="3:28" x14ac:dyDescent="0.3">
      <c r="C947" s="35" t="s">
        <v>3252</v>
      </c>
      <c r="D947" s="1" t="s">
        <v>1275</v>
      </c>
      <c r="E947" s="1">
        <v>30</v>
      </c>
      <c r="F947" s="1" t="s">
        <v>44</v>
      </c>
      <c r="G947" s="1" t="s">
        <v>35</v>
      </c>
      <c r="H947" s="1" t="s">
        <v>54</v>
      </c>
      <c r="I947" s="1" t="s">
        <v>57</v>
      </c>
      <c r="J947" s="7">
        <v>137369</v>
      </c>
      <c r="K947" s="1">
        <v>592</v>
      </c>
      <c r="L947" s="7">
        <v>34044</v>
      </c>
      <c r="M947" s="1">
        <v>12</v>
      </c>
      <c r="N947" s="6">
        <v>0.1283</v>
      </c>
      <c r="O947" s="1" t="s">
        <v>5</v>
      </c>
      <c r="P947" s="1" t="s">
        <v>47</v>
      </c>
      <c r="Q947" s="1">
        <v>13</v>
      </c>
      <c r="R947" s="1">
        <v>0</v>
      </c>
      <c r="S947" s="1" t="s">
        <v>31</v>
      </c>
      <c r="T947" s="1" t="s">
        <v>33</v>
      </c>
      <c r="U947" s="1">
        <v>3</v>
      </c>
      <c r="V947" s="1">
        <v>169170</v>
      </c>
      <c r="W947" s="7">
        <v>1435.73</v>
      </c>
      <c r="X947" s="1">
        <v>0.23</v>
      </c>
      <c r="Y947" s="4">
        <v>45844</v>
      </c>
      <c r="Z947" s="1" t="s">
        <v>38</v>
      </c>
      <c r="AA947" s="1" t="s">
        <v>33</v>
      </c>
      <c r="AB947" s="36" t="str" cm="1">
        <f t="array" ref="AB947">_xlfn.IFS(K947&gt;650,"LOW",K947&gt;=550,"MEDIUM",K947&lt;550,"HIGH")</f>
        <v>MEDIUM</v>
      </c>
    </row>
    <row r="948" spans="3:28" x14ac:dyDescent="0.3">
      <c r="C948" s="35" t="s">
        <v>3578</v>
      </c>
      <c r="D948" s="1" t="s">
        <v>1592</v>
      </c>
      <c r="E948" s="1">
        <v>52</v>
      </c>
      <c r="F948" s="1" t="s">
        <v>44</v>
      </c>
      <c r="G948" s="1" t="s">
        <v>27</v>
      </c>
      <c r="H948" s="1" t="s">
        <v>28</v>
      </c>
      <c r="I948" s="1" t="s">
        <v>57</v>
      </c>
      <c r="J948" s="7">
        <v>23845</v>
      </c>
      <c r="K948" s="1">
        <v>592</v>
      </c>
      <c r="L948" s="7">
        <v>8641</v>
      </c>
      <c r="M948" s="1">
        <v>12</v>
      </c>
      <c r="N948" s="6">
        <v>0.1696</v>
      </c>
      <c r="O948" s="1" t="s">
        <v>41</v>
      </c>
      <c r="P948" s="1" t="s">
        <v>50</v>
      </c>
      <c r="Q948" s="1">
        <v>2</v>
      </c>
      <c r="R948" s="1">
        <v>1</v>
      </c>
      <c r="S948" s="1" t="s">
        <v>33</v>
      </c>
      <c r="T948" s="1" t="s">
        <v>33</v>
      </c>
      <c r="U948" s="1">
        <v>0</v>
      </c>
      <c r="V948" s="1">
        <v>119449</v>
      </c>
      <c r="W948" s="7">
        <v>1987.52</v>
      </c>
      <c r="X948" s="1">
        <v>0.64</v>
      </c>
      <c r="Y948" s="4">
        <v>44872</v>
      </c>
      <c r="Z948" s="1" t="s">
        <v>38</v>
      </c>
      <c r="AA948" s="1" t="s">
        <v>33</v>
      </c>
      <c r="AB948" s="36" t="str" cm="1">
        <f t="array" ref="AB948">_xlfn.IFS(K948&gt;650,"LOW",K948&gt;=550,"MEDIUM",K948&lt;550,"HIGH")</f>
        <v>MEDIUM</v>
      </c>
    </row>
    <row r="949" spans="3:28" x14ac:dyDescent="0.3">
      <c r="C949" s="35" t="s">
        <v>3874</v>
      </c>
      <c r="D949" s="1" t="s">
        <v>1880</v>
      </c>
      <c r="E949" s="1">
        <v>57</v>
      </c>
      <c r="F949" s="1" t="s">
        <v>44</v>
      </c>
      <c r="G949" s="1" t="s">
        <v>45</v>
      </c>
      <c r="H949" s="1" t="s">
        <v>61</v>
      </c>
      <c r="I949" s="1" t="s">
        <v>57</v>
      </c>
      <c r="J949" s="7">
        <v>132223</v>
      </c>
      <c r="K949" s="1">
        <v>592</v>
      </c>
      <c r="L949" s="7">
        <v>32668</v>
      </c>
      <c r="M949" s="1">
        <v>48</v>
      </c>
      <c r="N949" s="6">
        <v>0.1076</v>
      </c>
      <c r="O949" s="1" t="s">
        <v>5</v>
      </c>
      <c r="P949" s="1" t="s">
        <v>30</v>
      </c>
      <c r="Q949" s="1">
        <v>18</v>
      </c>
      <c r="R949" s="1">
        <v>3</v>
      </c>
      <c r="S949" s="1" t="s">
        <v>33</v>
      </c>
      <c r="T949" s="1" t="s">
        <v>33</v>
      </c>
      <c r="U949" s="1">
        <v>2</v>
      </c>
      <c r="V949" s="1">
        <v>115131</v>
      </c>
      <c r="W949" s="7">
        <v>1301.82</v>
      </c>
      <c r="X949" s="1">
        <v>0.71</v>
      </c>
      <c r="Y949" s="4">
        <v>45114</v>
      </c>
      <c r="Z949" s="1" t="s">
        <v>38</v>
      </c>
      <c r="AA949" s="1" t="s">
        <v>33</v>
      </c>
      <c r="AB949" s="36" t="str" cm="1">
        <f t="array" ref="AB949">_xlfn.IFS(K949&gt;650,"LOW",K949&gt;=550,"MEDIUM",K949&lt;550,"HIGH")</f>
        <v>MEDIUM</v>
      </c>
    </row>
    <row r="950" spans="3:28" x14ac:dyDescent="0.3">
      <c r="C950" s="35" t="s">
        <v>3875</v>
      </c>
      <c r="D950" s="1" t="s">
        <v>1881</v>
      </c>
      <c r="E950" s="1">
        <v>25</v>
      </c>
      <c r="F950" s="1" t="s">
        <v>44</v>
      </c>
      <c r="G950" s="1" t="s">
        <v>56</v>
      </c>
      <c r="H950" s="1" t="s">
        <v>36</v>
      </c>
      <c r="I950" s="1" t="s">
        <v>57</v>
      </c>
      <c r="J950" s="7">
        <v>66936</v>
      </c>
      <c r="K950" s="1">
        <v>592</v>
      </c>
      <c r="L950" s="7">
        <v>27918</v>
      </c>
      <c r="M950" s="1">
        <v>36</v>
      </c>
      <c r="N950" s="6">
        <v>0.16010000000000002</v>
      </c>
      <c r="O950" s="1" t="s">
        <v>37</v>
      </c>
      <c r="P950" s="1" t="s">
        <v>30</v>
      </c>
      <c r="Q950" s="1">
        <v>9</v>
      </c>
      <c r="R950" s="1">
        <v>3</v>
      </c>
      <c r="S950" s="1" t="s">
        <v>33</v>
      </c>
      <c r="T950" s="1" t="s">
        <v>31</v>
      </c>
      <c r="U950" s="1">
        <v>3</v>
      </c>
      <c r="V950" s="1">
        <v>44758</v>
      </c>
      <c r="W950" s="7">
        <v>735.38</v>
      </c>
      <c r="X950" s="1">
        <v>0.51</v>
      </c>
      <c r="Y950" s="4">
        <v>44251</v>
      </c>
      <c r="Z950" s="1" t="s">
        <v>38</v>
      </c>
      <c r="AA950" s="1" t="s">
        <v>33</v>
      </c>
      <c r="AB950" s="36" t="str" cm="1">
        <f t="array" ref="AB950">_xlfn.IFS(K950&gt;650,"LOW",K950&gt;=550,"MEDIUM",K950&lt;550,"HIGH")</f>
        <v>MEDIUM</v>
      </c>
    </row>
    <row r="951" spans="3:28" x14ac:dyDescent="0.3">
      <c r="C951" s="35" t="s">
        <v>2165</v>
      </c>
      <c r="D951" s="1" t="s">
        <v>196</v>
      </c>
      <c r="E951" s="1">
        <v>59</v>
      </c>
      <c r="F951" s="1" t="s">
        <v>44</v>
      </c>
      <c r="G951" s="1" t="s">
        <v>45</v>
      </c>
      <c r="H951" s="1" t="s">
        <v>54</v>
      </c>
      <c r="I951" s="1" t="s">
        <v>29</v>
      </c>
      <c r="J951" s="7">
        <v>45563</v>
      </c>
      <c r="K951" s="1">
        <v>591</v>
      </c>
      <c r="L951" s="7">
        <v>37263</v>
      </c>
      <c r="M951" s="1">
        <v>48</v>
      </c>
      <c r="N951" s="6">
        <v>0.1946</v>
      </c>
      <c r="O951" s="1" t="s">
        <v>63</v>
      </c>
      <c r="P951" s="1" t="s">
        <v>50</v>
      </c>
      <c r="Q951" s="1">
        <v>10</v>
      </c>
      <c r="R951" s="1">
        <v>1</v>
      </c>
      <c r="S951" s="1" t="s">
        <v>33</v>
      </c>
      <c r="T951" s="1" t="s">
        <v>31</v>
      </c>
      <c r="U951" s="1">
        <v>3</v>
      </c>
      <c r="V951" s="1">
        <v>12705</v>
      </c>
      <c r="W951" s="7">
        <v>1549.73</v>
      </c>
      <c r="X951" s="1">
        <v>0.62</v>
      </c>
      <c r="Y951" s="4">
        <v>45519</v>
      </c>
      <c r="Z951" s="1" t="s">
        <v>38</v>
      </c>
      <c r="AA951" s="1" t="s">
        <v>33</v>
      </c>
      <c r="AB951" s="36" t="str" cm="1">
        <f t="array" ref="AB951">_xlfn.IFS(K951&gt;650,"LOW",K951&gt;=550,"MEDIUM",K951&lt;550,"HIGH")</f>
        <v>MEDIUM</v>
      </c>
    </row>
    <row r="952" spans="3:28" x14ac:dyDescent="0.3">
      <c r="C952" s="35" t="s">
        <v>2208</v>
      </c>
      <c r="D952" s="1" t="s">
        <v>239</v>
      </c>
      <c r="E952" s="1">
        <v>61</v>
      </c>
      <c r="F952" s="1" t="s">
        <v>44</v>
      </c>
      <c r="G952" s="1" t="s">
        <v>27</v>
      </c>
      <c r="H952" s="1" t="s">
        <v>36</v>
      </c>
      <c r="I952" s="1" t="s">
        <v>57</v>
      </c>
      <c r="J952" s="7">
        <v>34016</v>
      </c>
      <c r="K952" s="1">
        <v>591</v>
      </c>
      <c r="L952" s="7">
        <v>18862</v>
      </c>
      <c r="M952" s="1">
        <v>60</v>
      </c>
      <c r="N952" s="6">
        <v>0.15859999999999999</v>
      </c>
      <c r="O952" s="1" t="s">
        <v>63</v>
      </c>
      <c r="P952" s="1" t="s">
        <v>50</v>
      </c>
      <c r="Q952" s="1">
        <v>20</v>
      </c>
      <c r="R952" s="1">
        <v>0</v>
      </c>
      <c r="S952" s="1" t="s">
        <v>31</v>
      </c>
      <c r="T952" s="1" t="s">
        <v>31</v>
      </c>
      <c r="U952" s="1">
        <v>4</v>
      </c>
      <c r="V952" s="1">
        <v>76759</v>
      </c>
      <c r="W952" s="7">
        <v>1052.67</v>
      </c>
      <c r="X952" s="1">
        <v>0.79</v>
      </c>
      <c r="Y952" s="4">
        <v>45646</v>
      </c>
      <c r="Z952" s="1" t="s">
        <v>32</v>
      </c>
      <c r="AA952" s="1" t="s">
        <v>31</v>
      </c>
      <c r="AB952" s="36" t="str" cm="1">
        <f t="array" ref="AB952">_xlfn.IFS(K952&gt;650,"LOW",K952&gt;=550,"MEDIUM",K952&lt;550,"HIGH")</f>
        <v>MEDIUM</v>
      </c>
    </row>
    <row r="953" spans="3:28" x14ac:dyDescent="0.3">
      <c r="C953" s="35" t="s">
        <v>2547</v>
      </c>
      <c r="D953" s="1" t="s">
        <v>577</v>
      </c>
      <c r="E953" s="1">
        <v>61</v>
      </c>
      <c r="F953" s="1" t="s">
        <v>26</v>
      </c>
      <c r="G953" s="1" t="s">
        <v>56</v>
      </c>
      <c r="H953" s="1" t="s">
        <v>61</v>
      </c>
      <c r="I953" s="1" t="s">
        <v>57</v>
      </c>
      <c r="J953" s="7">
        <v>75809</v>
      </c>
      <c r="K953" s="1">
        <v>591</v>
      </c>
      <c r="L953" s="7">
        <v>46380</v>
      </c>
      <c r="M953" s="1">
        <v>60</v>
      </c>
      <c r="N953" s="6">
        <v>0.17850000000000002</v>
      </c>
      <c r="O953" s="1" t="s">
        <v>46</v>
      </c>
      <c r="P953" s="1" t="s">
        <v>30</v>
      </c>
      <c r="Q953" s="1">
        <v>21</v>
      </c>
      <c r="R953" s="1">
        <v>3</v>
      </c>
      <c r="S953" s="1" t="s">
        <v>33</v>
      </c>
      <c r="T953" s="1" t="s">
        <v>33</v>
      </c>
      <c r="U953" s="1">
        <v>0</v>
      </c>
      <c r="V953" s="1">
        <v>112194</v>
      </c>
      <c r="W953" s="7">
        <v>174.04</v>
      </c>
      <c r="X953" s="1">
        <v>0.14000000000000001</v>
      </c>
      <c r="Y953" s="4">
        <v>45641</v>
      </c>
      <c r="Z953" s="1" t="s">
        <v>32</v>
      </c>
      <c r="AA953" s="1" t="s">
        <v>33</v>
      </c>
      <c r="AB953" s="36" t="str" cm="1">
        <f t="array" ref="AB953">_xlfn.IFS(K953&gt;650,"LOW",K953&gt;=550,"MEDIUM",K953&lt;550,"HIGH")</f>
        <v>MEDIUM</v>
      </c>
    </row>
    <row r="954" spans="3:28" x14ac:dyDescent="0.3">
      <c r="C954" s="35" t="s">
        <v>2919</v>
      </c>
      <c r="D954" s="1" t="s">
        <v>947</v>
      </c>
      <c r="E954" s="1">
        <v>26</v>
      </c>
      <c r="F954" s="1" t="s">
        <v>26</v>
      </c>
      <c r="G954" s="1" t="s">
        <v>45</v>
      </c>
      <c r="H954" s="1" t="s">
        <v>28</v>
      </c>
      <c r="I954" s="1" t="s">
        <v>59</v>
      </c>
      <c r="J954" s="7">
        <v>135884</v>
      </c>
      <c r="K954" s="1">
        <v>591</v>
      </c>
      <c r="L954" s="7">
        <v>30764</v>
      </c>
      <c r="M954" s="1">
        <v>24</v>
      </c>
      <c r="N954" s="6">
        <v>0.1469</v>
      </c>
      <c r="O954" s="1" t="s">
        <v>46</v>
      </c>
      <c r="P954" s="1" t="s">
        <v>50</v>
      </c>
      <c r="Q954" s="1">
        <v>2</v>
      </c>
      <c r="R954" s="1">
        <v>2</v>
      </c>
      <c r="S954" s="1" t="s">
        <v>31</v>
      </c>
      <c r="T954" s="1" t="s">
        <v>33</v>
      </c>
      <c r="U954" s="1">
        <v>4</v>
      </c>
      <c r="V954" s="1">
        <v>151780</v>
      </c>
      <c r="W954" s="7">
        <v>1170.67</v>
      </c>
      <c r="X954" s="1">
        <v>0.36</v>
      </c>
      <c r="Y954" s="4">
        <v>45515</v>
      </c>
      <c r="Z954" s="1" t="s">
        <v>38</v>
      </c>
      <c r="AA954" s="1" t="s">
        <v>33</v>
      </c>
      <c r="AB954" s="36" t="str" cm="1">
        <f t="array" ref="AB954">_xlfn.IFS(K954&gt;650,"LOW",K954&gt;=550,"MEDIUM",K954&lt;550,"HIGH")</f>
        <v>MEDIUM</v>
      </c>
    </row>
    <row r="955" spans="3:28" x14ac:dyDescent="0.3">
      <c r="C955" s="35" t="s">
        <v>3287</v>
      </c>
      <c r="D955" s="1" t="s">
        <v>1310</v>
      </c>
      <c r="E955" s="1">
        <v>43</v>
      </c>
      <c r="F955" s="1" t="s">
        <v>44</v>
      </c>
      <c r="G955" s="1" t="s">
        <v>27</v>
      </c>
      <c r="H955" s="1" t="s">
        <v>28</v>
      </c>
      <c r="I955" s="1" t="s">
        <v>40</v>
      </c>
      <c r="J955" s="7">
        <v>25993</v>
      </c>
      <c r="K955" s="1">
        <v>591</v>
      </c>
      <c r="L955" s="7">
        <v>26298</v>
      </c>
      <c r="M955" s="1">
        <v>48</v>
      </c>
      <c r="N955" s="6">
        <v>6.0400000000000002E-2</v>
      </c>
      <c r="O955" s="1" t="s">
        <v>52</v>
      </c>
      <c r="P955" s="1" t="s">
        <v>47</v>
      </c>
      <c r="Q955" s="1">
        <v>10</v>
      </c>
      <c r="R955" s="1">
        <v>4</v>
      </c>
      <c r="S955" s="1" t="s">
        <v>33</v>
      </c>
      <c r="T955" s="1" t="s">
        <v>33</v>
      </c>
      <c r="U955" s="1">
        <v>1</v>
      </c>
      <c r="V955" s="1">
        <v>179155</v>
      </c>
      <c r="W955" s="7">
        <v>1081.68</v>
      </c>
      <c r="X955" s="1">
        <v>0.64</v>
      </c>
      <c r="Y955" s="4">
        <v>44792</v>
      </c>
      <c r="Z955" s="1" t="s">
        <v>32</v>
      </c>
      <c r="AA955" s="1" t="s">
        <v>31</v>
      </c>
      <c r="AB955" s="36" t="str" cm="1">
        <f t="array" ref="AB955">_xlfn.IFS(K955&gt;650,"LOW",K955&gt;=550,"MEDIUM",K955&lt;550,"HIGH")</f>
        <v>MEDIUM</v>
      </c>
    </row>
    <row r="956" spans="3:28" x14ac:dyDescent="0.3">
      <c r="C956" s="35" t="s">
        <v>3700</v>
      </c>
      <c r="D956" s="1" t="s">
        <v>1711</v>
      </c>
      <c r="E956" s="1">
        <v>27</v>
      </c>
      <c r="F956" s="1" t="s">
        <v>44</v>
      </c>
      <c r="G956" s="1" t="s">
        <v>27</v>
      </c>
      <c r="H956" s="1" t="s">
        <v>36</v>
      </c>
      <c r="I956" s="1" t="s">
        <v>59</v>
      </c>
      <c r="J956" s="7">
        <v>142761</v>
      </c>
      <c r="K956" s="1">
        <v>591</v>
      </c>
      <c r="L956" s="7">
        <v>5316</v>
      </c>
      <c r="M956" s="1">
        <v>36</v>
      </c>
      <c r="N956" s="6">
        <v>0.19620000000000001</v>
      </c>
      <c r="O956" s="1" t="s">
        <v>5</v>
      </c>
      <c r="P956" s="1" t="s">
        <v>30</v>
      </c>
      <c r="Q956" s="1">
        <v>23</v>
      </c>
      <c r="R956" s="1">
        <v>4</v>
      </c>
      <c r="S956" s="1" t="s">
        <v>33</v>
      </c>
      <c r="T956" s="1" t="s">
        <v>33</v>
      </c>
      <c r="U956" s="1">
        <v>1</v>
      </c>
      <c r="V956" s="1">
        <v>92288</v>
      </c>
      <c r="W956" s="7">
        <v>1879.49</v>
      </c>
      <c r="X956" s="1">
        <v>0.3</v>
      </c>
      <c r="Y956" s="4">
        <v>44022</v>
      </c>
      <c r="Z956" s="1" t="s">
        <v>38</v>
      </c>
      <c r="AA956" s="1" t="s">
        <v>33</v>
      </c>
      <c r="AB956" s="36" t="str" cm="1">
        <f t="array" ref="AB956">_xlfn.IFS(K956&gt;650,"LOW",K956&gt;=550,"MEDIUM",K956&lt;550,"HIGH")</f>
        <v>MEDIUM</v>
      </c>
    </row>
    <row r="957" spans="3:28" x14ac:dyDescent="0.3">
      <c r="C957" s="35" t="s">
        <v>2466</v>
      </c>
      <c r="D957" s="1" t="s">
        <v>496</v>
      </c>
      <c r="E957" s="1">
        <v>53</v>
      </c>
      <c r="F957" s="1" t="s">
        <v>26</v>
      </c>
      <c r="G957" s="1" t="s">
        <v>56</v>
      </c>
      <c r="H957" s="1" t="s">
        <v>28</v>
      </c>
      <c r="I957" s="1" t="s">
        <v>59</v>
      </c>
      <c r="J957" s="7">
        <v>66118</v>
      </c>
      <c r="K957" s="1">
        <v>590</v>
      </c>
      <c r="L957" s="7">
        <v>45610</v>
      </c>
      <c r="M957" s="1">
        <v>12</v>
      </c>
      <c r="N957" s="6">
        <v>7.9899999999999999E-2</v>
      </c>
      <c r="O957" s="1" t="s">
        <v>41</v>
      </c>
      <c r="P957" s="1" t="s">
        <v>30</v>
      </c>
      <c r="Q957" s="1">
        <v>9</v>
      </c>
      <c r="R957" s="1">
        <v>4</v>
      </c>
      <c r="S957" s="1" t="s">
        <v>33</v>
      </c>
      <c r="T957" s="1" t="s">
        <v>33</v>
      </c>
      <c r="U957" s="1">
        <v>4</v>
      </c>
      <c r="V957" s="1">
        <v>35690</v>
      </c>
      <c r="W957" s="7">
        <v>1222.74</v>
      </c>
      <c r="X957" s="1">
        <v>0.47</v>
      </c>
      <c r="Y957" s="4">
        <v>45491</v>
      </c>
      <c r="Z957" s="1" t="s">
        <v>32</v>
      </c>
      <c r="AA957" s="1" t="s">
        <v>33</v>
      </c>
      <c r="AB957" s="36" t="str" cm="1">
        <f t="array" ref="AB957">_xlfn.IFS(K957&gt;650,"LOW",K957&gt;=550,"MEDIUM",K957&lt;550,"HIGH")</f>
        <v>MEDIUM</v>
      </c>
    </row>
    <row r="958" spans="3:28" x14ac:dyDescent="0.3">
      <c r="C958" s="35" t="s">
        <v>3003</v>
      </c>
      <c r="D958" s="1" t="s">
        <v>1030</v>
      </c>
      <c r="E958" s="1">
        <v>28</v>
      </c>
      <c r="F958" s="1" t="s">
        <v>44</v>
      </c>
      <c r="G958" s="1" t="s">
        <v>45</v>
      </c>
      <c r="H958" s="1" t="s">
        <v>28</v>
      </c>
      <c r="I958" s="1" t="s">
        <v>40</v>
      </c>
      <c r="J958" s="7">
        <v>135080</v>
      </c>
      <c r="K958" s="1">
        <v>590</v>
      </c>
      <c r="L958" s="7">
        <v>34932</v>
      </c>
      <c r="M958" s="1">
        <v>48</v>
      </c>
      <c r="N958" s="6">
        <v>0.17170000000000002</v>
      </c>
      <c r="O958" s="1" t="s">
        <v>52</v>
      </c>
      <c r="P958" s="1" t="s">
        <v>30</v>
      </c>
      <c r="Q958" s="1">
        <v>25</v>
      </c>
      <c r="R958" s="1">
        <v>0</v>
      </c>
      <c r="S958" s="1" t="s">
        <v>31</v>
      </c>
      <c r="T958" s="1" t="s">
        <v>31</v>
      </c>
      <c r="U958" s="1">
        <v>2</v>
      </c>
      <c r="V958" s="1">
        <v>61804</v>
      </c>
      <c r="W958" s="7">
        <v>1271.67</v>
      </c>
      <c r="X958" s="1">
        <v>0.82</v>
      </c>
      <c r="Y958" s="4">
        <v>45396</v>
      </c>
      <c r="Z958" s="1" t="s">
        <v>38</v>
      </c>
      <c r="AA958" s="1" t="s">
        <v>33</v>
      </c>
      <c r="AB958" s="36" t="str" cm="1">
        <f t="array" ref="AB958">_xlfn.IFS(K958&gt;650,"LOW",K958&gt;=550,"MEDIUM",K958&lt;550,"HIGH")</f>
        <v>MEDIUM</v>
      </c>
    </row>
    <row r="959" spans="3:28" x14ac:dyDescent="0.3">
      <c r="C959" s="35" t="s">
        <v>2046</v>
      </c>
      <c r="D959" s="1" t="s">
        <v>77</v>
      </c>
      <c r="E959" s="1">
        <v>42</v>
      </c>
      <c r="F959" s="1" t="s">
        <v>44</v>
      </c>
      <c r="G959" s="1" t="s">
        <v>35</v>
      </c>
      <c r="H959" s="1" t="s">
        <v>54</v>
      </c>
      <c r="I959" s="1" t="s">
        <v>40</v>
      </c>
      <c r="J959" s="7">
        <v>118943</v>
      </c>
      <c r="K959" s="1">
        <v>589</v>
      </c>
      <c r="L959" s="7">
        <v>18110</v>
      </c>
      <c r="M959" s="1">
        <v>24</v>
      </c>
      <c r="N959" s="6">
        <v>9.4499999999999987E-2</v>
      </c>
      <c r="O959" s="1" t="s">
        <v>37</v>
      </c>
      <c r="P959" s="1" t="s">
        <v>30</v>
      </c>
      <c r="Q959" s="1">
        <v>28</v>
      </c>
      <c r="R959" s="1">
        <v>4</v>
      </c>
      <c r="S959" s="1" t="s">
        <v>33</v>
      </c>
      <c r="T959" s="1" t="s">
        <v>33</v>
      </c>
      <c r="U959" s="1">
        <v>3</v>
      </c>
      <c r="V959" s="1">
        <v>172507</v>
      </c>
      <c r="W959" s="7">
        <v>1443.33</v>
      </c>
      <c r="X959" s="1">
        <v>0.53</v>
      </c>
      <c r="Y959" s="4">
        <v>44425</v>
      </c>
      <c r="Z959" s="1" t="s">
        <v>38</v>
      </c>
      <c r="AA959" s="1" t="s">
        <v>33</v>
      </c>
      <c r="AB959" s="36" t="str" cm="1">
        <f t="array" ref="AB959">_xlfn.IFS(K959&gt;650,"LOW",K959&gt;=550,"MEDIUM",K959&lt;550,"HIGH")</f>
        <v>MEDIUM</v>
      </c>
    </row>
    <row r="960" spans="3:28" x14ac:dyDescent="0.3">
      <c r="C960" s="35" t="s">
        <v>2193</v>
      </c>
      <c r="D960" s="1" t="s">
        <v>224</v>
      </c>
      <c r="E960" s="1">
        <v>23</v>
      </c>
      <c r="F960" s="1" t="s">
        <v>26</v>
      </c>
      <c r="G960" s="1" t="s">
        <v>56</v>
      </c>
      <c r="H960" s="1" t="s">
        <v>36</v>
      </c>
      <c r="I960" s="1" t="s">
        <v>59</v>
      </c>
      <c r="J960" s="7">
        <v>58090</v>
      </c>
      <c r="K960" s="1">
        <v>589</v>
      </c>
      <c r="L960" s="7">
        <v>3999</v>
      </c>
      <c r="M960" s="1">
        <v>48</v>
      </c>
      <c r="N960" s="6">
        <v>0.10060000000000001</v>
      </c>
      <c r="O960" s="1" t="s">
        <v>52</v>
      </c>
      <c r="P960" s="1" t="s">
        <v>30</v>
      </c>
      <c r="Q960" s="1">
        <v>13</v>
      </c>
      <c r="R960" s="1">
        <v>1</v>
      </c>
      <c r="S960" s="1" t="s">
        <v>31</v>
      </c>
      <c r="T960" s="1" t="s">
        <v>31</v>
      </c>
      <c r="U960" s="1">
        <v>3</v>
      </c>
      <c r="V960" s="1">
        <v>14760</v>
      </c>
      <c r="W960" s="7">
        <v>1234.3800000000001</v>
      </c>
      <c r="X960" s="1">
        <v>0.53</v>
      </c>
      <c r="Y960" s="4">
        <v>44756</v>
      </c>
      <c r="Z960" s="1" t="s">
        <v>32</v>
      </c>
      <c r="AA960" s="1" t="s">
        <v>33</v>
      </c>
      <c r="AB960" s="36" t="str" cm="1">
        <f t="array" ref="AB960">_xlfn.IFS(K960&gt;650,"LOW",K960&gt;=550,"MEDIUM",K960&lt;550,"HIGH")</f>
        <v>MEDIUM</v>
      </c>
    </row>
    <row r="961" spans="3:28" x14ac:dyDescent="0.3">
      <c r="C961" s="35" t="s">
        <v>2119</v>
      </c>
      <c r="D961" s="1" t="s">
        <v>150</v>
      </c>
      <c r="E961" s="1">
        <v>55</v>
      </c>
      <c r="F961" s="1" t="s">
        <v>44</v>
      </c>
      <c r="G961" s="1" t="s">
        <v>56</v>
      </c>
      <c r="H961" s="1" t="s">
        <v>54</v>
      </c>
      <c r="I961" s="1" t="s">
        <v>59</v>
      </c>
      <c r="J961" s="7">
        <v>114686</v>
      </c>
      <c r="K961" s="1">
        <v>588</v>
      </c>
      <c r="L961" s="7">
        <v>16367</v>
      </c>
      <c r="M961" s="1">
        <v>36</v>
      </c>
      <c r="N961" s="6">
        <v>6.0700000000000004E-2</v>
      </c>
      <c r="O961" s="1" t="s">
        <v>63</v>
      </c>
      <c r="P961" s="1" t="s">
        <v>47</v>
      </c>
      <c r="Q961" s="1">
        <v>24</v>
      </c>
      <c r="R961" s="1">
        <v>3</v>
      </c>
      <c r="S961" s="1" t="s">
        <v>33</v>
      </c>
      <c r="T961" s="1" t="s">
        <v>31</v>
      </c>
      <c r="U961" s="1">
        <v>4</v>
      </c>
      <c r="V961" s="1">
        <v>108885</v>
      </c>
      <c r="W961" s="7">
        <v>1555.17</v>
      </c>
      <c r="X961" s="1">
        <v>0.11</v>
      </c>
      <c r="Y961" s="4">
        <v>44291</v>
      </c>
      <c r="Z961" s="1" t="s">
        <v>38</v>
      </c>
      <c r="AA961" s="1" t="s">
        <v>31</v>
      </c>
      <c r="AB961" s="36" t="str" cm="1">
        <f t="array" ref="AB961">_xlfn.IFS(K961&gt;650,"LOW",K961&gt;=550,"MEDIUM",K961&lt;550,"HIGH")</f>
        <v>MEDIUM</v>
      </c>
    </row>
    <row r="962" spans="3:28" x14ac:dyDescent="0.3">
      <c r="C962" s="35" t="s">
        <v>2516</v>
      </c>
      <c r="D962" s="1" t="s">
        <v>546</v>
      </c>
      <c r="E962" s="1">
        <v>30</v>
      </c>
      <c r="F962" s="1" t="s">
        <v>26</v>
      </c>
      <c r="G962" s="1" t="s">
        <v>27</v>
      </c>
      <c r="H962" s="1" t="s">
        <v>36</v>
      </c>
      <c r="I962" s="1" t="s">
        <v>57</v>
      </c>
      <c r="J962" s="7">
        <v>128835</v>
      </c>
      <c r="K962" s="1">
        <v>588</v>
      </c>
      <c r="L962" s="7">
        <v>45695</v>
      </c>
      <c r="M962" s="1">
        <v>60</v>
      </c>
      <c r="N962" s="6">
        <v>6.8000000000000005E-2</v>
      </c>
      <c r="O962" s="1" t="s">
        <v>63</v>
      </c>
      <c r="P962" s="1" t="s">
        <v>30</v>
      </c>
      <c r="Q962" s="1">
        <v>29</v>
      </c>
      <c r="R962" s="1">
        <v>0</v>
      </c>
      <c r="S962" s="1" t="s">
        <v>33</v>
      </c>
      <c r="T962" s="1" t="s">
        <v>31</v>
      </c>
      <c r="U962" s="1">
        <v>1</v>
      </c>
      <c r="V962" s="1">
        <v>88873</v>
      </c>
      <c r="W962" s="7">
        <v>907.59</v>
      </c>
      <c r="X962" s="1">
        <v>0.39</v>
      </c>
      <c r="Y962" s="4">
        <v>44781</v>
      </c>
      <c r="Z962" s="1" t="s">
        <v>38</v>
      </c>
      <c r="AA962" s="1" t="s">
        <v>31</v>
      </c>
      <c r="AB962" s="36" t="str" cm="1">
        <f t="array" ref="AB962">_xlfn.IFS(K962&gt;650,"LOW",K962&gt;=550,"MEDIUM",K962&lt;550,"HIGH")</f>
        <v>MEDIUM</v>
      </c>
    </row>
    <row r="963" spans="3:28" x14ac:dyDescent="0.3">
      <c r="C963" s="35" t="s">
        <v>2618</v>
      </c>
      <c r="D963" s="1" t="s">
        <v>648</v>
      </c>
      <c r="E963" s="1">
        <v>47</v>
      </c>
      <c r="F963" s="1" t="s">
        <v>26</v>
      </c>
      <c r="G963" s="1" t="s">
        <v>27</v>
      </c>
      <c r="H963" s="1" t="s">
        <v>61</v>
      </c>
      <c r="I963" s="1" t="s">
        <v>40</v>
      </c>
      <c r="J963" s="7">
        <v>46498</v>
      </c>
      <c r="K963" s="1">
        <v>588</v>
      </c>
      <c r="L963" s="7">
        <v>39969</v>
      </c>
      <c r="M963" s="1">
        <v>48</v>
      </c>
      <c r="N963" s="6">
        <v>6.5500000000000003E-2</v>
      </c>
      <c r="O963" s="1" t="s">
        <v>52</v>
      </c>
      <c r="P963" s="1" t="s">
        <v>47</v>
      </c>
      <c r="Q963" s="1">
        <v>15</v>
      </c>
      <c r="R963" s="1">
        <v>1</v>
      </c>
      <c r="S963" s="1" t="s">
        <v>31</v>
      </c>
      <c r="T963" s="1" t="s">
        <v>31</v>
      </c>
      <c r="U963" s="1">
        <v>2</v>
      </c>
      <c r="V963" s="1">
        <v>76758</v>
      </c>
      <c r="W963" s="7">
        <v>467.28</v>
      </c>
      <c r="X963" s="1">
        <v>0.13</v>
      </c>
      <c r="Y963" s="4">
        <v>45370</v>
      </c>
      <c r="Z963" s="1" t="s">
        <v>38</v>
      </c>
      <c r="AA963" s="1" t="s">
        <v>31</v>
      </c>
      <c r="AB963" s="36" t="str" cm="1">
        <f t="array" ref="AB963">_xlfn.IFS(K963&gt;650,"LOW",K963&gt;=550,"MEDIUM",K963&lt;550,"HIGH")</f>
        <v>MEDIUM</v>
      </c>
    </row>
    <row r="964" spans="3:28" x14ac:dyDescent="0.3">
      <c r="C964" s="35" t="s">
        <v>3082</v>
      </c>
      <c r="D964" s="1" t="s">
        <v>1108</v>
      </c>
      <c r="E964" s="1">
        <v>38</v>
      </c>
      <c r="F964" s="1" t="s">
        <v>44</v>
      </c>
      <c r="G964" s="1" t="s">
        <v>27</v>
      </c>
      <c r="H964" s="1" t="s">
        <v>54</v>
      </c>
      <c r="I964" s="1" t="s">
        <v>59</v>
      </c>
      <c r="J964" s="7">
        <v>136469</v>
      </c>
      <c r="K964" s="1">
        <v>588</v>
      </c>
      <c r="L964" s="7">
        <v>18776</v>
      </c>
      <c r="M964" s="1">
        <v>12</v>
      </c>
      <c r="N964" s="6">
        <v>0.13650000000000001</v>
      </c>
      <c r="O964" s="1" t="s">
        <v>5</v>
      </c>
      <c r="P964" s="1" t="s">
        <v>47</v>
      </c>
      <c r="Q964" s="1">
        <v>26</v>
      </c>
      <c r="R964" s="1">
        <v>2</v>
      </c>
      <c r="S964" s="1" t="s">
        <v>33</v>
      </c>
      <c r="T964" s="1" t="s">
        <v>31</v>
      </c>
      <c r="U964" s="1">
        <v>2</v>
      </c>
      <c r="V964" s="1">
        <v>123448</v>
      </c>
      <c r="W964" s="7">
        <v>1917.27</v>
      </c>
      <c r="X964" s="1">
        <v>0.77</v>
      </c>
      <c r="Y964" s="4">
        <v>45040</v>
      </c>
      <c r="Z964" s="1" t="s">
        <v>38</v>
      </c>
      <c r="AA964" s="1" t="s">
        <v>33</v>
      </c>
      <c r="AB964" s="36" t="str" cm="1">
        <f t="array" ref="AB964">_xlfn.IFS(K964&gt;650,"LOW",K964&gt;=550,"MEDIUM",K964&lt;550,"HIGH")</f>
        <v>MEDIUM</v>
      </c>
    </row>
    <row r="965" spans="3:28" x14ac:dyDescent="0.3">
      <c r="C965" s="35" t="s">
        <v>2709</v>
      </c>
      <c r="D965" s="1" t="s">
        <v>739</v>
      </c>
      <c r="E965" s="1">
        <v>54</v>
      </c>
      <c r="F965" s="1" t="s">
        <v>26</v>
      </c>
      <c r="G965" s="1" t="s">
        <v>45</v>
      </c>
      <c r="H965" s="1" t="s">
        <v>28</v>
      </c>
      <c r="I965" s="1" t="s">
        <v>59</v>
      </c>
      <c r="J965" s="7">
        <v>35332</v>
      </c>
      <c r="K965" s="1">
        <v>587</v>
      </c>
      <c r="L965" s="7">
        <v>8614</v>
      </c>
      <c r="M965" s="1">
        <v>48</v>
      </c>
      <c r="N965" s="6">
        <v>8.6899999999999991E-2</v>
      </c>
      <c r="O965" s="1" t="s">
        <v>52</v>
      </c>
      <c r="P965" s="1" t="s">
        <v>30</v>
      </c>
      <c r="Q965" s="1">
        <v>3</v>
      </c>
      <c r="R965" s="1">
        <v>0</v>
      </c>
      <c r="S965" s="1" t="s">
        <v>31</v>
      </c>
      <c r="T965" s="1" t="s">
        <v>33</v>
      </c>
      <c r="U965" s="1">
        <v>3</v>
      </c>
      <c r="V965" s="1">
        <v>165859</v>
      </c>
      <c r="W965" s="7">
        <v>1936.6</v>
      </c>
      <c r="X965" s="1">
        <v>0.28999999999999998</v>
      </c>
      <c r="Y965" s="4">
        <v>45825</v>
      </c>
      <c r="Z965" s="1" t="s">
        <v>32</v>
      </c>
      <c r="AA965" s="1" t="s">
        <v>33</v>
      </c>
      <c r="AB965" s="36" t="str" cm="1">
        <f t="array" ref="AB965">_xlfn.IFS(K965&gt;650,"LOW",K965&gt;=550,"MEDIUM",K965&lt;550,"HIGH")</f>
        <v>MEDIUM</v>
      </c>
    </row>
    <row r="966" spans="3:28" x14ac:dyDescent="0.3">
      <c r="C966" s="35" t="s">
        <v>2846</v>
      </c>
      <c r="D966" s="1" t="s">
        <v>874</v>
      </c>
      <c r="E966" s="1">
        <v>44</v>
      </c>
      <c r="F966" s="1" t="s">
        <v>44</v>
      </c>
      <c r="G966" s="1" t="s">
        <v>35</v>
      </c>
      <c r="H966" s="1" t="s">
        <v>36</v>
      </c>
      <c r="I966" s="1" t="s">
        <v>40</v>
      </c>
      <c r="J966" s="7">
        <v>148924</v>
      </c>
      <c r="K966" s="1">
        <v>587</v>
      </c>
      <c r="L966" s="7">
        <v>28873</v>
      </c>
      <c r="M966" s="1">
        <v>24</v>
      </c>
      <c r="N966" s="6">
        <v>0.15770000000000001</v>
      </c>
      <c r="O966" s="1" t="s">
        <v>46</v>
      </c>
      <c r="P966" s="1" t="s">
        <v>50</v>
      </c>
      <c r="Q966" s="1">
        <v>19</v>
      </c>
      <c r="R966" s="1">
        <v>1</v>
      </c>
      <c r="S966" s="1" t="s">
        <v>33</v>
      </c>
      <c r="T966" s="1" t="s">
        <v>31</v>
      </c>
      <c r="U966" s="1">
        <v>0</v>
      </c>
      <c r="V966" s="1">
        <v>16944</v>
      </c>
      <c r="W966" s="7">
        <v>575.96</v>
      </c>
      <c r="X966" s="1">
        <v>0.51</v>
      </c>
      <c r="Y966" s="4">
        <v>44679</v>
      </c>
      <c r="Z966" s="1" t="s">
        <v>32</v>
      </c>
      <c r="AA966" s="1" t="s">
        <v>33</v>
      </c>
      <c r="AB966" s="36" t="str" cm="1">
        <f t="array" ref="AB966">_xlfn.IFS(K966&gt;650,"LOW",K966&gt;=550,"MEDIUM",K966&lt;550,"HIGH")</f>
        <v>MEDIUM</v>
      </c>
    </row>
    <row r="967" spans="3:28" x14ac:dyDescent="0.3">
      <c r="C967" s="35" t="s">
        <v>3256</v>
      </c>
      <c r="D967" s="1" t="s">
        <v>1279</v>
      </c>
      <c r="E967" s="1">
        <v>37</v>
      </c>
      <c r="F967" s="1" t="s">
        <v>26</v>
      </c>
      <c r="G967" s="1" t="s">
        <v>27</v>
      </c>
      <c r="H967" s="1" t="s">
        <v>54</v>
      </c>
      <c r="I967" s="1" t="s">
        <v>59</v>
      </c>
      <c r="J967" s="7">
        <v>139774</v>
      </c>
      <c r="K967" s="1">
        <v>587</v>
      </c>
      <c r="L967" s="7">
        <v>35828</v>
      </c>
      <c r="M967" s="1">
        <v>60</v>
      </c>
      <c r="N967" s="6">
        <v>0.15820000000000001</v>
      </c>
      <c r="O967" s="1" t="s">
        <v>46</v>
      </c>
      <c r="P967" s="1" t="s">
        <v>30</v>
      </c>
      <c r="Q967" s="1">
        <v>2</v>
      </c>
      <c r="R967" s="1">
        <v>4</v>
      </c>
      <c r="S967" s="1" t="s">
        <v>33</v>
      </c>
      <c r="T967" s="1" t="s">
        <v>31</v>
      </c>
      <c r="U967" s="1">
        <v>3</v>
      </c>
      <c r="V967" s="1">
        <v>30518</v>
      </c>
      <c r="W967" s="7">
        <v>104.32</v>
      </c>
      <c r="X967" s="1">
        <v>0.23</v>
      </c>
      <c r="Y967" s="4">
        <v>45440</v>
      </c>
      <c r="Z967" s="1" t="s">
        <v>38</v>
      </c>
      <c r="AA967" s="1" t="s">
        <v>31</v>
      </c>
      <c r="AB967" s="36" t="str" cm="1">
        <f t="array" ref="AB967">_xlfn.IFS(K967&gt;650,"LOW",K967&gt;=550,"MEDIUM",K967&lt;550,"HIGH")</f>
        <v>MEDIUM</v>
      </c>
    </row>
    <row r="968" spans="3:28" x14ac:dyDescent="0.3">
      <c r="C968" s="35" t="s">
        <v>3365</v>
      </c>
      <c r="D968" s="1" t="s">
        <v>1387</v>
      </c>
      <c r="E968" s="1">
        <v>41</v>
      </c>
      <c r="F968" s="1" t="s">
        <v>44</v>
      </c>
      <c r="G968" s="1" t="s">
        <v>56</v>
      </c>
      <c r="H968" s="1" t="s">
        <v>36</v>
      </c>
      <c r="I968" s="1" t="s">
        <v>57</v>
      </c>
      <c r="J968" s="7">
        <v>24655</v>
      </c>
      <c r="K968" s="1">
        <v>587</v>
      </c>
      <c r="L968" s="7">
        <v>22946</v>
      </c>
      <c r="M968" s="1">
        <v>12</v>
      </c>
      <c r="N968" s="6">
        <v>9.9100000000000008E-2</v>
      </c>
      <c r="O968" s="1" t="s">
        <v>37</v>
      </c>
      <c r="P968" s="1" t="s">
        <v>50</v>
      </c>
      <c r="Q968" s="1">
        <v>17</v>
      </c>
      <c r="R968" s="1">
        <v>2</v>
      </c>
      <c r="S968" s="1" t="s">
        <v>31</v>
      </c>
      <c r="T968" s="1" t="s">
        <v>31</v>
      </c>
      <c r="U968" s="1">
        <v>3</v>
      </c>
      <c r="V968" s="1">
        <v>41005</v>
      </c>
      <c r="W968" s="7">
        <v>592.04999999999995</v>
      </c>
      <c r="X968" s="1">
        <v>0.56000000000000005</v>
      </c>
      <c r="Y968" s="4">
        <v>44024</v>
      </c>
      <c r="Z968" s="1" t="s">
        <v>32</v>
      </c>
      <c r="AA968" s="1" t="s">
        <v>33</v>
      </c>
      <c r="AB968" s="36" t="str" cm="1">
        <f t="array" ref="AB968">_xlfn.IFS(K968&gt;650,"LOW",K968&gt;=550,"MEDIUM",K968&lt;550,"HIGH")</f>
        <v>MEDIUM</v>
      </c>
    </row>
    <row r="969" spans="3:28" x14ac:dyDescent="0.3">
      <c r="C969" s="35" t="s">
        <v>2172</v>
      </c>
      <c r="D969" s="1" t="s">
        <v>203</v>
      </c>
      <c r="E969" s="1">
        <v>27</v>
      </c>
      <c r="F969" s="1" t="s">
        <v>26</v>
      </c>
      <c r="G969" s="1" t="s">
        <v>27</v>
      </c>
      <c r="H969" s="1" t="s">
        <v>61</v>
      </c>
      <c r="I969" s="1" t="s">
        <v>57</v>
      </c>
      <c r="J969" s="7">
        <v>85886</v>
      </c>
      <c r="K969" s="1">
        <v>586</v>
      </c>
      <c r="L969" s="7">
        <v>32110</v>
      </c>
      <c r="M969" s="1">
        <v>36</v>
      </c>
      <c r="N969" s="6">
        <v>0.10289999999999999</v>
      </c>
      <c r="O969" s="1" t="s">
        <v>63</v>
      </c>
      <c r="P969" s="1" t="s">
        <v>30</v>
      </c>
      <c r="Q969" s="1">
        <v>12</v>
      </c>
      <c r="R969" s="1">
        <v>1</v>
      </c>
      <c r="S969" s="1" t="s">
        <v>33</v>
      </c>
      <c r="T969" s="1" t="s">
        <v>31</v>
      </c>
      <c r="U969" s="1">
        <v>4</v>
      </c>
      <c r="V969" s="1">
        <v>10248</v>
      </c>
      <c r="W969" s="7">
        <v>958.19</v>
      </c>
      <c r="X969" s="1">
        <v>0.4</v>
      </c>
      <c r="Y969" s="4">
        <v>44259</v>
      </c>
      <c r="Z969" s="1" t="s">
        <v>32</v>
      </c>
      <c r="AA969" s="1" t="s">
        <v>33</v>
      </c>
      <c r="AB969" s="36" t="str" cm="1">
        <f t="array" ref="AB969">_xlfn.IFS(K969&gt;650,"LOW",K969&gt;=550,"MEDIUM",K969&lt;550,"HIGH")</f>
        <v>MEDIUM</v>
      </c>
    </row>
    <row r="970" spans="3:28" x14ac:dyDescent="0.3">
      <c r="C970" s="35" t="s">
        <v>2301</v>
      </c>
      <c r="D970" s="1" t="s">
        <v>332</v>
      </c>
      <c r="E970" s="1">
        <v>38</v>
      </c>
      <c r="F970" s="1" t="s">
        <v>26</v>
      </c>
      <c r="G970" s="1" t="s">
        <v>35</v>
      </c>
      <c r="H970" s="1" t="s">
        <v>54</v>
      </c>
      <c r="I970" s="1" t="s">
        <v>29</v>
      </c>
      <c r="J970" s="7">
        <v>93927</v>
      </c>
      <c r="K970" s="1">
        <v>586</v>
      </c>
      <c r="L970" s="7">
        <v>42366</v>
      </c>
      <c r="M970" s="1">
        <v>36</v>
      </c>
      <c r="N970" s="6">
        <v>5.6500000000000002E-2</v>
      </c>
      <c r="O970" s="1" t="s">
        <v>37</v>
      </c>
      <c r="P970" s="1" t="s">
        <v>30</v>
      </c>
      <c r="Q970" s="1">
        <v>7</v>
      </c>
      <c r="R970" s="1">
        <v>2</v>
      </c>
      <c r="S970" s="1" t="s">
        <v>33</v>
      </c>
      <c r="T970" s="1" t="s">
        <v>31</v>
      </c>
      <c r="U970" s="1">
        <v>1</v>
      </c>
      <c r="V970" s="1">
        <v>128667</v>
      </c>
      <c r="W970" s="7">
        <v>1047.8800000000001</v>
      </c>
      <c r="X970" s="1">
        <v>0.34</v>
      </c>
      <c r="Y970" s="4">
        <v>44075</v>
      </c>
      <c r="Z970" s="1" t="s">
        <v>32</v>
      </c>
      <c r="AA970" s="1" t="s">
        <v>31</v>
      </c>
      <c r="AB970" s="36" t="str" cm="1">
        <f t="array" ref="AB970">_xlfn.IFS(K970&gt;650,"LOW",K970&gt;=550,"MEDIUM",K970&lt;550,"HIGH")</f>
        <v>MEDIUM</v>
      </c>
    </row>
    <row r="971" spans="3:28" x14ac:dyDescent="0.3">
      <c r="C971" s="35" t="s">
        <v>2786</v>
      </c>
      <c r="D971" s="1" t="s">
        <v>814</v>
      </c>
      <c r="E971" s="1">
        <v>25</v>
      </c>
      <c r="F971" s="1" t="s">
        <v>26</v>
      </c>
      <c r="G971" s="1" t="s">
        <v>27</v>
      </c>
      <c r="H971" s="1" t="s">
        <v>36</v>
      </c>
      <c r="I971" s="1" t="s">
        <v>29</v>
      </c>
      <c r="J971" s="7">
        <v>44530</v>
      </c>
      <c r="K971" s="1">
        <v>586</v>
      </c>
      <c r="L971" s="7">
        <v>11679</v>
      </c>
      <c r="M971" s="1">
        <v>60</v>
      </c>
      <c r="N971" s="6">
        <v>0.1535</v>
      </c>
      <c r="O971" s="1" t="s">
        <v>52</v>
      </c>
      <c r="P971" s="1" t="s">
        <v>47</v>
      </c>
      <c r="Q971" s="1">
        <v>20</v>
      </c>
      <c r="R971" s="1">
        <v>3</v>
      </c>
      <c r="S971" s="1" t="s">
        <v>33</v>
      </c>
      <c r="T971" s="1" t="s">
        <v>31</v>
      </c>
      <c r="U971" s="1">
        <v>3</v>
      </c>
      <c r="V971" s="1">
        <v>4312</v>
      </c>
      <c r="W971" s="7">
        <v>900.35</v>
      </c>
      <c r="X971" s="1">
        <v>0.23</v>
      </c>
      <c r="Y971" s="4">
        <v>44219</v>
      </c>
      <c r="Z971" s="1" t="s">
        <v>38</v>
      </c>
      <c r="AA971" s="1" t="s">
        <v>33</v>
      </c>
      <c r="AB971" s="36" t="str" cm="1">
        <f t="array" ref="AB971">_xlfn.IFS(K971&gt;650,"LOW",K971&gt;=550,"MEDIUM",K971&lt;550,"HIGH")</f>
        <v>MEDIUM</v>
      </c>
    </row>
    <row r="972" spans="3:28" x14ac:dyDescent="0.3">
      <c r="C972" s="35" t="s">
        <v>2205</v>
      </c>
      <c r="D972" s="1" t="s">
        <v>236</v>
      </c>
      <c r="E972" s="1">
        <v>52</v>
      </c>
      <c r="F972" s="1" t="s">
        <v>26</v>
      </c>
      <c r="G972" s="1" t="s">
        <v>45</v>
      </c>
      <c r="H972" s="1" t="s">
        <v>61</v>
      </c>
      <c r="I972" s="1" t="s">
        <v>40</v>
      </c>
      <c r="J972" s="7">
        <v>82574</v>
      </c>
      <c r="K972" s="1">
        <v>585</v>
      </c>
      <c r="L972" s="7">
        <v>31898</v>
      </c>
      <c r="M972" s="1">
        <v>24</v>
      </c>
      <c r="N972" s="6">
        <v>0.1832</v>
      </c>
      <c r="O972" s="1" t="s">
        <v>63</v>
      </c>
      <c r="P972" s="1" t="s">
        <v>30</v>
      </c>
      <c r="Q972" s="1">
        <v>12</v>
      </c>
      <c r="R972" s="1">
        <v>2</v>
      </c>
      <c r="S972" s="1" t="s">
        <v>33</v>
      </c>
      <c r="T972" s="1" t="s">
        <v>33</v>
      </c>
      <c r="U972" s="1">
        <v>2</v>
      </c>
      <c r="V972" s="1">
        <v>163688</v>
      </c>
      <c r="W972" s="7">
        <v>450.53</v>
      </c>
      <c r="X972" s="1">
        <v>0.1</v>
      </c>
      <c r="Y972" s="4">
        <v>44784</v>
      </c>
      <c r="Z972" s="1" t="s">
        <v>32</v>
      </c>
      <c r="AA972" s="1" t="s">
        <v>33</v>
      </c>
      <c r="AB972" s="36" t="str" cm="1">
        <f t="array" ref="AB972">_xlfn.IFS(K972&gt;650,"LOW",K972&gt;=550,"MEDIUM",K972&lt;550,"HIGH")</f>
        <v>MEDIUM</v>
      </c>
    </row>
    <row r="973" spans="3:28" x14ac:dyDescent="0.3">
      <c r="C973" s="35" t="s">
        <v>3067</v>
      </c>
      <c r="D973" s="1" t="s">
        <v>1093</v>
      </c>
      <c r="E973" s="1">
        <v>25</v>
      </c>
      <c r="F973" s="1" t="s">
        <v>44</v>
      </c>
      <c r="G973" s="1" t="s">
        <v>45</v>
      </c>
      <c r="H973" s="1" t="s">
        <v>61</v>
      </c>
      <c r="I973" s="1" t="s">
        <v>29</v>
      </c>
      <c r="J973" s="7">
        <v>22017</v>
      </c>
      <c r="K973" s="1">
        <v>585</v>
      </c>
      <c r="L973" s="7">
        <v>6212</v>
      </c>
      <c r="M973" s="1">
        <v>60</v>
      </c>
      <c r="N973" s="6">
        <v>7.8299999999999995E-2</v>
      </c>
      <c r="O973" s="1" t="s">
        <v>37</v>
      </c>
      <c r="P973" s="1" t="s">
        <v>47</v>
      </c>
      <c r="Q973" s="1">
        <v>2</v>
      </c>
      <c r="R973" s="1">
        <v>0</v>
      </c>
      <c r="S973" s="1" t="s">
        <v>31</v>
      </c>
      <c r="T973" s="1" t="s">
        <v>33</v>
      </c>
      <c r="U973" s="1">
        <v>1</v>
      </c>
      <c r="V973" s="1">
        <v>160747</v>
      </c>
      <c r="W973" s="7">
        <v>1918.33</v>
      </c>
      <c r="X973" s="1">
        <v>0.86</v>
      </c>
      <c r="Y973" s="4">
        <v>45665</v>
      </c>
      <c r="Z973" s="1" t="s">
        <v>38</v>
      </c>
      <c r="AA973" s="1" t="s">
        <v>33</v>
      </c>
      <c r="AB973" s="36" t="str" cm="1">
        <f t="array" ref="AB973">_xlfn.IFS(K973&gt;650,"LOW",K973&gt;=550,"MEDIUM",K973&lt;550,"HIGH")</f>
        <v>MEDIUM</v>
      </c>
    </row>
    <row r="974" spans="3:28" x14ac:dyDescent="0.3">
      <c r="C974" s="35" t="s">
        <v>2225</v>
      </c>
      <c r="D974" s="1" t="s">
        <v>256</v>
      </c>
      <c r="E974" s="1">
        <v>64</v>
      </c>
      <c r="F974" s="1" t="s">
        <v>26</v>
      </c>
      <c r="G974" s="1" t="s">
        <v>56</v>
      </c>
      <c r="H974" s="1" t="s">
        <v>54</v>
      </c>
      <c r="I974" s="1" t="s">
        <v>59</v>
      </c>
      <c r="J974" s="7">
        <v>147101</v>
      </c>
      <c r="K974" s="1">
        <v>584</v>
      </c>
      <c r="L974" s="7">
        <v>30069</v>
      </c>
      <c r="M974" s="1">
        <v>24</v>
      </c>
      <c r="N974" s="6">
        <v>0.1288</v>
      </c>
      <c r="O974" s="1" t="s">
        <v>37</v>
      </c>
      <c r="P974" s="1" t="s">
        <v>30</v>
      </c>
      <c r="Q974" s="1">
        <v>11</v>
      </c>
      <c r="R974" s="1">
        <v>4</v>
      </c>
      <c r="S974" s="1" t="s">
        <v>31</v>
      </c>
      <c r="T974" s="1" t="s">
        <v>31</v>
      </c>
      <c r="U974" s="1">
        <v>1</v>
      </c>
      <c r="V974" s="1">
        <v>73302</v>
      </c>
      <c r="W974" s="7">
        <v>407.56</v>
      </c>
      <c r="X974" s="1">
        <v>0.97</v>
      </c>
      <c r="Y974" s="4">
        <v>45762</v>
      </c>
      <c r="Z974" s="1" t="s">
        <v>38</v>
      </c>
      <c r="AA974" s="1" t="s">
        <v>31</v>
      </c>
      <c r="AB974" s="36" t="str" cm="1">
        <f t="array" ref="AB974">_xlfn.IFS(K974&gt;650,"LOW",K974&gt;=550,"MEDIUM",K974&lt;550,"HIGH")</f>
        <v>MEDIUM</v>
      </c>
    </row>
    <row r="975" spans="3:28" x14ac:dyDescent="0.3">
      <c r="C975" s="35" t="s">
        <v>2440</v>
      </c>
      <c r="D975" s="1" t="s">
        <v>470</v>
      </c>
      <c r="E975" s="1">
        <v>60</v>
      </c>
      <c r="F975" s="1" t="s">
        <v>44</v>
      </c>
      <c r="G975" s="1" t="s">
        <v>56</v>
      </c>
      <c r="H975" s="1" t="s">
        <v>36</v>
      </c>
      <c r="I975" s="1" t="s">
        <v>40</v>
      </c>
      <c r="J975" s="7">
        <v>133870</v>
      </c>
      <c r="K975" s="1">
        <v>584</v>
      </c>
      <c r="L975" s="7">
        <v>25908</v>
      </c>
      <c r="M975" s="1">
        <v>12</v>
      </c>
      <c r="N975" s="6">
        <v>0.18440000000000001</v>
      </c>
      <c r="O975" s="1" t="s">
        <v>63</v>
      </c>
      <c r="P975" s="1" t="s">
        <v>30</v>
      </c>
      <c r="Q975" s="1">
        <v>7</v>
      </c>
      <c r="R975" s="1">
        <v>1</v>
      </c>
      <c r="S975" s="1" t="s">
        <v>31</v>
      </c>
      <c r="T975" s="1" t="s">
        <v>31</v>
      </c>
      <c r="U975" s="1">
        <v>4</v>
      </c>
      <c r="V975" s="1">
        <v>196201</v>
      </c>
      <c r="W975" s="7">
        <v>822.82</v>
      </c>
      <c r="X975" s="1">
        <v>0.38</v>
      </c>
      <c r="Y975" s="4">
        <v>44999</v>
      </c>
      <c r="Z975" s="1" t="s">
        <v>32</v>
      </c>
      <c r="AA975" s="1" t="s">
        <v>33</v>
      </c>
      <c r="AB975" s="36" t="str" cm="1">
        <f t="array" ref="AB975">_xlfn.IFS(K975&gt;650,"LOW",K975&gt;=550,"MEDIUM",K975&lt;550,"HIGH")</f>
        <v>MEDIUM</v>
      </c>
    </row>
    <row r="976" spans="3:28" x14ac:dyDescent="0.3">
      <c r="C976" s="35" t="s">
        <v>3011</v>
      </c>
      <c r="D976" s="1" t="s">
        <v>1038</v>
      </c>
      <c r="E976" s="1">
        <v>35</v>
      </c>
      <c r="F976" s="1" t="s">
        <v>26</v>
      </c>
      <c r="G976" s="1" t="s">
        <v>27</v>
      </c>
      <c r="H976" s="1" t="s">
        <v>54</v>
      </c>
      <c r="I976" s="1" t="s">
        <v>59</v>
      </c>
      <c r="J976" s="7">
        <v>80119</v>
      </c>
      <c r="K976" s="1">
        <v>584</v>
      </c>
      <c r="L976" s="7">
        <v>3460</v>
      </c>
      <c r="M976" s="1">
        <v>36</v>
      </c>
      <c r="N976" s="6">
        <v>0.19030000000000002</v>
      </c>
      <c r="O976" s="1" t="s">
        <v>5</v>
      </c>
      <c r="P976" s="1" t="s">
        <v>50</v>
      </c>
      <c r="Q976" s="1">
        <v>8</v>
      </c>
      <c r="R976" s="1">
        <v>4</v>
      </c>
      <c r="S976" s="1" t="s">
        <v>31</v>
      </c>
      <c r="T976" s="1" t="s">
        <v>31</v>
      </c>
      <c r="U976" s="1">
        <v>3</v>
      </c>
      <c r="V976" s="1">
        <v>126832</v>
      </c>
      <c r="W976" s="7">
        <v>1994.12</v>
      </c>
      <c r="X976" s="1">
        <v>0.2</v>
      </c>
      <c r="Y976" s="4">
        <v>44539</v>
      </c>
      <c r="Z976" s="1" t="s">
        <v>32</v>
      </c>
      <c r="AA976" s="1" t="s">
        <v>33</v>
      </c>
      <c r="AB976" s="36" t="str" cm="1">
        <f t="array" ref="AB976">_xlfn.IFS(K976&gt;650,"LOW",K976&gt;=550,"MEDIUM",K976&lt;550,"HIGH")</f>
        <v>MEDIUM</v>
      </c>
    </row>
    <row r="977" spans="3:28" x14ac:dyDescent="0.3">
      <c r="C977" s="35" t="s">
        <v>3500</v>
      </c>
      <c r="D977" s="1" t="s">
        <v>1517</v>
      </c>
      <c r="E977" s="1">
        <v>38</v>
      </c>
      <c r="F977" s="1" t="s">
        <v>44</v>
      </c>
      <c r="G977" s="1" t="s">
        <v>45</v>
      </c>
      <c r="H977" s="1" t="s">
        <v>28</v>
      </c>
      <c r="I977" s="1" t="s">
        <v>57</v>
      </c>
      <c r="J977" s="7">
        <v>25609</v>
      </c>
      <c r="K977" s="1">
        <v>583</v>
      </c>
      <c r="L977" s="7">
        <v>38634</v>
      </c>
      <c r="M977" s="1">
        <v>48</v>
      </c>
      <c r="N977" s="6">
        <v>7.0999999999999994E-2</v>
      </c>
      <c r="O977" s="1" t="s">
        <v>41</v>
      </c>
      <c r="P977" s="1" t="s">
        <v>47</v>
      </c>
      <c r="Q977" s="1">
        <v>15</v>
      </c>
      <c r="R977" s="1">
        <v>1</v>
      </c>
      <c r="S977" s="1" t="s">
        <v>31</v>
      </c>
      <c r="T977" s="1" t="s">
        <v>31</v>
      </c>
      <c r="U977" s="1">
        <v>3</v>
      </c>
      <c r="V977" s="1">
        <v>153960</v>
      </c>
      <c r="W977" s="7">
        <v>430.22</v>
      </c>
      <c r="X977" s="1">
        <v>0.76</v>
      </c>
      <c r="Y977" s="4">
        <v>45561</v>
      </c>
      <c r="Z977" s="1" t="s">
        <v>38</v>
      </c>
      <c r="AA977" s="1" t="s">
        <v>33</v>
      </c>
      <c r="AB977" s="36" t="str" cm="1">
        <f t="array" ref="AB977">_xlfn.IFS(K977&gt;650,"LOW",K977&gt;=550,"MEDIUM",K977&lt;550,"HIGH")</f>
        <v>MEDIUM</v>
      </c>
    </row>
    <row r="978" spans="3:28" x14ac:dyDescent="0.3">
      <c r="C978" s="35" t="s">
        <v>2635</v>
      </c>
      <c r="D978" s="1" t="s">
        <v>665</v>
      </c>
      <c r="E978" s="1">
        <v>45</v>
      </c>
      <c r="F978" s="1" t="s">
        <v>26</v>
      </c>
      <c r="G978" s="1" t="s">
        <v>27</v>
      </c>
      <c r="H978" s="1" t="s">
        <v>36</v>
      </c>
      <c r="I978" s="1" t="s">
        <v>29</v>
      </c>
      <c r="J978" s="7">
        <v>43525</v>
      </c>
      <c r="K978" s="1">
        <v>582</v>
      </c>
      <c r="L978" s="7">
        <v>22071</v>
      </c>
      <c r="M978" s="1">
        <v>60</v>
      </c>
      <c r="N978" s="6">
        <v>6.0599999999999994E-2</v>
      </c>
      <c r="O978" s="1" t="s">
        <v>37</v>
      </c>
      <c r="P978" s="1" t="s">
        <v>50</v>
      </c>
      <c r="Q978" s="1">
        <v>6</v>
      </c>
      <c r="R978" s="1">
        <v>4</v>
      </c>
      <c r="S978" s="1" t="s">
        <v>33</v>
      </c>
      <c r="T978" s="1" t="s">
        <v>33</v>
      </c>
      <c r="U978" s="1">
        <v>3</v>
      </c>
      <c r="V978" s="1">
        <v>26477</v>
      </c>
      <c r="W978" s="7">
        <v>869.37</v>
      </c>
      <c r="X978" s="1">
        <v>0.2</v>
      </c>
      <c r="Y978" s="4">
        <v>45407</v>
      </c>
      <c r="Z978" s="1" t="s">
        <v>38</v>
      </c>
      <c r="AA978" s="1" t="s">
        <v>33</v>
      </c>
      <c r="AB978" s="36" t="str" cm="1">
        <f t="array" ref="AB978">_xlfn.IFS(K978&gt;650,"LOW",K978&gt;=550,"MEDIUM",K978&lt;550,"HIGH")</f>
        <v>MEDIUM</v>
      </c>
    </row>
    <row r="979" spans="3:28" x14ac:dyDescent="0.3">
      <c r="C979" s="35" t="s">
        <v>2824</v>
      </c>
      <c r="D979" s="1" t="s">
        <v>852</v>
      </c>
      <c r="E979" s="1">
        <v>54</v>
      </c>
      <c r="F979" s="1" t="s">
        <v>26</v>
      </c>
      <c r="G979" s="1" t="s">
        <v>56</v>
      </c>
      <c r="H979" s="1" t="s">
        <v>61</v>
      </c>
      <c r="I979" s="1" t="s">
        <v>59</v>
      </c>
      <c r="J979" s="7">
        <v>105657</v>
      </c>
      <c r="K979" s="1">
        <v>581</v>
      </c>
      <c r="L979" s="7">
        <v>36051</v>
      </c>
      <c r="M979" s="1">
        <v>24</v>
      </c>
      <c r="N979" s="6">
        <v>0.17309999999999998</v>
      </c>
      <c r="O979" s="1" t="s">
        <v>52</v>
      </c>
      <c r="P979" s="1" t="s">
        <v>30</v>
      </c>
      <c r="Q979" s="1">
        <v>7</v>
      </c>
      <c r="R979" s="1">
        <v>3</v>
      </c>
      <c r="S979" s="1" t="s">
        <v>31</v>
      </c>
      <c r="T979" s="1" t="s">
        <v>33</v>
      </c>
      <c r="U979" s="1">
        <v>4</v>
      </c>
      <c r="V979" s="1">
        <v>175380</v>
      </c>
      <c r="W979" s="7">
        <v>1328.51</v>
      </c>
      <c r="X979" s="1">
        <v>0.93</v>
      </c>
      <c r="Y979" s="4">
        <v>44574</v>
      </c>
      <c r="Z979" s="1" t="s">
        <v>38</v>
      </c>
      <c r="AA979" s="1" t="s">
        <v>33</v>
      </c>
      <c r="AB979" s="36" t="str" cm="1">
        <f t="array" ref="AB979">_xlfn.IFS(K979&gt;650,"LOW",K979&gt;=550,"MEDIUM",K979&lt;550,"HIGH")</f>
        <v>MEDIUM</v>
      </c>
    </row>
    <row r="980" spans="3:28" x14ac:dyDescent="0.3">
      <c r="C980" s="35" t="s">
        <v>3027</v>
      </c>
      <c r="D980" s="1" t="s">
        <v>1054</v>
      </c>
      <c r="E980" s="1">
        <v>35</v>
      </c>
      <c r="F980" s="1" t="s">
        <v>44</v>
      </c>
      <c r="G980" s="1" t="s">
        <v>27</v>
      </c>
      <c r="H980" s="1" t="s">
        <v>36</v>
      </c>
      <c r="I980" s="1" t="s">
        <v>40</v>
      </c>
      <c r="J980" s="7">
        <v>147514</v>
      </c>
      <c r="K980" s="1">
        <v>581</v>
      </c>
      <c r="L980" s="7">
        <v>42964</v>
      </c>
      <c r="M980" s="1">
        <v>48</v>
      </c>
      <c r="N980" s="6">
        <v>0.19409999999999999</v>
      </c>
      <c r="O980" s="1" t="s">
        <v>46</v>
      </c>
      <c r="P980" s="1" t="s">
        <v>30</v>
      </c>
      <c r="Q980" s="1">
        <v>10</v>
      </c>
      <c r="R980" s="1">
        <v>0</v>
      </c>
      <c r="S980" s="1" t="s">
        <v>31</v>
      </c>
      <c r="T980" s="1" t="s">
        <v>33</v>
      </c>
      <c r="U980" s="1">
        <v>3</v>
      </c>
      <c r="V980" s="1">
        <v>186629</v>
      </c>
      <c r="W980" s="7">
        <v>755.56</v>
      </c>
      <c r="X980" s="1">
        <v>0.83</v>
      </c>
      <c r="Y980" s="4">
        <v>44615</v>
      </c>
      <c r="Z980" s="1" t="s">
        <v>38</v>
      </c>
      <c r="AA980" s="1" t="s">
        <v>33</v>
      </c>
      <c r="AB980" s="36" t="str" cm="1">
        <f t="array" ref="AB980">_xlfn.IFS(K980&gt;650,"LOW",K980&gt;=550,"MEDIUM",K980&lt;550,"HIGH")</f>
        <v>MEDIUM</v>
      </c>
    </row>
    <row r="981" spans="3:28" x14ac:dyDescent="0.3">
      <c r="C981" s="35" t="s">
        <v>3797</v>
      </c>
      <c r="D981" s="1" t="s">
        <v>1803</v>
      </c>
      <c r="E981" s="1">
        <v>42</v>
      </c>
      <c r="F981" s="1" t="s">
        <v>26</v>
      </c>
      <c r="G981" s="1" t="s">
        <v>35</v>
      </c>
      <c r="H981" s="1" t="s">
        <v>61</v>
      </c>
      <c r="I981" s="1" t="s">
        <v>59</v>
      </c>
      <c r="J981" s="7">
        <v>87300</v>
      </c>
      <c r="K981" s="1">
        <v>581</v>
      </c>
      <c r="L981" s="7">
        <v>38710</v>
      </c>
      <c r="M981" s="1">
        <v>48</v>
      </c>
      <c r="N981" s="6">
        <v>9.4899999999999998E-2</v>
      </c>
      <c r="O981" s="1" t="s">
        <v>46</v>
      </c>
      <c r="P981" s="1" t="s">
        <v>47</v>
      </c>
      <c r="Q981" s="1">
        <v>9</v>
      </c>
      <c r="R981" s="1">
        <v>0</v>
      </c>
      <c r="S981" s="1" t="s">
        <v>33</v>
      </c>
      <c r="T981" s="1" t="s">
        <v>31</v>
      </c>
      <c r="U981" s="1">
        <v>4</v>
      </c>
      <c r="V981" s="1">
        <v>92902</v>
      </c>
      <c r="W981" s="7">
        <v>1109.69</v>
      </c>
      <c r="X981" s="1">
        <v>0.74</v>
      </c>
      <c r="Y981" s="4">
        <v>45801</v>
      </c>
      <c r="Z981" s="1" t="s">
        <v>38</v>
      </c>
      <c r="AA981" s="1" t="s">
        <v>33</v>
      </c>
      <c r="AB981" s="36" t="str" cm="1">
        <f t="array" ref="AB981">_xlfn.IFS(K981&gt;650,"LOW",K981&gt;=550,"MEDIUM",K981&lt;550,"HIGH")</f>
        <v>MEDIUM</v>
      </c>
    </row>
    <row r="982" spans="3:28" x14ac:dyDescent="0.3">
      <c r="C982" s="35" t="s">
        <v>3841</v>
      </c>
      <c r="D982" s="1" t="s">
        <v>1847</v>
      </c>
      <c r="E982" s="1">
        <v>64</v>
      </c>
      <c r="F982" s="1" t="s">
        <v>44</v>
      </c>
      <c r="G982" s="1" t="s">
        <v>35</v>
      </c>
      <c r="H982" s="1" t="s">
        <v>28</v>
      </c>
      <c r="I982" s="1" t="s">
        <v>29</v>
      </c>
      <c r="J982" s="7">
        <v>41360</v>
      </c>
      <c r="K982" s="1">
        <v>581</v>
      </c>
      <c r="L982" s="7">
        <v>14890</v>
      </c>
      <c r="M982" s="1">
        <v>36</v>
      </c>
      <c r="N982" s="6">
        <v>8.48E-2</v>
      </c>
      <c r="O982" s="1" t="s">
        <v>46</v>
      </c>
      <c r="P982" s="1" t="s">
        <v>47</v>
      </c>
      <c r="Q982" s="1">
        <v>20</v>
      </c>
      <c r="R982" s="1">
        <v>1</v>
      </c>
      <c r="S982" s="1" t="s">
        <v>33</v>
      </c>
      <c r="T982" s="1" t="s">
        <v>31</v>
      </c>
      <c r="U982" s="1">
        <v>1</v>
      </c>
      <c r="V982" s="1">
        <v>49408</v>
      </c>
      <c r="W982" s="7">
        <v>1454.85</v>
      </c>
      <c r="X982" s="1">
        <v>0.28999999999999998</v>
      </c>
      <c r="Y982" s="4">
        <v>44626</v>
      </c>
      <c r="Z982" s="1" t="s">
        <v>32</v>
      </c>
      <c r="AA982" s="1" t="s">
        <v>33</v>
      </c>
      <c r="AB982" s="36" t="str" cm="1">
        <f t="array" ref="AB982">_xlfn.IFS(K982&gt;650,"LOW",K982&gt;=550,"MEDIUM",K982&lt;550,"HIGH")</f>
        <v>MEDIUM</v>
      </c>
    </row>
    <row r="983" spans="3:28" x14ac:dyDescent="0.3">
      <c r="C983" s="35" t="s">
        <v>2295</v>
      </c>
      <c r="D983" s="1" t="s">
        <v>326</v>
      </c>
      <c r="E983" s="1">
        <v>40</v>
      </c>
      <c r="F983" s="1" t="s">
        <v>44</v>
      </c>
      <c r="G983" s="1" t="s">
        <v>56</v>
      </c>
      <c r="H983" s="1" t="s">
        <v>61</v>
      </c>
      <c r="I983" s="1" t="s">
        <v>29</v>
      </c>
      <c r="J983" s="7">
        <v>74880</v>
      </c>
      <c r="K983" s="1">
        <v>580</v>
      </c>
      <c r="L983" s="7">
        <v>20043</v>
      </c>
      <c r="M983" s="1">
        <v>60</v>
      </c>
      <c r="N983" s="6">
        <v>0.1721</v>
      </c>
      <c r="O983" s="1" t="s">
        <v>46</v>
      </c>
      <c r="P983" s="1" t="s">
        <v>47</v>
      </c>
      <c r="Q983" s="1">
        <v>28</v>
      </c>
      <c r="R983" s="1">
        <v>2</v>
      </c>
      <c r="S983" s="1" t="s">
        <v>31</v>
      </c>
      <c r="T983" s="1" t="s">
        <v>31</v>
      </c>
      <c r="U983" s="1">
        <v>4</v>
      </c>
      <c r="V983" s="1">
        <v>27151</v>
      </c>
      <c r="W983" s="7">
        <v>1934.39</v>
      </c>
      <c r="X983" s="1">
        <v>0.74</v>
      </c>
      <c r="Y983" s="4">
        <v>45367</v>
      </c>
      <c r="Z983" s="1" t="s">
        <v>32</v>
      </c>
      <c r="AA983" s="1" t="s">
        <v>33</v>
      </c>
      <c r="AB983" s="36" t="str" cm="1">
        <f t="array" ref="AB983">_xlfn.IFS(K983&gt;650,"LOW",K983&gt;=550,"MEDIUM",K983&lt;550,"HIGH")</f>
        <v>MEDIUM</v>
      </c>
    </row>
    <row r="984" spans="3:28" x14ac:dyDescent="0.3">
      <c r="C984" s="35" t="s">
        <v>2453</v>
      </c>
      <c r="D984" s="1" t="s">
        <v>483</v>
      </c>
      <c r="E984" s="1">
        <v>49</v>
      </c>
      <c r="F984" s="1" t="s">
        <v>26</v>
      </c>
      <c r="G984" s="1" t="s">
        <v>45</v>
      </c>
      <c r="H984" s="1" t="s">
        <v>36</v>
      </c>
      <c r="I984" s="1" t="s">
        <v>29</v>
      </c>
      <c r="J984" s="7">
        <v>84994</v>
      </c>
      <c r="K984" s="1">
        <v>580</v>
      </c>
      <c r="L984" s="7">
        <v>40713</v>
      </c>
      <c r="M984" s="1">
        <v>60</v>
      </c>
      <c r="N984" s="6">
        <v>0.1014</v>
      </c>
      <c r="O984" s="1" t="s">
        <v>41</v>
      </c>
      <c r="P984" s="1" t="s">
        <v>50</v>
      </c>
      <c r="Q984" s="1">
        <v>21</v>
      </c>
      <c r="R984" s="1">
        <v>0</v>
      </c>
      <c r="S984" s="1" t="s">
        <v>33</v>
      </c>
      <c r="T984" s="1" t="s">
        <v>31</v>
      </c>
      <c r="U984" s="1">
        <v>2</v>
      </c>
      <c r="V984" s="1">
        <v>54654</v>
      </c>
      <c r="W984" s="7">
        <v>1470.52</v>
      </c>
      <c r="X984" s="1">
        <v>0.61</v>
      </c>
      <c r="Y984" s="4">
        <v>44678</v>
      </c>
      <c r="Z984" s="1" t="s">
        <v>38</v>
      </c>
      <c r="AA984" s="1" t="s">
        <v>33</v>
      </c>
      <c r="AB984" s="36" t="str" cm="1">
        <f t="array" ref="AB984">_xlfn.IFS(K984&gt;650,"LOW",K984&gt;=550,"MEDIUM",K984&lt;550,"HIGH")</f>
        <v>MEDIUM</v>
      </c>
    </row>
    <row r="985" spans="3:28" x14ac:dyDescent="0.3">
      <c r="C985" s="35" t="s">
        <v>2609</v>
      </c>
      <c r="D985" s="1" t="s">
        <v>639</v>
      </c>
      <c r="E985" s="1">
        <v>27</v>
      </c>
      <c r="F985" s="1" t="s">
        <v>44</v>
      </c>
      <c r="G985" s="1" t="s">
        <v>45</v>
      </c>
      <c r="H985" s="1" t="s">
        <v>61</v>
      </c>
      <c r="I985" s="1" t="s">
        <v>59</v>
      </c>
      <c r="J985" s="7">
        <v>79473</v>
      </c>
      <c r="K985" s="1">
        <v>580</v>
      </c>
      <c r="L985" s="7">
        <v>27783</v>
      </c>
      <c r="M985" s="1">
        <v>48</v>
      </c>
      <c r="N985" s="6">
        <v>0.10589999999999999</v>
      </c>
      <c r="O985" s="1" t="s">
        <v>5</v>
      </c>
      <c r="P985" s="1" t="s">
        <v>30</v>
      </c>
      <c r="Q985" s="1">
        <v>19</v>
      </c>
      <c r="R985" s="1">
        <v>0</v>
      </c>
      <c r="S985" s="1" t="s">
        <v>33</v>
      </c>
      <c r="T985" s="1" t="s">
        <v>31</v>
      </c>
      <c r="U985" s="1">
        <v>1</v>
      </c>
      <c r="V985" s="1">
        <v>29655</v>
      </c>
      <c r="W985" s="7">
        <v>1785.87</v>
      </c>
      <c r="X985" s="1">
        <v>0.41</v>
      </c>
      <c r="Y985" s="4">
        <v>45794</v>
      </c>
      <c r="Z985" s="1" t="s">
        <v>32</v>
      </c>
      <c r="AA985" s="1" t="s">
        <v>33</v>
      </c>
      <c r="AB985" s="36" t="str" cm="1">
        <f t="array" ref="AB985">_xlfn.IFS(K985&gt;650,"LOW",K985&gt;=550,"MEDIUM",K985&lt;550,"HIGH")</f>
        <v>MEDIUM</v>
      </c>
    </row>
    <row r="986" spans="3:28" x14ac:dyDescent="0.3">
      <c r="C986" s="35" t="s">
        <v>3380</v>
      </c>
      <c r="D986" s="1" t="s">
        <v>1401</v>
      </c>
      <c r="E986" s="1">
        <v>52</v>
      </c>
      <c r="F986" s="1" t="s">
        <v>44</v>
      </c>
      <c r="G986" s="1" t="s">
        <v>45</v>
      </c>
      <c r="H986" s="1" t="s">
        <v>61</v>
      </c>
      <c r="I986" s="1" t="s">
        <v>29</v>
      </c>
      <c r="J986" s="7">
        <v>143400</v>
      </c>
      <c r="K986" s="1">
        <v>580</v>
      </c>
      <c r="L986" s="7">
        <v>14965</v>
      </c>
      <c r="M986" s="1">
        <v>24</v>
      </c>
      <c r="N986" s="6">
        <v>0.1051</v>
      </c>
      <c r="O986" s="1" t="s">
        <v>52</v>
      </c>
      <c r="P986" s="1" t="s">
        <v>30</v>
      </c>
      <c r="Q986" s="1">
        <v>2</v>
      </c>
      <c r="R986" s="1">
        <v>1</v>
      </c>
      <c r="S986" s="1" t="s">
        <v>33</v>
      </c>
      <c r="T986" s="1" t="s">
        <v>33</v>
      </c>
      <c r="U986" s="1">
        <v>0</v>
      </c>
      <c r="V986" s="1">
        <v>97196</v>
      </c>
      <c r="W986" s="7">
        <v>464.13</v>
      </c>
      <c r="X986" s="1">
        <v>0.96</v>
      </c>
      <c r="Y986" s="4">
        <v>45708</v>
      </c>
      <c r="Z986" s="1" t="s">
        <v>38</v>
      </c>
      <c r="AA986" s="1" t="s">
        <v>33</v>
      </c>
      <c r="AB986" s="36" t="str" cm="1">
        <f t="array" ref="AB986">_xlfn.IFS(K986&gt;650,"LOW",K986&gt;=550,"MEDIUM",K986&lt;550,"HIGH")</f>
        <v>MEDIUM</v>
      </c>
    </row>
    <row r="987" spans="3:28" x14ac:dyDescent="0.3">
      <c r="C987" s="35" t="s">
        <v>4011</v>
      </c>
      <c r="D987" s="1" t="s">
        <v>2011</v>
      </c>
      <c r="E987" s="1">
        <v>24</v>
      </c>
      <c r="F987" s="1" t="s">
        <v>26</v>
      </c>
      <c r="G987" s="1" t="s">
        <v>35</v>
      </c>
      <c r="H987" s="1" t="s">
        <v>61</v>
      </c>
      <c r="I987" s="1" t="s">
        <v>40</v>
      </c>
      <c r="J987" s="7">
        <v>22739</v>
      </c>
      <c r="K987" s="1">
        <v>580</v>
      </c>
      <c r="L987" s="7">
        <v>49844</v>
      </c>
      <c r="M987" s="1">
        <v>24</v>
      </c>
      <c r="N987" s="6">
        <v>8.4900000000000003E-2</v>
      </c>
      <c r="O987" s="1" t="s">
        <v>52</v>
      </c>
      <c r="P987" s="1" t="s">
        <v>50</v>
      </c>
      <c r="Q987" s="1">
        <v>13</v>
      </c>
      <c r="R987" s="1">
        <v>0</v>
      </c>
      <c r="S987" s="1" t="s">
        <v>31</v>
      </c>
      <c r="T987" s="1" t="s">
        <v>31</v>
      </c>
      <c r="U987" s="1">
        <v>0</v>
      </c>
      <c r="V987" s="1">
        <v>89440</v>
      </c>
      <c r="W987" s="7">
        <v>1507.32</v>
      </c>
      <c r="X987" s="1">
        <v>0.82</v>
      </c>
      <c r="Y987" s="4">
        <v>45416</v>
      </c>
      <c r="Z987" s="1" t="s">
        <v>38</v>
      </c>
      <c r="AA987" s="1" t="s">
        <v>33</v>
      </c>
      <c r="AB987" s="36" t="str" cm="1">
        <f t="array" ref="AB987">_xlfn.IFS(K987&gt;650,"LOW",K987&gt;=550,"MEDIUM",K987&lt;550,"HIGH")</f>
        <v>MEDIUM</v>
      </c>
    </row>
    <row r="988" spans="3:28" x14ac:dyDescent="0.3">
      <c r="C988" s="35" t="s">
        <v>2749</v>
      </c>
      <c r="D988" s="1" t="s">
        <v>779</v>
      </c>
      <c r="E988" s="1">
        <v>25</v>
      </c>
      <c r="F988" s="1" t="s">
        <v>44</v>
      </c>
      <c r="G988" s="1" t="s">
        <v>56</v>
      </c>
      <c r="H988" s="1" t="s">
        <v>28</v>
      </c>
      <c r="I988" s="1" t="s">
        <v>57</v>
      </c>
      <c r="J988" s="7">
        <v>102410</v>
      </c>
      <c r="K988" s="1">
        <v>579</v>
      </c>
      <c r="L988" s="7">
        <v>44563</v>
      </c>
      <c r="M988" s="1">
        <v>12</v>
      </c>
      <c r="N988" s="6">
        <v>0.15609999999999999</v>
      </c>
      <c r="O988" s="1" t="s">
        <v>46</v>
      </c>
      <c r="P988" s="1" t="s">
        <v>30</v>
      </c>
      <c r="Q988" s="1">
        <v>20</v>
      </c>
      <c r="R988" s="1">
        <v>3</v>
      </c>
      <c r="S988" s="1" t="s">
        <v>31</v>
      </c>
      <c r="T988" s="1" t="s">
        <v>33</v>
      </c>
      <c r="U988" s="1">
        <v>0</v>
      </c>
      <c r="V988" s="1">
        <v>129196</v>
      </c>
      <c r="W988" s="7">
        <v>759.39</v>
      </c>
      <c r="X988" s="1">
        <v>0.46</v>
      </c>
      <c r="Y988" s="4">
        <v>45540</v>
      </c>
      <c r="Z988" s="1" t="s">
        <v>38</v>
      </c>
      <c r="AA988" s="1" t="s">
        <v>33</v>
      </c>
      <c r="AB988" s="36" t="str" cm="1">
        <f t="array" ref="AB988">_xlfn.IFS(K988&gt;650,"LOW",K988&gt;=550,"MEDIUM",K988&lt;550,"HIGH")</f>
        <v>MEDIUM</v>
      </c>
    </row>
    <row r="989" spans="3:28" x14ac:dyDescent="0.3">
      <c r="C989" s="35" t="s">
        <v>3547</v>
      </c>
      <c r="D989" s="1" t="s">
        <v>1564</v>
      </c>
      <c r="E989" s="1">
        <v>52</v>
      </c>
      <c r="F989" s="1" t="s">
        <v>26</v>
      </c>
      <c r="G989" s="1" t="s">
        <v>56</v>
      </c>
      <c r="H989" s="1" t="s">
        <v>61</v>
      </c>
      <c r="I989" s="1" t="s">
        <v>29</v>
      </c>
      <c r="J989" s="7">
        <v>136854</v>
      </c>
      <c r="K989" s="1">
        <v>579</v>
      </c>
      <c r="L989" s="7">
        <v>3389</v>
      </c>
      <c r="M989" s="1">
        <v>12</v>
      </c>
      <c r="N989" s="6">
        <v>0.1361</v>
      </c>
      <c r="O989" s="1" t="s">
        <v>46</v>
      </c>
      <c r="P989" s="1" t="s">
        <v>47</v>
      </c>
      <c r="Q989" s="1">
        <v>16</v>
      </c>
      <c r="R989" s="1">
        <v>1</v>
      </c>
      <c r="S989" s="1" t="s">
        <v>31</v>
      </c>
      <c r="T989" s="1" t="s">
        <v>33</v>
      </c>
      <c r="U989" s="1">
        <v>3</v>
      </c>
      <c r="V989" s="1">
        <v>172195</v>
      </c>
      <c r="W989" s="7">
        <v>1860.1</v>
      </c>
      <c r="X989" s="1">
        <v>0.81</v>
      </c>
      <c r="Y989" s="4">
        <v>45071</v>
      </c>
      <c r="Z989" s="1" t="s">
        <v>32</v>
      </c>
      <c r="AA989" s="1" t="s">
        <v>33</v>
      </c>
      <c r="AB989" s="36" t="str" cm="1">
        <f t="array" ref="AB989">_xlfn.IFS(K989&gt;650,"LOW",K989&gt;=550,"MEDIUM",K989&lt;550,"HIGH")</f>
        <v>MEDIUM</v>
      </c>
    </row>
    <row r="990" spans="3:28" x14ac:dyDescent="0.3">
      <c r="C990" s="35" t="s">
        <v>3940</v>
      </c>
      <c r="D990" s="1" t="s">
        <v>1943</v>
      </c>
      <c r="E990" s="1">
        <v>25</v>
      </c>
      <c r="F990" s="1" t="s">
        <v>26</v>
      </c>
      <c r="G990" s="1" t="s">
        <v>45</v>
      </c>
      <c r="H990" s="1" t="s">
        <v>36</v>
      </c>
      <c r="I990" s="1" t="s">
        <v>59</v>
      </c>
      <c r="J990" s="7">
        <v>30481</v>
      </c>
      <c r="K990" s="1">
        <v>579</v>
      </c>
      <c r="L990" s="7">
        <v>8253</v>
      </c>
      <c r="M990" s="1">
        <v>12</v>
      </c>
      <c r="N990" s="6">
        <v>8.5199999999999998E-2</v>
      </c>
      <c r="O990" s="1" t="s">
        <v>63</v>
      </c>
      <c r="P990" s="1" t="s">
        <v>47</v>
      </c>
      <c r="Q990" s="1">
        <v>5</v>
      </c>
      <c r="R990" s="1">
        <v>2</v>
      </c>
      <c r="S990" s="1" t="s">
        <v>31</v>
      </c>
      <c r="T990" s="1" t="s">
        <v>31</v>
      </c>
      <c r="U990" s="1">
        <v>0</v>
      </c>
      <c r="V990" s="1">
        <v>159219</v>
      </c>
      <c r="W990" s="7">
        <v>1376.12</v>
      </c>
      <c r="X990" s="1">
        <v>0.55000000000000004</v>
      </c>
      <c r="Y990" s="4">
        <v>44380</v>
      </c>
      <c r="Z990" s="1" t="s">
        <v>38</v>
      </c>
      <c r="AA990" s="1" t="s">
        <v>31</v>
      </c>
      <c r="AB990" s="36" t="str" cm="1">
        <f t="array" ref="AB990">_xlfn.IFS(K990&gt;650,"LOW",K990&gt;=550,"MEDIUM",K990&lt;550,"HIGH")</f>
        <v>MEDIUM</v>
      </c>
    </row>
    <row r="991" spans="3:28" x14ac:dyDescent="0.3">
      <c r="C991" s="35" t="s">
        <v>4016</v>
      </c>
      <c r="D991" s="1" t="s">
        <v>2016</v>
      </c>
      <c r="E991" s="1">
        <v>38</v>
      </c>
      <c r="F991" s="1" t="s">
        <v>26</v>
      </c>
      <c r="G991" s="1" t="s">
        <v>56</v>
      </c>
      <c r="H991" s="1" t="s">
        <v>28</v>
      </c>
      <c r="I991" s="1" t="s">
        <v>29</v>
      </c>
      <c r="J991" s="7">
        <v>41168</v>
      </c>
      <c r="K991" s="1">
        <v>579</v>
      </c>
      <c r="L991" s="7">
        <v>6361</v>
      </c>
      <c r="M991" s="1">
        <v>12</v>
      </c>
      <c r="N991" s="6">
        <v>0.10039999999999999</v>
      </c>
      <c r="O991" s="1" t="s">
        <v>52</v>
      </c>
      <c r="P991" s="1" t="s">
        <v>47</v>
      </c>
      <c r="Q991" s="1">
        <v>19</v>
      </c>
      <c r="R991" s="1">
        <v>0</v>
      </c>
      <c r="S991" s="1" t="s">
        <v>33</v>
      </c>
      <c r="T991" s="1" t="s">
        <v>33</v>
      </c>
      <c r="U991" s="1">
        <v>0</v>
      </c>
      <c r="V991" s="1">
        <v>98550</v>
      </c>
      <c r="W991" s="7">
        <v>1899.09</v>
      </c>
      <c r="X991" s="1">
        <v>0.24</v>
      </c>
      <c r="Y991" s="4">
        <v>45109</v>
      </c>
      <c r="Z991" s="1" t="s">
        <v>38</v>
      </c>
      <c r="AA991" s="1" t="s">
        <v>33</v>
      </c>
      <c r="AB991" s="36" t="str" cm="1">
        <f t="array" ref="AB991">_xlfn.IFS(K991&gt;650,"LOW",K991&gt;=550,"MEDIUM",K991&lt;550,"HIGH")</f>
        <v>MEDIUM</v>
      </c>
    </row>
    <row r="992" spans="3:28" x14ac:dyDescent="0.3">
      <c r="C992" s="35" t="s">
        <v>2571</v>
      </c>
      <c r="D992" s="1" t="s">
        <v>601</v>
      </c>
      <c r="E992" s="1">
        <v>41</v>
      </c>
      <c r="F992" s="1" t="s">
        <v>26</v>
      </c>
      <c r="G992" s="1" t="s">
        <v>45</v>
      </c>
      <c r="H992" s="1" t="s">
        <v>28</v>
      </c>
      <c r="I992" s="1" t="s">
        <v>59</v>
      </c>
      <c r="J992" s="7">
        <v>69692</v>
      </c>
      <c r="K992" s="1">
        <v>578</v>
      </c>
      <c r="L992" s="7">
        <v>14546</v>
      </c>
      <c r="M992" s="1">
        <v>48</v>
      </c>
      <c r="N992" s="6">
        <v>0.1069</v>
      </c>
      <c r="O992" s="1" t="s">
        <v>41</v>
      </c>
      <c r="P992" s="1" t="s">
        <v>30</v>
      </c>
      <c r="Q992" s="1">
        <v>10</v>
      </c>
      <c r="R992" s="1">
        <v>1</v>
      </c>
      <c r="S992" s="1" t="s">
        <v>31</v>
      </c>
      <c r="T992" s="1" t="s">
        <v>31</v>
      </c>
      <c r="U992" s="1">
        <v>2</v>
      </c>
      <c r="V992" s="1">
        <v>75501</v>
      </c>
      <c r="W992" s="7">
        <v>1646.46</v>
      </c>
      <c r="X992" s="1">
        <v>0.77</v>
      </c>
      <c r="Y992" s="4">
        <v>44525</v>
      </c>
      <c r="Z992" s="1" t="s">
        <v>32</v>
      </c>
      <c r="AA992" s="1" t="s">
        <v>33</v>
      </c>
      <c r="AB992" s="36" t="str" cm="1">
        <f t="array" ref="AB992">_xlfn.IFS(K992&gt;650,"LOW",K992&gt;=550,"MEDIUM",K992&lt;550,"HIGH")</f>
        <v>MEDIUM</v>
      </c>
    </row>
    <row r="993" spans="3:28" x14ac:dyDescent="0.3">
      <c r="C993" s="35" t="s">
        <v>2614</v>
      </c>
      <c r="D993" s="1" t="s">
        <v>644</v>
      </c>
      <c r="E993" s="1">
        <v>51</v>
      </c>
      <c r="F993" s="1" t="s">
        <v>26</v>
      </c>
      <c r="G993" s="1" t="s">
        <v>45</v>
      </c>
      <c r="H993" s="1" t="s">
        <v>54</v>
      </c>
      <c r="I993" s="1" t="s">
        <v>59</v>
      </c>
      <c r="J993" s="7">
        <v>80646</v>
      </c>
      <c r="K993" s="1">
        <v>578</v>
      </c>
      <c r="L993" s="7">
        <v>7163</v>
      </c>
      <c r="M993" s="1">
        <v>24</v>
      </c>
      <c r="N993" s="6">
        <v>0.15429999999999999</v>
      </c>
      <c r="O993" s="1" t="s">
        <v>63</v>
      </c>
      <c r="P993" s="1" t="s">
        <v>30</v>
      </c>
      <c r="Q993" s="1">
        <v>24</v>
      </c>
      <c r="R993" s="1">
        <v>0</v>
      </c>
      <c r="S993" s="1" t="s">
        <v>33</v>
      </c>
      <c r="T993" s="1" t="s">
        <v>31</v>
      </c>
      <c r="U993" s="1">
        <v>1</v>
      </c>
      <c r="V993" s="1">
        <v>192803</v>
      </c>
      <c r="W993" s="7">
        <v>392.98</v>
      </c>
      <c r="X993" s="1">
        <v>0.78</v>
      </c>
      <c r="Y993" s="4">
        <v>45741</v>
      </c>
      <c r="Z993" s="1" t="s">
        <v>32</v>
      </c>
      <c r="AA993" s="1" t="s">
        <v>33</v>
      </c>
      <c r="AB993" s="36" t="str" cm="1">
        <f t="array" ref="AB993">_xlfn.IFS(K993&gt;650,"LOW",K993&gt;=550,"MEDIUM",K993&lt;550,"HIGH")</f>
        <v>MEDIUM</v>
      </c>
    </row>
    <row r="994" spans="3:28" x14ac:dyDescent="0.3">
      <c r="C994" s="35" t="s">
        <v>3309</v>
      </c>
      <c r="D994" s="1" t="s">
        <v>1332</v>
      </c>
      <c r="E994" s="1">
        <v>49</v>
      </c>
      <c r="F994" s="1" t="s">
        <v>26</v>
      </c>
      <c r="G994" s="1" t="s">
        <v>45</v>
      </c>
      <c r="H994" s="1" t="s">
        <v>54</v>
      </c>
      <c r="I994" s="1" t="s">
        <v>59</v>
      </c>
      <c r="J994" s="7">
        <v>128132</v>
      </c>
      <c r="K994" s="1">
        <v>578</v>
      </c>
      <c r="L994" s="7">
        <v>4420</v>
      </c>
      <c r="M994" s="1">
        <v>48</v>
      </c>
      <c r="N994" s="6">
        <v>0.107</v>
      </c>
      <c r="O994" s="1" t="s">
        <v>37</v>
      </c>
      <c r="P994" s="1" t="s">
        <v>50</v>
      </c>
      <c r="Q994" s="1">
        <v>14</v>
      </c>
      <c r="R994" s="1">
        <v>3</v>
      </c>
      <c r="S994" s="1" t="s">
        <v>31</v>
      </c>
      <c r="T994" s="1" t="s">
        <v>31</v>
      </c>
      <c r="U994" s="1">
        <v>4</v>
      </c>
      <c r="V994" s="1">
        <v>144941</v>
      </c>
      <c r="W994" s="7">
        <v>533.82000000000005</v>
      </c>
      <c r="X994" s="1">
        <v>0.4</v>
      </c>
      <c r="Y994" s="4">
        <v>44929</v>
      </c>
      <c r="Z994" s="1" t="s">
        <v>32</v>
      </c>
      <c r="AA994" s="1" t="s">
        <v>33</v>
      </c>
      <c r="AB994" s="36" t="str" cm="1">
        <f t="array" ref="AB994">_xlfn.IFS(K994&gt;650,"LOW",K994&gt;=550,"MEDIUM",K994&lt;550,"HIGH")</f>
        <v>MEDIUM</v>
      </c>
    </row>
    <row r="995" spans="3:28" x14ac:dyDescent="0.3">
      <c r="C995" s="35" t="s">
        <v>3620</v>
      </c>
      <c r="D995" s="1" t="s">
        <v>1633</v>
      </c>
      <c r="E995" s="1">
        <v>24</v>
      </c>
      <c r="F995" s="1" t="s">
        <v>44</v>
      </c>
      <c r="G995" s="1" t="s">
        <v>27</v>
      </c>
      <c r="H995" s="1" t="s">
        <v>36</v>
      </c>
      <c r="I995" s="1" t="s">
        <v>40</v>
      </c>
      <c r="J995" s="7">
        <v>35111</v>
      </c>
      <c r="K995" s="1">
        <v>578</v>
      </c>
      <c r="L995" s="7">
        <v>30894</v>
      </c>
      <c r="M995" s="1">
        <v>48</v>
      </c>
      <c r="N995" s="6">
        <v>0.17760000000000001</v>
      </c>
      <c r="O995" s="1" t="s">
        <v>52</v>
      </c>
      <c r="P995" s="1" t="s">
        <v>30</v>
      </c>
      <c r="Q995" s="1">
        <v>2</v>
      </c>
      <c r="R995" s="1">
        <v>3</v>
      </c>
      <c r="S995" s="1" t="s">
        <v>31</v>
      </c>
      <c r="T995" s="1" t="s">
        <v>33</v>
      </c>
      <c r="U995" s="1">
        <v>0</v>
      </c>
      <c r="V995" s="1">
        <v>189857</v>
      </c>
      <c r="W995" s="7">
        <v>1496.22</v>
      </c>
      <c r="X995" s="1">
        <v>0.22</v>
      </c>
      <c r="Y995" s="4">
        <v>44648</v>
      </c>
      <c r="Z995" s="1" t="s">
        <v>32</v>
      </c>
      <c r="AA995" s="1" t="s">
        <v>33</v>
      </c>
      <c r="AB995" s="36" t="str" cm="1">
        <f t="array" ref="AB995">_xlfn.IFS(K995&gt;650,"LOW",K995&gt;=550,"MEDIUM",K995&lt;550,"HIGH")</f>
        <v>MEDIUM</v>
      </c>
    </row>
    <row r="996" spans="3:28" x14ac:dyDescent="0.3">
      <c r="C996" s="35" t="s">
        <v>2366</v>
      </c>
      <c r="D996" s="1" t="s">
        <v>396</v>
      </c>
      <c r="E996" s="1">
        <v>43</v>
      </c>
      <c r="F996" s="1" t="s">
        <v>44</v>
      </c>
      <c r="G996" s="1" t="s">
        <v>35</v>
      </c>
      <c r="H996" s="1" t="s">
        <v>28</v>
      </c>
      <c r="I996" s="1" t="s">
        <v>29</v>
      </c>
      <c r="J996" s="7">
        <v>84360</v>
      </c>
      <c r="K996" s="1">
        <v>577</v>
      </c>
      <c r="L996" s="7">
        <v>22740</v>
      </c>
      <c r="M996" s="1">
        <v>60</v>
      </c>
      <c r="N996" s="6">
        <v>6.9500000000000006E-2</v>
      </c>
      <c r="O996" s="1" t="s">
        <v>41</v>
      </c>
      <c r="P996" s="1" t="s">
        <v>50</v>
      </c>
      <c r="Q996" s="1">
        <v>19</v>
      </c>
      <c r="R996" s="1">
        <v>3</v>
      </c>
      <c r="S996" s="1" t="s">
        <v>33</v>
      </c>
      <c r="T996" s="1" t="s">
        <v>31</v>
      </c>
      <c r="U996" s="1">
        <v>0</v>
      </c>
      <c r="V996" s="1">
        <v>146631</v>
      </c>
      <c r="W996" s="7">
        <v>125.39</v>
      </c>
      <c r="X996" s="1">
        <v>0.8</v>
      </c>
      <c r="Y996" s="4">
        <v>45210</v>
      </c>
      <c r="Z996" s="1" t="s">
        <v>38</v>
      </c>
      <c r="AA996" s="1" t="s">
        <v>33</v>
      </c>
      <c r="AB996" s="36" t="str" cm="1">
        <f t="array" ref="AB996">_xlfn.IFS(K996&gt;650,"LOW",K996&gt;=550,"MEDIUM",K996&lt;550,"HIGH")</f>
        <v>MEDIUM</v>
      </c>
    </row>
    <row r="997" spans="3:28" x14ac:dyDescent="0.3">
      <c r="C997" s="35" t="s">
        <v>2705</v>
      </c>
      <c r="D997" s="1" t="s">
        <v>735</v>
      </c>
      <c r="E997" s="1">
        <v>42</v>
      </c>
      <c r="F997" s="1" t="s">
        <v>44</v>
      </c>
      <c r="G997" s="1" t="s">
        <v>56</v>
      </c>
      <c r="H997" s="1" t="s">
        <v>28</v>
      </c>
      <c r="I997" s="1" t="s">
        <v>59</v>
      </c>
      <c r="J997" s="7">
        <v>78026</v>
      </c>
      <c r="K997" s="1">
        <v>577</v>
      </c>
      <c r="L997" s="7">
        <v>7189</v>
      </c>
      <c r="M997" s="1">
        <v>60</v>
      </c>
      <c r="N997" s="6">
        <v>0.14550000000000002</v>
      </c>
      <c r="O997" s="1" t="s">
        <v>41</v>
      </c>
      <c r="P997" s="1" t="s">
        <v>30</v>
      </c>
      <c r="Q997" s="1">
        <v>3</v>
      </c>
      <c r="R997" s="1">
        <v>4</v>
      </c>
      <c r="S997" s="1" t="s">
        <v>33</v>
      </c>
      <c r="T997" s="1" t="s">
        <v>33</v>
      </c>
      <c r="U997" s="1">
        <v>2</v>
      </c>
      <c r="V997" s="1">
        <v>110661</v>
      </c>
      <c r="W997" s="7">
        <v>1230.49</v>
      </c>
      <c r="X997" s="1">
        <v>0.33</v>
      </c>
      <c r="Y997" s="4">
        <v>44523</v>
      </c>
      <c r="Z997" s="1" t="s">
        <v>32</v>
      </c>
      <c r="AA997" s="1" t="s">
        <v>33</v>
      </c>
      <c r="AB997" s="36" t="str" cm="1">
        <f t="array" ref="AB997">_xlfn.IFS(K997&gt;650,"LOW",K997&gt;=550,"MEDIUM",K997&lt;550,"HIGH")</f>
        <v>MEDIUM</v>
      </c>
    </row>
    <row r="998" spans="3:28" x14ac:dyDescent="0.3">
      <c r="C998" s="35" t="s">
        <v>3164</v>
      </c>
      <c r="D998" s="1" t="s">
        <v>1188</v>
      </c>
      <c r="E998" s="1">
        <v>49</v>
      </c>
      <c r="F998" s="1" t="s">
        <v>26</v>
      </c>
      <c r="G998" s="1" t="s">
        <v>27</v>
      </c>
      <c r="H998" s="1" t="s">
        <v>61</v>
      </c>
      <c r="I998" s="1" t="s">
        <v>57</v>
      </c>
      <c r="J998" s="7">
        <v>93366</v>
      </c>
      <c r="K998" s="1">
        <v>577</v>
      </c>
      <c r="L998" s="7">
        <v>7336</v>
      </c>
      <c r="M998" s="1">
        <v>24</v>
      </c>
      <c r="N998" s="6">
        <v>9.8599999999999993E-2</v>
      </c>
      <c r="O998" s="1" t="s">
        <v>63</v>
      </c>
      <c r="P998" s="1" t="s">
        <v>47</v>
      </c>
      <c r="Q998" s="1">
        <v>2</v>
      </c>
      <c r="R998" s="1">
        <v>4</v>
      </c>
      <c r="S998" s="1" t="s">
        <v>33</v>
      </c>
      <c r="T998" s="1" t="s">
        <v>31</v>
      </c>
      <c r="U998" s="1">
        <v>0</v>
      </c>
      <c r="V998" s="1">
        <v>49158</v>
      </c>
      <c r="W998" s="7">
        <v>1182.74</v>
      </c>
      <c r="X998" s="1">
        <v>0.86</v>
      </c>
      <c r="Y998" s="4">
        <v>44847</v>
      </c>
      <c r="Z998" s="1" t="s">
        <v>38</v>
      </c>
      <c r="AA998" s="1" t="s">
        <v>33</v>
      </c>
      <c r="AB998" s="36" t="str" cm="1">
        <f t="array" ref="AB998">_xlfn.IFS(K998&gt;650,"LOW",K998&gt;=550,"MEDIUM",K998&lt;550,"HIGH")</f>
        <v>MEDIUM</v>
      </c>
    </row>
    <row r="999" spans="3:28" x14ac:dyDescent="0.3">
      <c r="C999" s="35" t="s">
        <v>3730</v>
      </c>
      <c r="D999" s="1" t="s">
        <v>1738</v>
      </c>
      <c r="E999" s="1">
        <v>51</v>
      </c>
      <c r="F999" s="1" t="s">
        <v>44</v>
      </c>
      <c r="G999" s="1" t="s">
        <v>35</v>
      </c>
      <c r="H999" s="1" t="s">
        <v>36</v>
      </c>
      <c r="I999" s="1" t="s">
        <v>29</v>
      </c>
      <c r="J999" s="7">
        <v>82147</v>
      </c>
      <c r="K999" s="1">
        <v>577</v>
      </c>
      <c r="L999" s="7">
        <v>28915</v>
      </c>
      <c r="M999" s="1">
        <v>60</v>
      </c>
      <c r="N999" s="6">
        <v>0.17149999999999999</v>
      </c>
      <c r="O999" s="1" t="s">
        <v>46</v>
      </c>
      <c r="P999" s="1" t="s">
        <v>30</v>
      </c>
      <c r="Q999" s="1">
        <v>4</v>
      </c>
      <c r="R999" s="1">
        <v>3</v>
      </c>
      <c r="S999" s="1" t="s">
        <v>31</v>
      </c>
      <c r="T999" s="1" t="s">
        <v>33</v>
      </c>
      <c r="U999" s="1">
        <v>2</v>
      </c>
      <c r="V999" s="1">
        <v>133212</v>
      </c>
      <c r="W999" s="7">
        <v>411.27</v>
      </c>
      <c r="X999" s="1">
        <v>0.16</v>
      </c>
      <c r="Y999" s="4">
        <v>44982</v>
      </c>
      <c r="Z999" s="1" t="s">
        <v>32</v>
      </c>
      <c r="AA999" s="1" t="s">
        <v>33</v>
      </c>
      <c r="AB999" s="36" t="str" cm="1">
        <f t="array" ref="AB999">_xlfn.IFS(K999&gt;650,"LOW",K999&gt;=550,"MEDIUM",K999&lt;550,"HIGH")</f>
        <v>MEDIUM</v>
      </c>
    </row>
    <row r="1000" spans="3:28" x14ac:dyDescent="0.3">
      <c r="C1000" s="35" t="s">
        <v>2321</v>
      </c>
      <c r="D1000" s="1" t="s">
        <v>352</v>
      </c>
      <c r="E1000" s="1">
        <v>42</v>
      </c>
      <c r="F1000" s="1" t="s">
        <v>26</v>
      </c>
      <c r="G1000" s="1" t="s">
        <v>35</v>
      </c>
      <c r="H1000" s="1" t="s">
        <v>54</v>
      </c>
      <c r="I1000" s="1" t="s">
        <v>29</v>
      </c>
      <c r="J1000" s="7">
        <v>45993</v>
      </c>
      <c r="K1000" s="1">
        <v>576</v>
      </c>
      <c r="L1000" s="7">
        <v>49542</v>
      </c>
      <c r="M1000" s="1">
        <v>60</v>
      </c>
      <c r="N1000" s="6">
        <v>0.17190000000000003</v>
      </c>
      <c r="O1000" s="1" t="s">
        <v>52</v>
      </c>
      <c r="P1000" s="1" t="s">
        <v>30</v>
      </c>
      <c r="Q1000" s="1">
        <v>29</v>
      </c>
      <c r="R1000" s="1">
        <v>1</v>
      </c>
      <c r="S1000" s="1" t="s">
        <v>33</v>
      </c>
      <c r="T1000" s="1" t="s">
        <v>33</v>
      </c>
      <c r="U1000" s="1">
        <v>2</v>
      </c>
      <c r="V1000" s="1">
        <v>139585</v>
      </c>
      <c r="W1000" s="7">
        <v>719.99</v>
      </c>
      <c r="X1000" s="1">
        <v>0.7</v>
      </c>
      <c r="Y1000" s="4">
        <v>44282</v>
      </c>
      <c r="Z1000" s="1" t="s">
        <v>32</v>
      </c>
      <c r="AA1000" s="1" t="s">
        <v>31</v>
      </c>
      <c r="AB1000" s="36" t="str" cm="1">
        <f t="array" ref="AB1000">_xlfn.IFS(K1000&gt;650,"LOW",K1000&gt;=550,"MEDIUM",K1000&lt;550,"HIGH")</f>
        <v>MEDIUM</v>
      </c>
    </row>
    <row r="1001" spans="3:28" x14ac:dyDescent="0.3">
      <c r="C1001" s="35" t="s">
        <v>3023</v>
      </c>
      <c r="D1001" s="1" t="s">
        <v>1050</v>
      </c>
      <c r="E1001" s="1">
        <v>23</v>
      </c>
      <c r="F1001" s="1" t="s">
        <v>44</v>
      </c>
      <c r="G1001" s="1" t="s">
        <v>56</v>
      </c>
      <c r="H1001" s="1" t="s">
        <v>61</v>
      </c>
      <c r="I1001" s="1" t="s">
        <v>29</v>
      </c>
      <c r="J1001" s="7">
        <v>136088</v>
      </c>
      <c r="K1001" s="1">
        <v>576</v>
      </c>
      <c r="L1001" s="7">
        <v>14142</v>
      </c>
      <c r="M1001" s="1">
        <v>48</v>
      </c>
      <c r="N1001" s="6">
        <v>0.1736</v>
      </c>
      <c r="O1001" s="1" t="s">
        <v>41</v>
      </c>
      <c r="P1001" s="1" t="s">
        <v>50</v>
      </c>
      <c r="Q1001" s="1">
        <v>25</v>
      </c>
      <c r="R1001" s="1">
        <v>1</v>
      </c>
      <c r="S1001" s="1" t="s">
        <v>31</v>
      </c>
      <c r="T1001" s="1" t="s">
        <v>33</v>
      </c>
      <c r="U1001" s="1">
        <v>1</v>
      </c>
      <c r="V1001" s="1">
        <v>142847</v>
      </c>
      <c r="W1001" s="7">
        <v>1795.72</v>
      </c>
      <c r="X1001" s="1">
        <v>0.8</v>
      </c>
      <c r="Y1001" s="4">
        <v>45574</v>
      </c>
      <c r="Z1001" s="1" t="s">
        <v>38</v>
      </c>
      <c r="AA1001" s="1" t="s">
        <v>33</v>
      </c>
      <c r="AB1001" s="36" t="str" cm="1">
        <f t="array" ref="AB1001">_xlfn.IFS(K1001&gt;650,"LOW",K1001&gt;=550,"MEDIUM",K1001&lt;550,"HIGH")</f>
        <v>MEDIUM</v>
      </c>
    </row>
    <row r="1002" spans="3:28" x14ac:dyDescent="0.3">
      <c r="C1002" s="35" t="s">
        <v>2385</v>
      </c>
      <c r="D1002" s="1" t="s">
        <v>415</v>
      </c>
      <c r="E1002" s="1">
        <v>27</v>
      </c>
      <c r="F1002" s="1" t="s">
        <v>44</v>
      </c>
      <c r="G1002" s="1" t="s">
        <v>45</v>
      </c>
      <c r="H1002" s="1" t="s">
        <v>36</v>
      </c>
      <c r="I1002" s="1" t="s">
        <v>40</v>
      </c>
      <c r="J1002" s="7">
        <v>110748</v>
      </c>
      <c r="K1002" s="1">
        <v>575</v>
      </c>
      <c r="L1002" s="7">
        <v>25673</v>
      </c>
      <c r="M1002" s="1">
        <v>36</v>
      </c>
      <c r="N1002" s="6">
        <v>0.183</v>
      </c>
      <c r="O1002" s="1" t="s">
        <v>41</v>
      </c>
      <c r="P1002" s="1" t="s">
        <v>50</v>
      </c>
      <c r="Q1002" s="1">
        <v>24</v>
      </c>
      <c r="R1002" s="1">
        <v>0</v>
      </c>
      <c r="S1002" s="1" t="s">
        <v>33</v>
      </c>
      <c r="T1002" s="1" t="s">
        <v>31</v>
      </c>
      <c r="U1002" s="1">
        <v>4</v>
      </c>
      <c r="V1002" s="1">
        <v>191524</v>
      </c>
      <c r="W1002" s="7">
        <v>1950.42</v>
      </c>
      <c r="X1002" s="1">
        <v>0.17</v>
      </c>
      <c r="Y1002" s="4">
        <v>45591</v>
      </c>
      <c r="Z1002" s="1" t="s">
        <v>32</v>
      </c>
      <c r="AA1002" s="1" t="s">
        <v>31</v>
      </c>
      <c r="AB1002" s="36" t="str" cm="1">
        <f t="array" ref="AB1002">_xlfn.IFS(K1002&gt;650,"LOW",K1002&gt;=550,"MEDIUM",K1002&lt;550,"HIGH")</f>
        <v>MEDIUM</v>
      </c>
    </row>
    <row r="1003" spans="3:28" x14ac:dyDescent="0.3">
      <c r="C1003" s="35" t="s">
        <v>2465</v>
      </c>
      <c r="D1003" s="1" t="s">
        <v>495</v>
      </c>
      <c r="E1003" s="1">
        <v>56</v>
      </c>
      <c r="F1003" s="1" t="s">
        <v>44</v>
      </c>
      <c r="G1003" s="1" t="s">
        <v>35</v>
      </c>
      <c r="H1003" s="1" t="s">
        <v>54</v>
      </c>
      <c r="I1003" s="1" t="s">
        <v>40</v>
      </c>
      <c r="J1003" s="7">
        <v>34650</v>
      </c>
      <c r="K1003" s="1">
        <v>575</v>
      </c>
      <c r="L1003" s="7">
        <v>49217</v>
      </c>
      <c r="M1003" s="1">
        <v>36</v>
      </c>
      <c r="N1003" s="6">
        <v>0.18160000000000001</v>
      </c>
      <c r="O1003" s="1" t="s">
        <v>63</v>
      </c>
      <c r="P1003" s="1" t="s">
        <v>30</v>
      </c>
      <c r="Q1003" s="1">
        <v>4</v>
      </c>
      <c r="R1003" s="1">
        <v>0</v>
      </c>
      <c r="S1003" s="1" t="s">
        <v>31</v>
      </c>
      <c r="T1003" s="1" t="s">
        <v>31</v>
      </c>
      <c r="U1003" s="1">
        <v>2</v>
      </c>
      <c r="V1003" s="1">
        <v>93220</v>
      </c>
      <c r="W1003" s="7">
        <v>1769.74</v>
      </c>
      <c r="X1003" s="1">
        <v>0.57999999999999996</v>
      </c>
      <c r="Y1003" s="4">
        <v>44203</v>
      </c>
      <c r="Z1003" s="1" t="s">
        <v>32</v>
      </c>
      <c r="AA1003" s="1" t="s">
        <v>31</v>
      </c>
      <c r="AB1003" s="36" t="str" cm="1">
        <f t="array" ref="AB1003">_xlfn.IFS(K1003&gt;650,"LOW",K1003&gt;=550,"MEDIUM",K1003&lt;550,"HIGH")</f>
        <v>MEDIUM</v>
      </c>
    </row>
    <row r="1004" spans="3:28" x14ac:dyDescent="0.3">
      <c r="C1004" s="35" t="s">
        <v>2674</v>
      </c>
      <c r="D1004" s="1" t="s">
        <v>704</v>
      </c>
      <c r="E1004" s="1">
        <v>48</v>
      </c>
      <c r="F1004" s="1" t="s">
        <v>26</v>
      </c>
      <c r="G1004" s="1" t="s">
        <v>56</v>
      </c>
      <c r="H1004" s="1" t="s">
        <v>36</v>
      </c>
      <c r="I1004" s="1" t="s">
        <v>40</v>
      </c>
      <c r="J1004" s="7">
        <v>41059</v>
      </c>
      <c r="K1004" s="1">
        <v>575</v>
      </c>
      <c r="L1004" s="7">
        <v>6622</v>
      </c>
      <c r="M1004" s="1">
        <v>12</v>
      </c>
      <c r="N1004" s="6">
        <v>0.16289999999999999</v>
      </c>
      <c r="O1004" s="1" t="s">
        <v>37</v>
      </c>
      <c r="P1004" s="1" t="s">
        <v>30</v>
      </c>
      <c r="Q1004" s="1">
        <v>10</v>
      </c>
      <c r="R1004" s="1">
        <v>3</v>
      </c>
      <c r="S1004" s="1" t="s">
        <v>31</v>
      </c>
      <c r="T1004" s="1" t="s">
        <v>33</v>
      </c>
      <c r="U1004" s="1">
        <v>4</v>
      </c>
      <c r="V1004" s="1">
        <v>110827</v>
      </c>
      <c r="W1004" s="7">
        <v>809.43</v>
      </c>
      <c r="X1004" s="1">
        <v>0.1</v>
      </c>
      <c r="Y1004" s="4">
        <v>45768</v>
      </c>
      <c r="Z1004" s="1" t="s">
        <v>38</v>
      </c>
      <c r="AA1004" s="1" t="s">
        <v>33</v>
      </c>
      <c r="AB1004" s="36" t="str" cm="1">
        <f t="array" ref="AB1004">_xlfn.IFS(K1004&gt;650,"LOW",K1004&gt;=550,"MEDIUM",K1004&lt;550,"HIGH")</f>
        <v>MEDIUM</v>
      </c>
    </row>
    <row r="1005" spans="3:28" x14ac:dyDescent="0.3">
      <c r="C1005" s="35" t="s">
        <v>3622</v>
      </c>
      <c r="D1005" s="1" t="s">
        <v>501</v>
      </c>
      <c r="E1005" s="1">
        <v>37</v>
      </c>
      <c r="F1005" s="1" t="s">
        <v>26</v>
      </c>
      <c r="G1005" s="1" t="s">
        <v>45</v>
      </c>
      <c r="H1005" s="1" t="s">
        <v>28</v>
      </c>
      <c r="I1005" s="1" t="s">
        <v>59</v>
      </c>
      <c r="J1005" s="7">
        <v>149321</v>
      </c>
      <c r="K1005" s="1">
        <v>575</v>
      </c>
      <c r="L1005" s="7">
        <v>36326</v>
      </c>
      <c r="M1005" s="1">
        <v>12</v>
      </c>
      <c r="N1005" s="6">
        <v>0.1033</v>
      </c>
      <c r="O1005" s="1" t="s">
        <v>46</v>
      </c>
      <c r="P1005" s="1" t="s">
        <v>30</v>
      </c>
      <c r="Q1005" s="1">
        <v>3</v>
      </c>
      <c r="R1005" s="1">
        <v>3</v>
      </c>
      <c r="S1005" s="1" t="s">
        <v>31</v>
      </c>
      <c r="T1005" s="1" t="s">
        <v>31</v>
      </c>
      <c r="U1005" s="1">
        <v>0</v>
      </c>
      <c r="V1005" s="1">
        <v>181765</v>
      </c>
      <c r="W1005" s="7">
        <v>1616.49</v>
      </c>
      <c r="X1005" s="1">
        <v>0.75</v>
      </c>
      <c r="Y1005" s="4">
        <v>45397</v>
      </c>
      <c r="Z1005" s="1" t="s">
        <v>38</v>
      </c>
      <c r="AA1005" s="1" t="s">
        <v>31</v>
      </c>
      <c r="AB1005" s="36" t="str" cm="1">
        <f t="array" ref="AB1005">_xlfn.IFS(K1005&gt;650,"LOW",K1005&gt;=550,"MEDIUM",K1005&lt;550,"HIGH")</f>
        <v>MEDIUM</v>
      </c>
    </row>
    <row r="1006" spans="3:28" x14ac:dyDescent="0.3">
      <c r="C1006" s="35" t="s">
        <v>2111</v>
      </c>
      <c r="D1006" s="1" t="s">
        <v>142</v>
      </c>
      <c r="E1006" s="1">
        <v>21</v>
      </c>
      <c r="F1006" s="1" t="s">
        <v>44</v>
      </c>
      <c r="G1006" s="1" t="s">
        <v>27</v>
      </c>
      <c r="H1006" s="1" t="s">
        <v>61</v>
      </c>
      <c r="I1006" s="1" t="s">
        <v>29</v>
      </c>
      <c r="J1006" s="7">
        <v>80390</v>
      </c>
      <c r="K1006" s="1">
        <v>574</v>
      </c>
      <c r="L1006" s="7">
        <v>32159</v>
      </c>
      <c r="M1006" s="1">
        <v>36</v>
      </c>
      <c r="N1006" s="6">
        <v>8.3400000000000002E-2</v>
      </c>
      <c r="O1006" s="1" t="s">
        <v>41</v>
      </c>
      <c r="P1006" s="1" t="s">
        <v>50</v>
      </c>
      <c r="Q1006" s="1">
        <v>13</v>
      </c>
      <c r="R1006" s="1">
        <v>2</v>
      </c>
      <c r="S1006" s="1" t="s">
        <v>33</v>
      </c>
      <c r="T1006" s="1" t="s">
        <v>33</v>
      </c>
      <c r="U1006" s="1">
        <v>2</v>
      </c>
      <c r="V1006" s="1">
        <v>199494</v>
      </c>
      <c r="W1006" s="7">
        <v>1662.02</v>
      </c>
      <c r="X1006" s="1">
        <v>0.31</v>
      </c>
      <c r="Y1006" s="4">
        <v>44027</v>
      </c>
      <c r="Z1006" s="1" t="s">
        <v>32</v>
      </c>
      <c r="AA1006" s="1" t="s">
        <v>33</v>
      </c>
      <c r="AB1006" s="36" t="str" cm="1">
        <f t="array" ref="AB1006">_xlfn.IFS(K1006&gt;650,"LOW",K1006&gt;=550,"MEDIUM",K1006&lt;550,"HIGH")</f>
        <v>MEDIUM</v>
      </c>
    </row>
    <row r="1007" spans="3:28" x14ac:dyDescent="0.3">
      <c r="C1007" s="35" t="s">
        <v>2397</v>
      </c>
      <c r="D1007" s="1" t="s">
        <v>427</v>
      </c>
      <c r="E1007" s="1">
        <v>22</v>
      </c>
      <c r="F1007" s="1" t="s">
        <v>26</v>
      </c>
      <c r="G1007" s="1" t="s">
        <v>35</v>
      </c>
      <c r="H1007" s="1" t="s">
        <v>54</v>
      </c>
      <c r="I1007" s="1" t="s">
        <v>59</v>
      </c>
      <c r="J1007" s="7">
        <v>119108</v>
      </c>
      <c r="K1007" s="1">
        <v>574</v>
      </c>
      <c r="L1007" s="7">
        <v>45651</v>
      </c>
      <c r="M1007" s="1">
        <v>24</v>
      </c>
      <c r="N1007" s="6">
        <v>6.1200000000000004E-2</v>
      </c>
      <c r="O1007" s="1" t="s">
        <v>63</v>
      </c>
      <c r="P1007" s="1" t="s">
        <v>50</v>
      </c>
      <c r="Q1007" s="1">
        <v>8</v>
      </c>
      <c r="R1007" s="1">
        <v>3</v>
      </c>
      <c r="S1007" s="1" t="s">
        <v>31</v>
      </c>
      <c r="T1007" s="1" t="s">
        <v>31</v>
      </c>
      <c r="U1007" s="1">
        <v>4</v>
      </c>
      <c r="V1007" s="1">
        <v>161255</v>
      </c>
      <c r="W1007" s="7">
        <v>706.22</v>
      </c>
      <c r="X1007" s="1">
        <v>0.98</v>
      </c>
      <c r="Y1007" s="4">
        <v>45739</v>
      </c>
      <c r="Z1007" s="1" t="s">
        <v>38</v>
      </c>
      <c r="AA1007" s="1" t="s">
        <v>33</v>
      </c>
      <c r="AB1007" s="36" t="str" cm="1">
        <f t="array" ref="AB1007">_xlfn.IFS(K1007&gt;650,"LOW",K1007&gt;=550,"MEDIUM",K1007&lt;550,"HIGH")</f>
        <v>MEDIUM</v>
      </c>
    </row>
    <row r="1008" spans="3:28" x14ac:dyDescent="0.3">
      <c r="C1008" s="35" t="s">
        <v>2484</v>
      </c>
      <c r="D1008" s="1" t="s">
        <v>514</v>
      </c>
      <c r="E1008" s="1">
        <v>22</v>
      </c>
      <c r="F1008" s="1" t="s">
        <v>26</v>
      </c>
      <c r="G1008" s="1" t="s">
        <v>45</v>
      </c>
      <c r="H1008" s="1" t="s">
        <v>54</v>
      </c>
      <c r="I1008" s="1" t="s">
        <v>40</v>
      </c>
      <c r="J1008" s="7">
        <v>85140</v>
      </c>
      <c r="K1008" s="1">
        <v>574</v>
      </c>
      <c r="L1008" s="7">
        <v>4809</v>
      </c>
      <c r="M1008" s="1">
        <v>12</v>
      </c>
      <c r="N1008" s="6">
        <v>0.19550000000000001</v>
      </c>
      <c r="O1008" s="1" t="s">
        <v>41</v>
      </c>
      <c r="P1008" s="1" t="s">
        <v>47</v>
      </c>
      <c r="Q1008" s="1">
        <v>4</v>
      </c>
      <c r="R1008" s="1">
        <v>3</v>
      </c>
      <c r="S1008" s="1" t="s">
        <v>31</v>
      </c>
      <c r="T1008" s="1" t="s">
        <v>31</v>
      </c>
      <c r="U1008" s="1">
        <v>2</v>
      </c>
      <c r="V1008" s="1">
        <v>76639</v>
      </c>
      <c r="W1008" s="7">
        <v>756.86</v>
      </c>
      <c r="X1008" s="1">
        <v>0.46</v>
      </c>
      <c r="Y1008" s="4">
        <v>45750</v>
      </c>
      <c r="Z1008" s="1" t="s">
        <v>32</v>
      </c>
      <c r="AA1008" s="1" t="s">
        <v>33</v>
      </c>
      <c r="AB1008" s="36" t="str" cm="1">
        <f t="array" ref="AB1008">_xlfn.IFS(K1008&gt;650,"LOW",K1008&gt;=550,"MEDIUM",K1008&lt;550,"HIGH")</f>
        <v>MEDIUM</v>
      </c>
    </row>
    <row r="1009" spans="3:28" x14ac:dyDescent="0.3">
      <c r="C1009" s="35" t="s">
        <v>2958</v>
      </c>
      <c r="D1009" s="1" t="s">
        <v>986</v>
      </c>
      <c r="E1009" s="1">
        <v>40</v>
      </c>
      <c r="F1009" s="1" t="s">
        <v>26</v>
      </c>
      <c r="G1009" s="1" t="s">
        <v>35</v>
      </c>
      <c r="H1009" s="1" t="s">
        <v>28</v>
      </c>
      <c r="I1009" s="1" t="s">
        <v>57</v>
      </c>
      <c r="J1009" s="7">
        <v>139289</v>
      </c>
      <c r="K1009" s="1">
        <v>574</v>
      </c>
      <c r="L1009" s="7">
        <v>11033</v>
      </c>
      <c r="M1009" s="1">
        <v>60</v>
      </c>
      <c r="N1009" s="6">
        <v>0.18280000000000002</v>
      </c>
      <c r="O1009" s="1" t="s">
        <v>41</v>
      </c>
      <c r="P1009" s="1" t="s">
        <v>30</v>
      </c>
      <c r="Q1009" s="1">
        <v>24</v>
      </c>
      <c r="R1009" s="1">
        <v>4</v>
      </c>
      <c r="S1009" s="1" t="s">
        <v>33</v>
      </c>
      <c r="T1009" s="1" t="s">
        <v>33</v>
      </c>
      <c r="U1009" s="1">
        <v>2</v>
      </c>
      <c r="V1009" s="1">
        <v>109015</v>
      </c>
      <c r="W1009" s="7">
        <v>1609.71</v>
      </c>
      <c r="X1009" s="1">
        <v>0.59</v>
      </c>
      <c r="Y1009" s="4">
        <v>45129</v>
      </c>
      <c r="Z1009" s="1" t="s">
        <v>38</v>
      </c>
      <c r="AA1009" s="1" t="s">
        <v>33</v>
      </c>
      <c r="AB1009" s="36" t="str" cm="1">
        <f t="array" ref="AB1009">_xlfn.IFS(K1009&gt;650,"LOW",K1009&gt;=550,"MEDIUM",K1009&lt;550,"HIGH")</f>
        <v>MEDIUM</v>
      </c>
    </row>
    <row r="1010" spans="3:28" x14ac:dyDescent="0.3">
      <c r="C1010" s="35" t="s">
        <v>3119</v>
      </c>
      <c r="D1010" s="1" t="s">
        <v>1144</v>
      </c>
      <c r="E1010" s="1">
        <v>61</v>
      </c>
      <c r="F1010" s="1" t="s">
        <v>26</v>
      </c>
      <c r="G1010" s="1" t="s">
        <v>56</v>
      </c>
      <c r="H1010" s="1" t="s">
        <v>61</v>
      </c>
      <c r="I1010" s="1" t="s">
        <v>40</v>
      </c>
      <c r="J1010" s="7">
        <v>67934</v>
      </c>
      <c r="K1010" s="1">
        <v>574</v>
      </c>
      <c r="L1010" s="7">
        <v>8292</v>
      </c>
      <c r="M1010" s="1">
        <v>36</v>
      </c>
      <c r="N1010" s="6">
        <v>5.2400000000000002E-2</v>
      </c>
      <c r="O1010" s="1" t="s">
        <v>52</v>
      </c>
      <c r="P1010" s="1" t="s">
        <v>50</v>
      </c>
      <c r="Q1010" s="1">
        <v>18</v>
      </c>
      <c r="R1010" s="1">
        <v>4</v>
      </c>
      <c r="S1010" s="1" t="s">
        <v>31</v>
      </c>
      <c r="T1010" s="1" t="s">
        <v>33</v>
      </c>
      <c r="U1010" s="1">
        <v>0</v>
      </c>
      <c r="V1010" s="1">
        <v>113246</v>
      </c>
      <c r="W1010" s="7">
        <v>1125.8499999999999</v>
      </c>
      <c r="X1010" s="1">
        <v>0.43</v>
      </c>
      <c r="Y1010" s="4">
        <v>44074</v>
      </c>
      <c r="Z1010" s="1" t="s">
        <v>38</v>
      </c>
      <c r="AA1010" s="1" t="s">
        <v>33</v>
      </c>
      <c r="AB1010" s="36" t="str" cm="1">
        <f t="array" ref="AB1010">_xlfn.IFS(K1010&gt;650,"LOW",K1010&gt;=550,"MEDIUM",K1010&lt;550,"HIGH")</f>
        <v>MEDIUM</v>
      </c>
    </row>
    <row r="1011" spans="3:28" x14ac:dyDescent="0.3">
      <c r="C1011" s="35" t="s">
        <v>2441</v>
      </c>
      <c r="D1011" s="1" t="s">
        <v>471</v>
      </c>
      <c r="E1011" s="1">
        <v>21</v>
      </c>
      <c r="F1011" s="1" t="s">
        <v>44</v>
      </c>
      <c r="G1011" s="1" t="s">
        <v>45</v>
      </c>
      <c r="H1011" s="1" t="s">
        <v>36</v>
      </c>
      <c r="I1011" s="1" t="s">
        <v>59</v>
      </c>
      <c r="J1011" s="7">
        <v>115119</v>
      </c>
      <c r="K1011" s="1">
        <v>573</v>
      </c>
      <c r="L1011" s="7">
        <v>6674</v>
      </c>
      <c r="M1011" s="1">
        <v>36</v>
      </c>
      <c r="N1011" s="6">
        <v>0.13669999999999999</v>
      </c>
      <c r="O1011" s="1" t="s">
        <v>52</v>
      </c>
      <c r="P1011" s="1" t="s">
        <v>50</v>
      </c>
      <c r="Q1011" s="1">
        <v>23</v>
      </c>
      <c r="R1011" s="1">
        <v>2</v>
      </c>
      <c r="S1011" s="1" t="s">
        <v>33</v>
      </c>
      <c r="T1011" s="1" t="s">
        <v>33</v>
      </c>
      <c r="U1011" s="1">
        <v>1</v>
      </c>
      <c r="V1011" s="1">
        <v>9431</v>
      </c>
      <c r="W1011" s="7">
        <v>644.66</v>
      </c>
      <c r="X1011" s="1">
        <v>0.97</v>
      </c>
      <c r="Y1011" s="4">
        <v>44773</v>
      </c>
      <c r="Z1011" s="1" t="s">
        <v>38</v>
      </c>
      <c r="AA1011" s="1" t="s">
        <v>33</v>
      </c>
      <c r="AB1011" s="36" t="str" cm="1">
        <f t="array" ref="AB1011">_xlfn.IFS(K1011&gt;650,"LOW",K1011&gt;=550,"MEDIUM",K1011&lt;550,"HIGH")</f>
        <v>MEDIUM</v>
      </c>
    </row>
    <row r="1012" spans="3:28" x14ac:dyDescent="0.3">
      <c r="C1012" s="35" t="s">
        <v>2807</v>
      </c>
      <c r="D1012" s="1" t="s">
        <v>835</v>
      </c>
      <c r="E1012" s="1">
        <v>47</v>
      </c>
      <c r="F1012" s="1" t="s">
        <v>26</v>
      </c>
      <c r="G1012" s="1" t="s">
        <v>27</v>
      </c>
      <c r="H1012" s="1" t="s">
        <v>54</v>
      </c>
      <c r="I1012" s="1" t="s">
        <v>29</v>
      </c>
      <c r="J1012" s="7">
        <v>55790</v>
      </c>
      <c r="K1012" s="1">
        <v>573</v>
      </c>
      <c r="L1012" s="7">
        <v>34529</v>
      </c>
      <c r="M1012" s="1">
        <v>24</v>
      </c>
      <c r="N1012" s="6">
        <v>6.13E-2</v>
      </c>
      <c r="O1012" s="1" t="s">
        <v>46</v>
      </c>
      <c r="P1012" s="1" t="s">
        <v>47</v>
      </c>
      <c r="Q1012" s="1">
        <v>7</v>
      </c>
      <c r="R1012" s="1">
        <v>1</v>
      </c>
      <c r="S1012" s="1" t="s">
        <v>33</v>
      </c>
      <c r="T1012" s="1" t="s">
        <v>31</v>
      </c>
      <c r="U1012" s="1">
        <v>4</v>
      </c>
      <c r="V1012" s="1">
        <v>29237</v>
      </c>
      <c r="W1012" s="7">
        <v>351.4</v>
      </c>
      <c r="X1012" s="1">
        <v>0.48</v>
      </c>
      <c r="Y1012" s="4">
        <v>44763</v>
      </c>
      <c r="Z1012" s="1" t="s">
        <v>32</v>
      </c>
      <c r="AA1012" s="1" t="s">
        <v>31</v>
      </c>
      <c r="AB1012" s="36" t="str" cm="1">
        <f t="array" ref="AB1012">_xlfn.IFS(K1012&gt;650,"LOW",K1012&gt;=550,"MEDIUM",K1012&lt;550,"HIGH")</f>
        <v>MEDIUM</v>
      </c>
    </row>
    <row r="1013" spans="3:28" x14ac:dyDescent="0.3">
      <c r="C1013" s="35" t="s">
        <v>3737</v>
      </c>
      <c r="D1013" s="1" t="s">
        <v>1745</v>
      </c>
      <c r="E1013" s="1">
        <v>61</v>
      </c>
      <c r="F1013" s="1" t="s">
        <v>26</v>
      </c>
      <c r="G1013" s="1" t="s">
        <v>56</v>
      </c>
      <c r="H1013" s="1" t="s">
        <v>28</v>
      </c>
      <c r="I1013" s="1" t="s">
        <v>40</v>
      </c>
      <c r="J1013" s="7">
        <v>101335</v>
      </c>
      <c r="K1013" s="1">
        <v>573</v>
      </c>
      <c r="L1013" s="7">
        <v>7553</v>
      </c>
      <c r="M1013" s="1">
        <v>12</v>
      </c>
      <c r="N1013" s="6">
        <v>0.1143</v>
      </c>
      <c r="O1013" s="1" t="s">
        <v>41</v>
      </c>
      <c r="P1013" s="1" t="s">
        <v>30</v>
      </c>
      <c r="Q1013" s="1">
        <v>22</v>
      </c>
      <c r="R1013" s="1">
        <v>1</v>
      </c>
      <c r="S1013" s="1" t="s">
        <v>33</v>
      </c>
      <c r="T1013" s="1" t="s">
        <v>33</v>
      </c>
      <c r="U1013" s="1">
        <v>4</v>
      </c>
      <c r="V1013" s="1">
        <v>123505</v>
      </c>
      <c r="W1013" s="7">
        <v>820.35</v>
      </c>
      <c r="X1013" s="1">
        <v>0.49</v>
      </c>
      <c r="Y1013" s="4">
        <v>45226</v>
      </c>
      <c r="Z1013" s="1" t="s">
        <v>32</v>
      </c>
      <c r="AA1013" s="1" t="s">
        <v>31</v>
      </c>
      <c r="AB1013" s="36" t="str" cm="1">
        <f t="array" ref="AB1013">_xlfn.IFS(K1013&gt;650,"LOW",K1013&gt;=550,"MEDIUM",K1013&lt;550,"HIGH")</f>
        <v>MEDIUM</v>
      </c>
    </row>
    <row r="1014" spans="3:28" x14ac:dyDescent="0.3">
      <c r="C1014" s="35" t="s">
        <v>2757</v>
      </c>
      <c r="D1014" s="1" t="s">
        <v>786</v>
      </c>
      <c r="E1014" s="1">
        <v>34</v>
      </c>
      <c r="F1014" s="1" t="s">
        <v>26</v>
      </c>
      <c r="G1014" s="1" t="s">
        <v>27</v>
      </c>
      <c r="H1014" s="1" t="s">
        <v>36</v>
      </c>
      <c r="I1014" s="1" t="s">
        <v>59</v>
      </c>
      <c r="J1014" s="7">
        <v>55694</v>
      </c>
      <c r="K1014" s="1">
        <v>572</v>
      </c>
      <c r="L1014" s="7">
        <v>27819</v>
      </c>
      <c r="M1014" s="1">
        <v>48</v>
      </c>
      <c r="N1014" s="6">
        <v>9.5000000000000001E-2</v>
      </c>
      <c r="O1014" s="1" t="s">
        <v>5</v>
      </c>
      <c r="P1014" s="1" t="s">
        <v>47</v>
      </c>
      <c r="Q1014" s="1">
        <v>14</v>
      </c>
      <c r="R1014" s="1">
        <v>4</v>
      </c>
      <c r="S1014" s="1" t="s">
        <v>33</v>
      </c>
      <c r="T1014" s="1" t="s">
        <v>31</v>
      </c>
      <c r="U1014" s="1">
        <v>3</v>
      </c>
      <c r="V1014" s="1">
        <v>77567</v>
      </c>
      <c r="W1014" s="7">
        <v>864.02</v>
      </c>
      <c r="X1014" s="1">
        <v>0.73</v>
      </c>
      <c r="Y1014" s="4">
        <v>44348</v>
      </c>
      <c r="Z1014" s="1" t="s">
        <v>32</v>
      </c>
      <c r="AA1014" s="1" t="s">
        <v>31</v>
      </c>
      <c r="AB1014" s="36" t="str" cm="1">
        <f t="array" ref="AB1014">_xlfn.IFS(K1014&gt;650,"LOW",K1014&gt;=550,"MEDIUM",K1014&lt;550,"HIGH")</f>
        <v>MEDIUM</v>
      </c>
    </row>
    <row r="1015" spans="3:28" x14ac:dyDescent="0.3">
      <c r="C1015" s="35" t="s">
        <v>3168</v>
      </c>
      <c r="D1015" s="1" t="s">
        <v>1192</v>
      </c>
      <c r="E1015" s="1">
        <v>39</v>
      </c>
      <c r="F1015" s="1" t="s">
        <v>44</v>
      </c>
      <c r="G1015" s="1" t="s">
        <v>35</v>
      </c>
      <c r="H1015" s="1" t="s">
        <v>61</v>
      </c>
      <c r="I1015" s="1" t="s">
        <v>40</v>
      </c>
      <c r="J1015" s="7">
        <v>27910</v>
      </c>
      <c r="K1015" s="1">
        <v>572</v>
      </c>
      <c r="L1015" s="7">
        <v>34909</v>
      </c>
      <c r="M1015" s="1">
        <v>60</v>
      </c>
      <c r="N1015" s="6">
        <v>0.1</v>
      </c>
      <c r="O1015" s="1" t="s">
        <v>52</v>
      </c>
      <c r="P1015" s="1" t="s">
        <v>30</v>
      </c>
      <c r="Q1015" s="1">
        <v>29</v>
      </c>
      <c r="R1015" s="1">
        <v>3</v>
      </c>
      <c r="S1015" s="1" t="s">
        <v>33</v>
      </c>
      <c r="T1015" s="1" t="s">
        <v>31</v>
      </c>
      <c r="U1015" s="1">
        <v>0</v>
      </c>
      <c r="V1015" s="1">
        <v>60269</v>
      </c>
      <c r="W1015" s="7">
        <v>728.23</v>
      </c>
      <c r="X1015" s="1">
        <v>0.14000000000000001</v>
      </c>
      <c r="Y1015" s="4">
        <v>44058</v>
      </c>
      <c r="Z1015" s="1" t="s">
        <v>32</v>
      </c>
      <c r="AA1015" s="1" t="s">
        <v>33</v>
      </c>
      <c r="AB1015" s="36" t="str" cm="1">
        <f t="array" ref="AB1015">_xlfn.IFS(K1015&gt;650,"LOW",K1015&gt;=550,"MEDIUM",K1015&lt;550,"HIGH")</f>
        <v>MEDIUM</v>
      </c>
    </row>
    <row r="1016" spans="3:28" x14ac:dyDescent="0.3">
      <c r="C1016" s="35" t="s">
        <v>3617</v>
      </c>
      <c r="D1016" s="1" t="s">
        <v>1630</v>
      </c>
      <c r="E1016" s="1">
        <v>40</v>
      </c>
      <c r="F1016" s="1" t="s">
        <v>44</v>
      </c>
      <c r="G1016" s="1" t="s">
        <v>35</v>
      </c>
      <c r="H1016" s="1" t="s">
        <v>36</v>
      </c>
      <c r="I1016" s="1" t="s">
        <v>29</v>
      </c>
      <c r="J1016" s="7">
        <v>92388</v>
      </c>
      <c r="K1016" s="1">
        <v>572</v>
      </c>
      <c r="L1016" s="7">
        <v>20798</v>
      </c>
      <c r="M1016" s="1">
        <v>24</v>
      </c>
      <c r="N1016" s="6">
        <v>7.5800000000000006E-2</v>
      </c>
      <c r="O1016" s="1" t="s">
        <v>41</v>
      </c>
      <c r="P1016" s="1" t="s">
        <v>30</v>
      </c>
      <c r="Q1016" s="1">
        <v>15</v>
      </c>
      <c r="R1016" s="1">
        <v>2</v>
      </c>
      <c r="S1016" s="1" t="s">
        <v>33</v>
      </c>
      <c r="T1016" s="1" t="s">
        <v>33</v>
      </c>
      <c r="U1016" s="1">
        <v>1</v>
      </c>
      <c r="V1016" s="1">
        <v>117622</v>
      </c>
      <c r="W1016" s="7">
        <v>1628.56</v>
      </c>
      <c r="X1016" s="1">
        <v>0.5</v>
      </c>
      <c r="Y1016" s="4">
        <v>44582</v>
      </c>
      <c r="Z1016" s="1" t="s">
        <v>38</v>
      </c>
      <c r="AA1016" s="1" t="s">
        <v>31</v>
      </c>
      <c r="AB1016" s="36" t="str" cm="1">
        <f t="array" ref="AB1016">_xlfn.IFS(K1016&gt;650,"LOW",K1016&gt;=550,"MEDIUM",K1016&lt;550,"HIGH")</f>
        <v>MEDIUM</v>
      </c>
    </row>
    <row r="1017" spans="3:28" x14ac:dyDescent="0.3">
      <c r="C1017" s="35" t="s">
        <v>3815</v>
      </c>
      <c r="D1017" s="1" t="s">
        <v>1821</v>
      </c>
      <c r="E1017" s="1">
        <v>64</v>
      </c>
      <c r="F1017" s="1" t="s">
        <v>44</v>
      </c>
      <c r="G1017" s="1" t="s">
        <v>56</v>
      </c>
      <c r="H1017" s="1" t="s">
        <v>54</v>
      </c>
      <c r="I1017" s="1" t="s">
        <v>29</v>
      </c>
      <c r="J1017" s="7">
        <v>65117</v>
      </c>
      <c r="K1017" s="1">
        <v>572</v>
      </c>
      <c r="L1017" s="7">
        <v>26208</v>
      </c>
      <c r="M1017" s="1">
        <v>36</v>
      </c>
      <c r="N1017" s="6">
        <v>0.19420000000000001</v>
      </c>
      <c r="O1017" s="1" t="s">
        <v>5</v>
      </c>
      <c r="P1017" s="1" t="s">
        <v>47</v>
      </c>
      <c r="Q1017" s="1">
        <v>10</v>
      </c>
      <c r="R1017" s="1">
        <v>2</v>
      </c>
      <c r="S1017" s="1" t="s">
        <v>31</v>
      </c>
      <c r="T1017" s="1" t="s">
        <v>31</v>
      </c>
      <c r="U1017" s="1">
        <v>4</v>
      </c>
      <c r="V1017" s="1">
        <v>74060</v>
      </c>
      <c r="W1017" s="7">
        <v>1221.73</v>
      </c>
      <c r="X1017" s="1">
        <v>0.82</v>
      </c>
      <c r="Y1017" s="4">
        <v>45755</v>
      </c>
      <c r="Z1017" s="1" t="s">
        <v>32</v>
      </c>
      <c r="AA1017" s="1" t="s">
        <v>33</v>
      </c>
      <c r="AB1017" s="36" t="str" cm="1">
        <f t="array" ref="AB1017">_xlfn.IFS(K1017&gt;650,"LOW",K1017&gt;=550,"MEDIUM",K1017&lt;550,"HIGH")</f>
        <v>MEDIUM</v>
      </c>
    </row>
    <row r="1018" spans="3:28" x14ac:dyDescent="0.3">
      <c r="C1018" s="35" t="s">
        <v>3884</v>
      </c>
      <c r="D1018" s="1" t="s">
        <v>1890</v>
      </c>
      <c r="E1018" s="1">
        <v>26</v>
      </c>
      <c r="F1018" s="1" t="s">
        <v>26</v>
      </c>
      <c r="G1018" s="1" t="s">
        <v>27</v>
      </c>
      <c r="H1018" s="1" t="s">
        <v>54</v>
      </c>
      <c r="I1018" s="1" t="s">
        <v>29</v>
      </c>
      <c r="J1018" s="7">
        <v>40595</v>
      </c>
      <c r="K1018" s="1">
        <v>572</v>
      </c>
      <c r="L1018" s="7">
        <v>3473</v>
      </c>
      <c r="M1018" s="1">
        <v>36</v>
      </c>
      <c r="N1018" s="6">
        <v>6.8199999999999997E-2</v>
      </c>
      <c r="O1018" s="1" t="s">
        <v>63</v>
      </c>
      <c r="P1018" s="1" t="s">
        <v>30</v>
      </c>
      <c r="Q1018" s="1">
        <v>24</v>
      </c>
      <c r="R1018" s="1">
        <v>2</v>
      </c>
      <c r="S1018" s="1" t="s">
        <v>31</v>
      </c>
      <c r="T1018" s="1" t="s">
        <v>33</v>
      </c>
      <c r="U1018" s="1">
        <v>4</v>
      </c>
      <c r="V1018" s="1">
        <v>116386</v>
      </c>
      <c r="W1018" s="7">
        <v>213.28</v>
      </c>
      <c r="X1018" s="1">
        <v>0.14000000000000001</v>
      </c>
      <c r="Y1018" s="4">
        <v>44339</v>
      </c>
      <c r="Z1018" s="1" t="s">
        <v>32</v>
      </c>
      <c r="AA1018" s="1" t="s">
        <v>33</v>
      </c>
      <c r="AB1018" s="36" t="str" cm="1">
        <f t="array" ref="AB1018">_xlfn.IFS(K1018&gt;650,"LOW",K1018&gt;=550,"MEDIUM",K1018&lt;550,"HIGH")</f>
        <v>MEDIUM</v>
      </c>
    </row>
    <row r="1019" spans="3:28" x14ac:dyDescent="0.3">
      <c r="C1019" s="35" t="s">
        <v>2540</v>
      </c>
      <c r="D1019" s="1" t="s">
        <v>570</v>
      </c>
      <c r="E1019" s="1">
        <v>52</v>
      </c>
      <c r="F1019" s="1" t="s">
        <v>44</v>
      </c>
      <c r="G1019" s="1" t="s">
        <v>35</v>
      </c>
      <c r="H1019" s="1" t="s">
        <v>28</v>
      </c>
      <c r="I1019" s="1" t="s">
        <v>57</v>
      </c>
      <c r="J1019" s="7">
        <v>57534</v>
      </c>
      <c r="K1019" s="1">
        <v>571</v>
      </c>
      <c r="L1019" s="7">
        <v>35433</v>
      </c>
      <c r="M1019" s="1">
        <v>12</v>
      </c>
      <c r="N1019" s="6">
        <v>0.1103</v>
      </c>
      <c r="O1019" s="1" t="s">
        <v>63</v>
      </c>
      <c r="P1019" s="1" t="s">
        <v>50</v>
      </c>
      <c r="Q1019" s="1">
        <v>11</v>
      </c>
      <c r="R1019" s="1">
        <v>0</v>
      </c>
      <c r="S1019" s="1" t="s">
        <v>31</v>
      </c>
      <c r="T1019" s="1" t="s">
        <v>33</v>
      </c>
      <c r="U1019" s="1">
        <v>4</v>
      </c>
      <c r="V1019" s="1">
        <v>180753</v>
      </c>
      <c r="W1019" s="7">
        <v>1621.83</v>
      </c>
      <c r="X1019" s="1">
        <v>0.8</v>
      </c>
      <c r="Y1019" s="4">
        <v>45382</v>
      </c>
      <c r="Z1019" s="1" t="s">
        <v>32</v>
      </c>
      <c r="AA1019" s="1" t="s">
        <v>31</v>
      </c>
      <c r="AB1019" s="36" t="str" cm="1">
        <f t="array" ref="AB1019">_xlfn.IFS(K1019&gt;650,"LOW",K1019&gt;=550,"MEDIUM",K1019&lt;550,"HIGH")</f>
        <v>MEDIUM</v>
      </c>
    </row>
    <row r="1020" spans="3:28" x14ac:dyDescent="0.3">
      <c r="C1020" s="35" t="s">
        <v>3971</v>
      </c>
      <c r="D1020" s="1" t="s">
        <v>1748</v>
      </c>
      <c r="E1020" s="1">
        <v>21</v>
      </c>
      <c r="F1020" s="1" t="s">
        <v>26</v>
      </c>
      <c r="G1020" s="1" t="s">
        <v>56</v>
      </c>
      <c r="H1020" s="1" t="s">
        <v>28</v>
      </c>
      <c r="I1020" s="1" t="s">
        <v>40</v>
      </c>
      <c r="J1020" s="7">
        <v>39563</v>
      </c>
      <c r="K1020" s="1">
        <v>571</v>
      </c>
      <c r="L1020" s="7">
        <v>2645</v>
      </c>
      <c r="M1020" s="1">
        <v>36</v>
      </c>
      <c r="N1020" s="6">
        <v>0.184</v>
      </c>
      <c r="O1020" s="1" t="s">
        <v>37</v>
      </c>
      <c r="P1020" s="1" t="s">
        <v>47</v>
      </c>
      <c r="Q1020" s="1">
        <v>15</v>
      </c>
      <c r="R1020" s="1">
        <v>4</v>
      </c>
      <c r="S1020" s="1" t="s">
        <v>31</v>
      </c>
      <c r="T1020" s="1" t="s">
        <v>33</v>
      </c>
      <c r="U1020" s="1">
        <v>1</v>
      </c>
      <c r="V1020" s="1">
        <v>21021</v>
      </c>
      <c r="W1020" s="7">
        <v>448.06</v>
      </c>
      <c r="X1020" s="1">
        <v>0.56999999999999995</v>
      </c>
      <c r="Y1020" s="4">
        <v>44160</v>
      </c>
      <c r="Z1020" s="1" t="s">
        <v>32</v>
      </c>
      <c r="AA1020" s="1" t="s">
        <v>33</v>
      </c>
      <c r="AB1020" s="36" t="str" cm="1">
        <f t="array" ref="AB1020">_xlfn.IFS(K1020&gt;650,"LOW",K1020&gt;=550,"MEDIUM",K1020&lt;550,"HIGH")</f>
        <v>MEDIUM</v>
      </c>
    </row>
    <row r="1021" spans="3:28" x14ac:dyDescent="0.3">
      <c r="C1021" s="35" t="s">
        <v>2176</v>
      </c>
      <c r="D1021" s="1" t="s">
        <v>207</v>
      </c>
      <c r="E1021" s="1">
        <v>62</v>
      </c>
      <c r="F1021" s="1" t="s">
        <v>44</v>
      </c>
      <c r="G1021" s="1" t="s">
        <v>35</v>
      </c>
      <c r="H1021" s="1" t="s">
        <v>28</v>
      </c>
      <c r="I1021" s="1" t="s">
        <v>59</v>
      </c>
      <c r="J1021" s="7">
        <v>77692</v>
      </c>
      <c r="K1021" s="1">
        <v>570</v>
      </c>
      <c r="L1021" s="7">
        <v>25882</v>
      </c>
      <c r="M1021" s="1">
        <v>12</v>
      </c>
      <c r="N1021" s="6">
        <v>0.1009</v>
      </c>
      <c r="O1021" s="1" t="s">
        <v>63</v>
      </c>
      <c r="P1021" s="1" t="s">
        <v>50</v>
      </c>
      <c r="Q1021" s="1">
        <v>11</v>
      </c>
      <c r="R1021" s="1">
        <v>3</v>
      </c>
      <c r="S1021" s="1" t="s">
        <v>31</v>
      </c>
      <c r="T1021" s="1" t="s">
        <v>31</v>
      </c>
      <c r="U1021" s="1">
        <v>2</v>
      </c>
      <c r="V1021" s="1">
        <v>7461</v>
      </c>
      <c r="W1021" s="7">
        <v>786.74</v>
      </c>
      <c r="X1021" s="1">
        <v>0.38</v>
      </c>
      <c r="Y1021" s="4">
        <v>44108</v>
      </c>
      <c r="Z1021" s="1" t="s">
        <v>32</v>
      </c>
      <c r="AA1021" s="1" t="s">
        <v>33</v>
      </c>
      <c r="AB1021" s="36" t="str" cm="1">
        <f t="array" ref="AB1021">_xlfn.IFS(K1021&gt;650,"LOW",K1021&gt;=550,"MEDIUM",K1021&lt;550,"HIGH")</f>
        <v>MEDIUM</v>
      </c>
    </row>
    <row r="1022" spans="3:28" x14ac:dyDescent="0.3">
      <c r="C1022" s="35" t="s">
        <v>2523</v>
      </c>
      <c r="D1022" s="1" t="s">
        <v>553</v>
      </c>
      <c r="E1022" s="1">
        <v>49</v>
      </c>
      <c r="F1022" s="1" t="s">
        <v>26</v>
      </c>
      <c r="G1022" s="1" t="s">
        <v>35</v>
      </c>
      <c r="H1022" s="1" t="s">
        <v>61</v>
      </c>
      <c r="I1022" s="1" t="s">
        <v>29</v>
      </c>
      <c r="J1022" s="7">
        <v>123313</v>
      </c>
      <c r="K1022" s="1">
        <v>570</v>
      </c>
      <c r="L1022" s="7">
        <v>28209</v>
      </c>
      <c r="M1022" s="1">
        <v>12</v>
      </c>
      <c r="N1022" s="6">
        <v>0.1938</v>
      </c>
      <c r="O1022" s="1" t="s">
        <v>52</v>
      </c>
      <c r="P1022" s="1" t="s">
        <v>47</v>
      </c>
      <c r="Q1022" s="1">
        <v>10</v>
      </c>
      <c r="R1022" s="1">
        <v>4</v>
      </c>
      <c r="S1022" s="1" t="s">
        <v>31</v>
      </c>
      <c r="T1022" s="1" t="s">
        <v>31</v>
      </c>
      <c r="U1022" s="1">
        <v>4</v>
      </c>
      <c r="V1022" s="1">
        <v>33991</v>
      </c>
      <c r="W1022" s="7">
        <v>1865.77</v>
      </c>
      <c r="X1022" s="1">
        <v>0.63</v>
      </c>
      <c r="Y1022" s="4">
        <v>45002</v>
      </c>
      <c r="Z1022" s="1" t="s">
        <v>32</v>
      </c>
      <c r="AA1022" s="1" t="s">
        <v>33</v>
      </c>
      <c r="AB1022" s="36" t="str" cm="1">
        <f t="array" ref="AB1022">_xlfn.IFS(K1022&gt;650,"LOW",K1022&gt;=550,"MEDIUM",K1022&lt;550,"HIGH")</f>
        <v>MEDIUM</v>
      </c>
    </row>
    <row r="1023" spans="3:28" x14ac:dyDescent="0.3">
      <c r="C1023" s="35" t="s">
        <v>2560</v>
      </c>
      <c r="D1023" s="1" t="s">
        <v>590</v>
      </c>
      <c r="E1023" s="1">
        <v>29</v>
      </c>
      <c r="F1023" s="1" t="s">
        <v>44</v>
      </c>
      <c r="G1023" s="1" t="s">
        <v>35</v>
      </c>
      <c r="H1023" s="1" t="s">
        <v>61</v>
      </c>
      <c r="I1023" s="1" t="s">
        <v>59</v>
      </c>
      <c r="J1023" s="7">
        <v>30195</v>
      </c>
      <c r="K1023" s="1">
        <v>570</v>
      </c>
      <c r="L1023" s="7">
        <v>26207</v>
      </c>
      <c r="M1023" s="1">
        <v>36</v>
      </c>
      <c r="N1023" s="6">
        <v>6.54E-2</v>
      </c>
      <c r="O1023" s="1" t="s">
        <v>63</v>
      </c>
      <c r="P1023" s="1" t="s">
        <v>50</v>
      </c>
      <c r="Q1023" s="1">
        <v>5</v>
      </c>
      <c r="R1023" s="1">
        <v>4</v>
      </c>
      <c r="S1023" s="1" t="s">
        <v>31</v>
      </c>
      <c r="T1023" s="1" t="s">
        <v>31</v>
      </c>
      <c r="U1023" s="1">
        <v>2</v>
      </c>
      <c r="V1023" s="1">
        <v>9839</v>
      </c>
      <c r="W1023" s="7">
        <v>879.79</v>
      </c>
      <c r="X1023" s="1">
        <v>0.38</v>
      </c>
      <c r="Y1023" s="4">
        <v>44100</v>
      </c>
      <c r="Z1023" s="1" t="s">
        <v>38</v>
      </c>
      <c r="AA1023" s="1" t="s">
        <v>33</v>
      </c>
      <c r="AB1023" s="36" t="str" cm="1">
        <f t="array" ref="AB1023">_xlfn.IFS(K1023&gt;650,"LOW",K1023&gt;=550,"MEDIUM",K1023&lt;550,"HIGH")</f>
        <v>MEDIUM</v>
      </c>
    </row>
    <row r="1024" spans="3:28" x14ac:dyDescent="0.3">
      <c r="C1024" s="35" t="s">
        <v>2774</v>
      </c>
      <c r="D1024" s="1" t="s">
        <v>802</v>
      </c>
      <c r="E1024" s="1">
        <v>50</v>
      </c>
      <c r="F1024" s="1" t="s">
        <v>26</v>
      </c>
      <c r="G1024" s="1" t="s">
        <v>56</v>
      </c>
      <c r="H1024" s="1" t="s">
        <v>61</v>
      </c>
      <c r="I1024" s="1" t="s">
        <v>59</v>
      </c>
      <c r="J1024" s="7">
        <v>120377</v>
      </c>
      <c r="K1024" s="1">
        <v>570</v>
      </c>
      <c r="L1024" s="7">
        <v>17259</v>
      </c>
      <c r="M1024" s="1">
        <v>48</v>
      </c>
      <c r="N1024" s="6">
        <v>0.17069999999999999</v>
      </c>
      <c r="O1024" s="1" t="s">
        <v>52</v>
      </c>
      <c r="P1024" s="1" t="s">
        <v>30</v>
      </c>
      <c r="Q1024" s="1">
        <v>28</v>
      </c>
      <c r="R1024" s="1">
        <v>1</v>
      </c>
      <c r="S1024" s="1" t="s">
        <v>31</v>
      </c>
      <c r="T1024" s="1" t="s">
        <v>31</v>
      </c>
      <c r="U1024" s="1">
        <v>4</v>
      </c>
      <c r="V1024" s="1">
        <v>75547</v>
      </c>
      <c r="W1024" s="7">
        <v>1773.3</v>
      </c>
      <c r="X1024" s="1">
        <v>0.16</v>
      </c>
      <c r="Y1024" s="4">
        <v>45254</v>
      </c>
      <c r="Z1024" s="1" t="s">
        <v>38</v>
      </c>
      <c r="AA1024" s="1" t="s">
        <v>33</v>
      </c>
      <c r="AB1024" s="36" t="str" cm="1">
        <f t="array" ref="AB1024">_xlfn.IFS(K1024&gt;650,"LOW",K1024&gt;=550,"MEDIUM",K1024&lt;550,"HIGH")</f>
        <v>MEDIUM</v>
      </c>
    </row>
    <row r="1025" spans="3:28" x14ac:dyDescent="0.3">
      <c r="C1025" s="35" t="s">
        <v>2888</v>
      </c>
      <c r="D1025" s="1" t="s">
        <v>916</v>
      </c>
      <c r="E1025" s="1">
        <v>26</v>
      </c>
      <c r="F1025" s="1" t="s">
        <v>44</v>
      </c>
      <c r="G1025" s="1" t="s">
        <v>35</v>
      </c>
      <c r="H1025" s="1" t="s">
        <v>36</v>
      </c>
      <c r="I1025" s="1" t="s">
        <v>59</v>
      </c>
      <c r="J1025" s="7">
        <v>27610</v>
      </c>
      <c r="K1025" s="1">
        <v>570</v>
      </c>
      <c r="L1025" s="7">
        <v>29682</v>
      </c>
      <c r="M1025" s="1">
        <v>60</v>
      </c>
      <c r="N1025" s="6">
        <v>8.1900000000000001E-2</v>
      </c>
      <c r="O1025" s="1" t="s">
        <v>5</v>
      </c>
      <c r="P1025" s="1" t="s">
        <v>47</v>
      </c>
      <c r="Q1025" s="1">
        <v>28</v>
      </c>
      <c r="R1025" s="1">
        <v>2</v>
      </c>
      <c r="S1025" s="1" t="s">
        <v>33</v>
      </c>
      <c r="T1025" s="1" t="s">
        <v>33</v>
      </c>
      <c r="U1025" s="1">
        <v>4</v>
      </c>
      <c r="V1025" s="1">
        <v>95029</v>
      </c>
      <c r="W1025" s="7">
        <v>1033.57</v>
      </c>
      <c r="X1025" s="1">
        <v>0.7</v>
      </c>
      <c r="Y1025" s="4">
        <v>44496</v>
      </c>
      <c r="Z1025" s="1" t="s">
        <v>38</v>
      </c>
      <c r="AA1025" s="1" t="s">
        <v>31</v>
      </c>
      <c r="AB1025" s="36" t="str" cm="1">
        <f t="array" ref="AB1025">_xlfn.IFS(K1025&gt;650,"LOW",K1025&gt;=550,"MEDIUM",K1025&lt;550,"HIGH")</f>
        <v>MEDIUM</v>
      </c>
    </row>
    <row r="1026" spans="3:28" x14ac:dyDescent="0.3">
      <c r="C1026" s="35" t="s">
        <v>3451</v>
      </c>
      <c r="D1026" s="1" t="s">
        <v>1469</v>
      </c>
      <c r="E1026" s="1">
        <v>59</v>
      </c>
      <c r="F1026" s="1" t="s">
        <v>44</v>
      </c>
      <c r="G1026" s="1" t="s">
        <v>27</v>
      </c>
      <c r="H1026" s="1" t="s">
        <v>61</v>
      </c>
      <c r="I1026" s="1" t="s">
        <v>29</v>
      </c>
      <c r="J1026" s="7">
        <v>79274</v>
      </c>
      <c r="K1026" s="1">
        <v>570</v>
      </c>
      <c r="L1026" s="7">
        <v>25102</v>
      </c>
      <c r="M1026" s="1">
        <v>48</v>
      </c>
      <c r="N1026" s="6">
        <v>0.19940000000000002</v>
      </c>
      <c r="O1026" s="1" t="s">
        <v>5</v>
      </c>
      <c r="P1026" s="1" t="s">
        <v>50</v>
      </c>
      <c r="Q1026" s="1">
        <v>24</v>
      </c>
      <c r="R1026" s="1">
        <v>3</v>
      </c>
      <c r="S1026" s="1" t="s">
        <v>31</v>
      </c>
      <c r="T1026" s="1" t="s">
        <v>33</v>
      </c>
      <c r="U1026" s="1">
        <v>2</v>
      </c>
      <c r="V1026" s="1">
        <v>193097</v>
      </c>
      <c r="W1026" s="7">
        <v>225.97</v>
      </c>
      <c r="X1026" s="1">
        <v>0.78</v>
      </c>
      <c r="Y1026" s="4">
        <v>44890</v>
      </c>
      <c r="Z1026" s="1" t="s">
        <v>38</v>
      </c>
      <c r="AA1026" s="1" t="s">
        <v>33</v>
      </c>
      <c r="AB1026" s="36" t="str" cm="1">
        <f t="array" ref="AB1026">_xlfn.IFS(K1026&gt;650,"LOW",K1026&gt;=550,"MEDIUM",K1026&lt;550,"HIGH")</f>
        <v>MEDIUM</v>
      </c>
    </row>
    <row r="1027" spans="3:28" x14ac:dyDescent="0.3">
      <c r="C1027" s="35" t="s">
        <v>3851</v>
      </c>
      <c r="D1027" s="1" t="s">
        <v>1857</v>
      </c>
      <c r="E1027" s="1">
        <v>54</v>
      </c>
      <c r="F1027" s="1" t="s">
        <v>26</v>
      </c>
      <c r="G1027" s="1" t="s">
        <v>56</v>
      </c>
      <c r="H1027" s="1" t="s">
        <v>54</v>
      </c>
      <c r="I1027" s="1" t="s">
        <v>59</v>
      </c>
      <c r="J1027" s="7">
        <v>101426</v>
      </c>
      <c r="K1027" s="1">
        <v>570</v>
      </c>
      <c r="L1027" s="7">
        <v>34729</v>
      </c>
      <c r="M1027" s="1">
        <v>60</v>
      </c>
      <c r="N1027" s="6">
        <v>0.12300000000000001</v>
      </c>
      <c r="O1027" s="1" t="s">
        <v>46</v>
      </c>
      <c r="P1027" s="1" t="s">
        <v>50</v>
      </c>
      <c r="Q1027" s="1">
        <v>16</v>
      </c>
      <c r="R1027" s="1">
        <v>2</v>
      </c>
      <c r="S1027" s="1" t="s">
        <v>31</v>
      </c>
      <c r="T1027" s="1" t="s">
        <v>31</v>
      </c>
      <c r="U1027" s="1">
        <v>0</v>
      </c>
      <c r="V1027" s="1">
        <v>44560</v>
      </c>
      <c r="W1027" s="7">
        <v>1173.9000000000001</v>
      </c>
      <c r="X1027" s="1">
        <v>0.24</v>
      </c>
      <c r="Y1027" s="4">
        <v>45185</v>
      </c>
      <c r="Z1027" s="1" t="s">
        <v>32</v>
      </c>
      <c r="AA1027" s="1" t="s">
        <v>33</v>
      </c>
      <c r="AB1027" s="36" t="str" cm="1">
        <f t="array" ref="AB1027">_xlfn.IFS(K1027&gt;650,"LOW",K1027&gt;=550,"MEDIUM",K1027&lt;550,"HIGH")</f>
        <v>MEDIUM</v>
      </c>
    </row>
    <row r="1028" spans="3:28" x14ac:dyDescent="0.3">
      <c r="C1028" s="35" t="s">
        <v>2099</v>
      </c>
      <c r="D1028" s="1" t="s">
        <v>130</v>
      </c>
      <c r="E1028" s="1">
        <v>38</v>
      </c>
      <c r="F1028" s="1" t="s">
        <v>44</v>
      </c>
      <c r="G1028" s="1" t="s">
        <v>45</v>
      </c>
      <c r="H1028" s="1" t="s">
        <v>61</v>
      </c>
      <c r="I1028" s="1" t="s">
        <v>40</v>
      </c>
      <c r="J1028" s="7">
        <v>95515</v>
      </c>
      <c r="K1028" s="1">
        <v>569</v>
      </c>
      <c r="L1028" s="7">
        <v>23703</v>
      </c>
      <c r="M1028" s="1">
        <v>60</v>
      </c>
      <c r="N1028" s="6">
        <v>0.10890000000000001</v>
      </c>
      <c r="O1028" s="1" t="s">
        <v>46</v>
      </c>
      <c r="P1028" s="1" t="s">
        <v>30</v>
      </c>
      <c r="Q1028" s="1">
        <v>25</v>
      </c>
      <c r="R1028" s="1">
        <v>2</v>
      </c>
      <c r="S1028" s="1" t="s">
        <v>31</v>
      </c>
      <c r="T1028" s="1" t="s">
        <v>31</v>
      </c>
      <c r="U1028" s="1">
        <v>2</v>
      </c>
      <c r="V1028" s="1">
        <v>46</v>
      </c>
      <c r="W1028" s="7">
        <v>385.56</v>
      </c>
      <c r="X1028" s="1">
        <v>0.79</v>
      </c>
      <c r="Y1028" s="4">
        <v>44833</v>
      </c>
      <c r="Z1028" s="1" t="s">
        <v>32</v>
      </c>
      <c r="AA1028" s="1" t="s">
        <v>33</v>
      </c>
      <c r="AB1028" s="36" t="str" cm="1">
        <f t="array" ref="AB1028">_xlfn.IFS(K1028&gt;650,"LOW",K1028&gt;=550,"MEDIUM",K1028&lt;550,"HIGH")</f>
        <v>MEDIUM</v>
      </c>
    </row>
    <row r="1029" spans="3:28" x14ac:dyDescent="0.3">
      <c r="C1029" s="35" t="s">
        <v>2207</v>
      </c>
      <c r="D1029" s="1" t="s">
        <v>238</v>
      </c>
      <c r="E1029" s="1">
        <v>44</v>
      </c>
      <c r="F1029" s="1" t="s">
        <v>44</v>
      </c>
      <c r="G1029" s="1" t="s">
        <v>56</v>
      </c>
      <c r="H1029" s="1" t="s">
        <v>36</v>
      </c>
      <c r="I1029" s="1" t="s">
        <v>57</v>
      </c>
      <c r="J1029" s="7">
        <v>112282</v>
      </c>
      <c r="K1029" s="1">
        <v>569</v>
      </c>
      <c r="L1029" s="7">
        <v>41404</v>
      </c>
      <c r="M1029" s="1">
        <v>12</v>
      </c>
      <c r="N1029" s="6">
        <v>0.12809999999999999</v>
      </c>
      <c r="O1029" s="1" t="s">
        <v>37</v>
      </c>
      <c r="P1029" s="1" t="s">
        <v>47</v>
      </c>
      <c r="Q1029" s="1">
        <v>19</v>
      </c>
      <c r="R1029" s="1">
        <v>0</v>
      </c>
      <c r="S1029" s="1" t="s">
        <v>31</v>
      </c>
      <c r="T1029" s="1" t="s">
        <v>31</v>
      </c>
      <c r="U1029" s="1">
        <v>2</v>
      </c>
      <c r="V1029" s="1">
        <v>198498</v>
      </c>
      <c r="W1029" s="7">
        <v>1237.9100000000001</v>
      </c>
      <c r="X1029" s="1">
        <v>0.38</v>
      </c>
      <c r="Y1029" s="4">
        <v>44571</v>
      </c>
      <c r="Z1029" s="1" t="s">
        <v>38</v>
      </c>
      <c r="AA1029" s="1" t="s">
        <v>33</v>
      </c>
      <c r="AB1029" s="36" t="str" cm="1">
        <f t="array" ref="AB1029">_xlfn.IFS(K1029&gt;650,"LOW",K1029&gt;=550,"MEDIUM",K1029&lt;550,"HIGH")</f>
        <v>MEDIUM</v>
      </c>
    </row>
    <row r="1030" spans="3:28" x14ac:dyDescent="0.3">
      <c r="C1030" s="35" t="s">
        <v>2433</v>
      </c>
      <c r="D1030" s="1" t="s">
        <v>463</v>
      </c>
      <c r="E1030" s="1">
        <v>29</v>
      </c>
      <c r="F1030" s="1" t="s">
        <v>26</v>
      </c>
      <c r="G1030" s="1" t="s">
        <v>27</v>
      </c>
      <c r="H1030" s="1" t="s">
        <v>54</v>
      </c>
      <c r="I1030" s="1" t="s">
        <v>40</v>
      </c>
      <c r="J1030" s="7">
        <v>69103</v>
      </c>
      <c r="K1030" s="1">
        <v>569</v>
      </c>
      <c r="L1030" s="7">
        <v>33274</v>
      </c>
      <c r="M1030" s="1">
        <v>24</v>
      </c>
      <c r="N1030" s="6">
        <v>6.0199999999999997E-2</v>
      </c>
      <c r="O1030" s="1" t="s">
        <v>52</v>
      </c>
      <c r="P1030" s="1" t="s">
        <v>47</v>
      </c>
      <c r="Q1030" s="1">
        <v>12</v>
      </c>
      <c r="R1030" s="1">
        <v>1</v>
      </c>
      <c r="S1030" s="1" t="s">
        <v>31</v>
      </c>
      <c r="T1030" s="1" t="s">
        <v>33</v>
      </c>
      <c r="U1030" s="1">
        <v>3</v>
      </c>
      <c r="V1030" s="1">
        <v>171313</v>
      </c>
      <c r="W1030" s="7">
        <v>1385.56</v>
      </c>
      <c r="X1030" s="1">
        <v>0.9</v>
      </c>
      <c r="Y1030" s="4">
        <v>44946</v>
      </c>
      <c r="Z1030" s="1" t="s">
        <v>32</v>
      </c>
      <c r="AA1030" s="1" t="s">
        <v>31</v>
      </c>
      <c r="AB1030" s="36" t="str" cm="1">
        <f t="array" ref="AB1030">_xlfn.IFS(K1030&gt;650,"LOW",K1030&gt;=550,"MEDIUM",K1030&lt;550,"HIGH")</f>
        <v>MEDIUM</v>
      </c>
    </row>
    <row r="1031" spans="3:28" x14ac:dyDescent="0.3">
      <c r="C1031" s="35" t="s">
        <v>2444</v>
      </c>
      <c r="D1031" s="1" t="s">
        <v>474</v>
      </c>
      <c r="E1031" s="1">
        <v>25</v>
      </c>
      <c r="F1031" s="1" t="s">
        <v>26</v>
      </c>
      <c r="G1031" s="1" t="s">
        <v>45</v>
      </c>
      <c r="H1031" s="1" t="s">
        <v>28</v>
      </c>
      <c r="I1031" s="1" t="s">
        <v>57</v>
      </c>
      <c r="J1031" s="7">
        <v>56833</v>
      </c>
      <c r="K1031" s="1">
        <v>569</v>
      </c>
      <c r="L1031" s="7">
        <v>1910</v>
      </c>
      <c r="M1031" s="1">
        <v>24</v>
      </c>
      <c r="N1031" s="6">
        <v>0.1573</v>
      </c>
      <c r="O1031" s="1" t="s">
        <v>5</v>
      </c>
      <c r="P1031" s="1" t="s">
        <v>47</v>
      </c>
      <c r="Q1031" s="1">
        <v>25</v>
      </c>
      <c r="R1031" s="1">
        <v>0</v>
      </c>
      <c r="S1031" s="1" t="s">
        <v>31</v>
      </c>
      <c r="T1031" s="1" t="s">
        <v>31</v>
      </c>
      <c r="U1031" s="1">
        <v>1</v>
      </c>
      <c r="V1031" s="1">
        <v>155673</v>
      </c>
      <c r="W1031" s="7">
        <v>1228.52</v>
      </c>
      <c r="X1031" s="1">
        <v>0.11</v>
      </c>
      <c r="Y1031" s="4">
        <v>45754</v>
      </c>
      <c r="Z1031" s="1" t="s">
        <v>38</v>
      </c>
      <c r="AA1031" s="1" t="s">
        <v>33</v>
      </c>
      <c r="AB1031" s="36" t="str" cm="1">
        <f t="array" ref="AB1031">_xlfn.IFS(K1031&gt;650,"LOW",K1031&gt;=550,"MEDIUM",K1031&lt;550,"HIGH")</f>
        <v>MEDIUM</v>
      </c>
    </row>
    <row r="1032" spans="3:28" x14ac:dyDescent="0.3">
      <c r="C1032" s="35" t="s">
        <v>2628</v>
      </c>
      <c r="D1032" s="1" t="s">
        <v>658</v>
      </c>
      <c r="E1032" s="1">
        <v>28</v>
      </c>
      <c r="F1032" s="1" t="s">
        <v>26</v>
      </c>
      <c r="G1032" s="1" t="s">
        <v>27</v>
      </c>
      <c r="H1032" s="1" t="s">
        <v>61</v>
      </c>
      <c r="I1032" s="1" t="s">
        <v>29</v>
      </c>
      <c r="J1032" s="7">
        <v>51673</v>
      </c>
      <c r="K1032" s="1">
        <v>569</v>
      </c>
      <c r="L1032" s="7">
        <v>30685</v>
      </c>
      <c r="M1032" s="1">
        <v>24</v>
      </c>
      <c r="N1032" s="6">
        <v>0.1757</v>
      </c>
      <c r="O1032" s="1" t="s">
        <v>41</v>
      </c>
      <c r="P1032" s="1" t="s">
        <v>50</v>
      </c>
      <c r="Q1032" s="1">
        <v>6</v>
      </c>
      <c r="R1032" s="1">
        <v>0</v>
      </c>
      <c r="S1032" s="1" t="s">
        <v>31</v>
      </c>
      <c r="T1032" s="1" t="s">
        <v>33</v>
      </c>
      <c r="U1032" s="1">
        <v>4</v>
      </c>
      <c r="V1032" s="1">
        <v>93733</v>
      </c>
      <c r="W1032" s="7">
        <v>642.87</v>
      </c>
      <c r="X1032" s="1">
        <v>0.39</v>
      </c>
      <c r="Y1032" s="4">
        <v>44742</v>
      </c>
      <c r="Z1032" s="1" t="s">
        <v>32</v>
      </c>
      <c r="AA1032" s="1" t="s">
        <v>33</v>
      </c>
      <c r="AB1032" s="36" t="str" cm="1">
        <f t="array" ref="AB1032">_xlfn.IFS(K1032&gt;650,"LOW",K1032&gt;=550,"MEDIUM",K1032&lt;550,"HIGH")</f>
        <v>MEDIUM</v>
      </c>
    </row>
    <row r="1033" spans="3:28" x14ac:dyDescent="0.3">
      <c r="C1033" s="35" t="s">
        <v>2714</v>
      </c>
      <c r="D1033" s="1" t="s">
        <v>744</v>
      </c>
      <c r="E1033" s="1">
        <v>26</v>
      </c>
      <c r="F1033" s="1" t="s">
        <v>44</v>
      </c>
      <c r="G1033" s="1" t="s">
        <v>35</v>
      </c>
      <c r="H1033" s="1" t="s">
        <v>36</v>
      </c>
      <c r="I1033" s="1" t="s">
        <v>29</v>
      </c>
      <c r="J1033" s="7">
        <v>119189</v>
      </c>
      <c r="K1033" s="1">
        <v>568</v>
      </c>
      <c r="L1033" s="7">
        <v>40673</v>
      </c>
      <c r="M1033" s="1">
        <v>24</v>
      </c>
      <c r="N1033" s="6">
        <v>0.1162</v>
      </c>
      <c r="O1033" s="1" t="s">
        <v>5</v>
      </c>
      <c r="P1033" s="1" t="s">
        <v>30</v>
      </c>
      <c r="Q1033" s="1">
        <v>14</v>
      </c>
      <c r="R1033" s="1">
        <v>0</v>
      </c>
      <c r="S1033" s="1" t="s">
        <v>33</v>
      </c>
      <c r="T1033" s="1" t="s">
        <v>33</v>
      </c>
      <c r="U1033" s="1">
        <v>4</v>
      </c>
      <c r="V1033" s="1">
        <v>81736</v>
      </c>
      <c r="W1033" s="7">
        <v>1902.08</v>
      </c>
      <c r="X1033" s="1">
        <v>0.79</v>
      </c>
      <c r="Y1033" s="4">
        <v>44514</v>
      </c>
      <c r="Z1033" s="1" t="s">
        <v>38</v>
      </c>
      <c r="AA1033" s="1" t="s">
        <v>33</v>
      </c>
      <c r="AB1033" s="36" t="str" cm="1">
        <f t="array" ref="AB1033">_xlfn.IFS(K1033&gt;650,"LOW",K1033&gt;=550,"MEDIUM",K1033&lt;550,"HIGH")</f>
        <v>MEDIUM</v>
      </c>
    </row>
    <row r="1034" spans="3:28" x14ac:dyDescent="0.3">
      <c r="C1034" s="35" t="s">
        <v>3202</v>
      </c>
      <c r="D1034" s="1" t="s">
        <v>1226</v>
      </c>
      <c r="E1034" s="1">
        <v>48</v>
      </c>
      <c r="F1034" s="1" t="s">
        <v>44</v>
      </c>
      <c r="G1034" s="1" t="s">
        <v>27</v>
      </c>
      <c r="H1034" s="1" t="s">
        <v>54</v>
      </c>
      <c r="I1034" s="1" t="s">
        <v>40</v>
      </c>
      <c r="J1034" s="7">
        <v>127791</v>
      </c>
      <c r="K1034" s="1">
        <v>568</v>
      </c>
      <c r="L1034" s="7">
        <v>1642</v>
      </c>
      <c r="M1034" s="1">
        <v>24</v>
      </c>
      <c r="N1034" s="6">
        <v>0.185</v>
      </c>
      <c r="O1034" s="1" t="s">
        <v>5</v>
      </c>
      <c r="P1034" s="1" t="s">
        <v>47</v>
      </c>
      <c r="Q1034" s="1">
        <v>9</v>
      </c>
      <c r="R1034" s="1">
        <v>0</v>
      </c>
      <c r="S1034" s="1" t="s">
        <v>33</v>
      </c>
      <c r="T1034" s="1" t="s">
        <v>31</v>
      </c>
      <c r="U1034" s="1">
        <v>4</v>
      </c>
      <c r="V1034" s="1">
        <v>22474</v>
      </c>
      <c r="W1034" s="7">
        <v>1376.42</v>
      </c>
      <c r="X1034" s="1">
        <v>0.6</v>
      </c>
      <c r="Y1034" s="4">
        <v>45178</v>
      </c>
      <c r="Z1034" s="1" t="s">
        <v>32</v>
      </c>
      <c r="AA1034" s="1" t="s">
        <v>33</v>
      </c>
      <c r="AB1034" s="36" t="str" cm="1">
        <f t="array" ref="AB1034">_xlfn.IFS(K1034&gt;650,"LOW",K1034&gt;=550,"MEDIUM",K1034&lt;550,"HIGH")</f>
        <v>MEDIUM</v>
      </c>
    </row>
    <row r="1035" spans="3:28" x14ac:dyDescent="0.3">
      <c r="C1035" s="35" t="s">
        <v>3361</v>
      </c>
      <c r="D1035" s="1" t="s">
        <v>1383</v>
      </c>
      <c r="E1035" s="1">
        <v>44</v>
      </c>
      <c r="F1035" s="1" t="s">
        <v>44</v>
      </c>
      <c r="G1035" s="1" t="s">
        <v>45</v>
      </c>
      <c r="H1035" s="1" t="s">
        <v>28</v>
      </c>
      <c r="I1035" s="1" t="s">
        <v>59</v>
      </c>
      <c r="J1035" s="7">
        <v>118185</v>
      </c>
      <c r="K1035" s="1">
        <v>568</v>
      </c>
      <c r="L1035" s="7">
        <v>42911</v>
      </c>
      <c r="M1035" s="1">
        <v>24</v>
      </c>
      <c r="N1035" s="6">
        <v>0.12609999999999999</v>
      </c>
      <c r="O1035" s="1" t="s">
        <v>52</v>
      </c>
      <c r="P1035" s="1" t="s">
        <v>47</v>
      </c>
      <c r="Q1035" s="1">
        <v>5</v>
      </c>
      <c r="R1035" s="1">
        <v>2</v>
      </c>
      <c r="S1035" s="1" t="s">
        <v>33</v>
      </c>
      <c r="T1035" s="1" t="s">
        <v>33</v>
      </c>
      <c r="U1035" s="1">
        <v>1</v>
      </c>
      <c r="V1035" s="1">
        <v>35088</v>
      </c>
      <c r="W1035" s="7">
        <v>1718.09</v>
      </c>
      <c r="X1035" s="1">
        <v>0.74</v>
      </c>
      <c r="Y1035" s="4">
        <v>45057</v>
      </c>
      <c r="Z1035" s="1" t="s">
        <v>32</v>
      </c>
      <c r="AA1035" s="1" t="s">
        <v>33</v>
      </c>
      <c r="AB1035" s="36" t="str" cm="1">
        <f t="array" ref="AB1035">_xlfn.IFS(K1035&gt;650,"LOW",K1035&gt;=550,"MEDIUM",K1035&lt;550,"HIGH")</f>
        <v>MEDIUM</v>
      </c>
    </row>
    <row r="1036" spans="3:28" x14ac:dyDescent="0.3">
      <c r="C1036" s="35" t="s">
        <v>3599</v>
      </c>
      <c r="D1036" s="1" t="s">
        <v>1613</v>
      </c>
      <c r="E1036" s="1">
        <v>54</v>
      </c>
      <c r="F1036" s="1" t="s">
        <v>26</v>
      </c>
      <c r="G1036" s="1" t="s">
        <v>56</v>
      </c>
      <c r="H1036" s="1" t="s">
        <v>36</v>
      </c>
      <c r="I1036" s="1" t="s">
        <v>29</v>
      </c>
      <c r="J1036" s="7">
        <v>34779</v>
      </c>
      <c r="K1036" s="1">
        <v>568</v>
      </c>
      <c r="L1036" s="7">
        <v>4574</v>
      </c>
      <c r="M1036" s="1">
        <v>48</v>
      </c>
      <c r="N1036" s="6">
        <v>7.7100000000000002E-2</v>
      </c>
      <c r="O1036" s="1" t="s">
        <v>63</v>
      </c>
      <c r="P1036" s="1" t="s">
        <v>50</v>
      </c>
      <c r="Q1036" s="1">
        <v>1</v>
      </c>
      <c r="R1036" s="1">
        <v>3</v>
      </c>
      <c r="S1036" s="1" t="s">
        <v>33</v>
      </c>
      <c r="T1036" s="1" t="s">
        <v>33</v>
      </c>
      <c r="U1036" s="1">
        <v>2</v>
      </c>
      <c r="V1036" s="1">
        <v>106017</v>
      </c>
      <c r="W1036" s="7">
        <v>1874.26</v>
      </c>
      <c r="X1036" s="1">
        <v>0.53</v>
      </c>
      <c r="Y1036" s="4">
        <v>44022</v>
      </c>
      <c r="Z1036" s="1" t="s">
        <v>38</v>
      </c>
      <c r="AA1036" s="1" t="s">
        <v>33</v>
      </c>
      <c r="AB1036" s="36" t="str" cm="1">
        <f t="array" ref="AB1036">_xlfn.IFS(K1036&gt;650,"LOW",K1036&gt;=550,"MEDIUM",K1036&lt;550,"HIGH")</f>
        <v>MEDIUM</v>
      </c>
    </row>
    <row r="1037" spans="3:28" x14ac:dyDescent="0.3">
      <c r="C1037" s="35" t="s">
        <v>2162</v>
      </c>
      <c r="D1037" s="1" t="s">
        <v>193</v>
      </c>
      <c r="E1037" s="1">
        <v>50</v>
      </c>
      <c r="F1037" s="1" t="s">
        <v>26</v>
      </c>
      <c r="G1037" s="1" t="s">
        <v>56</v>
      </c>
      <c r="H1037" s="1" t="s">
        <v>54</v>
      </c>
      <c r="I1037" s="1" t="s">
        <v>57</v>
      </c>
      <c r="J1037" s="7">
        <v>96325</v>
      </c>
      <c r="K1037" s="1">
        <v>567</v>
      </c>
      <c r="L1037" s="7">
        <v>21043</v>
      </c>
      <c r="M1037" s="1">
        <v>12</v>
      </c>
      <c r="N1037" s="6">
        <v>0.10050000000000001</v>
      </c>
      <c r="O1037" s="1" t="s">
        <v>37</v>
      </c>
      <c r="P1037" s="1" t="s">
        <v>50</v>
      </c>
      <c r="Q1037" s="1">
        <v>6</v>
      </c>
      <c r="R1037" s="1">
        <v>4</v>
      </c>
      <c r="S1037" s="1" t="s">
        <v>31</v>
      </c>
      <c r="T1037" s="1" t="s">
        <v>31</v>
      </c>
      <c r="U1037" s="1">
        <v>2</v>
      </c>
      <c r="V1037" s="1">
        <v>149151</v>
      </c>
      <c r="W1037" s="7">
        <v>1151.24</v>
      </c>
      <c r="X1037" s="1">
        <v>0.44</v>
      </c>
      <c r="Y1037" s="4">
        <v>44829</v>
      </c>
      <c r="Z1037" s="1" t="s">
        <v>38</v>
      </c>
      <c r="AA1037" s="1" t="s">
        <v>33</v>
      </c>
      <c r="AB1037" s="36" t="str" cm="1">
        <f t="array" ref="AB1037">_xlfn.IFS(K1037&gt;650,"LOW",K1037&gt;=550,"MEDIUM",K1037&lt;550,"HIGH")</f>
        <v>MEDIUM</v>
      </c>
    </row>
    <row r="1038" spans="3:28" x14ac:dyDescent="0.3">
      <c r="C1038" s="35" t="s">
        <v>2507</v>
      </c>
      <c r="D1038" s="1" t="s">
        <v>537</v>
      </c>
      <c r="E1038" s="1">
        <v>51</v>
      </c>
      <c r="F1038" s="1" t="s">
        <v>44</v>
      </c>
      <c r="G1038" s="1" t="s">
        <v>35</v>
      </c>
      <c r="H1038" s="1" t="s">
        <v>54</v>
      </c>
      <c r="I1038" s="1" t="s">
        <v>40</v>
      </c>
      <c r="J1038" s="7">
        <v>40183</v>
      </c>
      <c r="K1038" s="1">
        <v>567</v>
      </c>
      <c r="L1038" s="7">
        <v>5971</v>
      </c>
      <c r="M1038" s="1">
        <v>48</v>
      </c>
      <c r="N1038" s="6">
        <v>0.1182</v>
      </c>
      <c r="O1038" s="1" t="s">
        <v>63</v>
      </c>
      <c r="P1038" s="1" t="s">
        <v>47</v>
      </c>
      <c r="Q1038" s="1">
        <v>13</v>
      </c>
      <c r="R1038" s="1">
        <v>3</v>
      </c>
      <c r="S1038" s="1" t="s">
        <v>33</v>
      </c>
      <c r="T1038" s="1" t="s">
        <v>31</v>
      </c>
      <c r="U1038" s="1">
        <v>0</v>
      </c>
      <c r="V1038" s="1">
        <v>171212</v>
      </c>
      <c r="W1038" s="7">
        <v>617.19000000000005</v>
      </c>
      <c r="X1038" s="1">
        <v>0.62</v>
      </c>
      <c r="Y1038" s="4">
        <v>45533</v>
      </c>
      <c r="Z1038" s="1" t="s">
        <v>32</v>
      </c>
      <c r="AA1038" s="1" t="s">
        <v>33</v>
      </c>
      <c r="AB1038" s="36" t="str" cm="1">
        <f t="array" ref="AB1038">_xlfn.IFS(K1038&gt;650,"LOW",K1038&gt;=550,"MEDIUM",K1038&lt;550,"HIGH")</f>
        <v>MEDIUM</v>
      </c>
    </row>
    <row r="1039" spans="3:28" x14ac:dyDescent="0.3">
      <c r="C1039" s="35" t="s">
        <v>2596</v>
      </c>
      <c r="D1039" s="1" t="s">
        <v>626</v>
      </c>
      <c r="E1039" s="1">
        <v>62</v>
      </c>
      <c r="F1039" s="1" t="s">
        <v>44</v>
      </c>
      <c r="G1039" s="1" t="s">
        <v>56</v>
      </c>
      <c r="H1039" s="1" t="s">
        <v>28</v>
      </c>
      <c r="I1039" s="1" t="s">
        <v>29</v>
      </c>
      <c r="J1039" s="7">
        <v>51416</v>
      </c>
      <c r="K1039" s="1">
        <v>567</v>
      </c>
      <c r="L1039" s="7">
        <v>49692</v>
      </c>
      <c r="M1039" s="1">
        <v>12</v>
      </c>
      <c r="N1039" s="6">
        <v>5.6799999999999996E-2</v>
      </c>
      <c r="O1039" s="1" t="s">
        <v>41</v>
      </c>
      <c r="P1039" s="1" t="s">
        <v>50</v>
      </c>
      <c r="Q1039" s="1">
        <v>4</v>
      </c>
      <c r="R1039" s="1">
        <v>2</v>
      </c>
      <c r="S1039" s="1" t="s">
        <v>33</v>
      </c>
      <c r="T1039" s="1" t="s">
        <v>33</v>
      </c>
      <c r="U1039" s="1">
        <v>3</v>
      </c>
      <c r="V1039" s="1">
        <v>22970</v>
      </c>
      <c r="W1039" s="7">
        <v>290.14999999999998</v>
      </c>
      <c r="X1039" s="1">
        <v>0.45</v>
      </c>
      <c r="Y1039" s="4">
        <v>44165</v>
      </c>
      <c r="Z1039" s="1" t="s">
        <v>38</v>
      </c>
      <c r="AA1039" s="1" t="s">
        <v>33</v>
      </c>
      <c r="AB1039" s="36" t="str" cm="1">
        <f t="array" ref="AB1039">_xlfn.IFS(K1039&gt;650,"LOW",K1039&gt;=550,"MEDIUM",K1039&lt;550,"HIGH")</f>
        <v>MEDIUM</v>
      </c>
    </row>
    <row r="1040" spans="3:28" x14ac:dyDescent="0.3">
      <c r="C1040" s="35" t="s">
        <v>2868</v>
      </c>
      <c r="D1040" s="1" t="s">
        <v>896</v>
      </c>
      <c r="E1040" s="1">
        <v>45</v>
      </c>
      <c r="F1040" s="1" t="s">
        <v>44</v>
      </c>
      <c r="G1040" s="1" t="s">
        <v>27</v>
      </c>
      <c r="H1040" s="1" t="s">
        <v>54</v>
      </c>
      <c r="I1040" s="1" t="s">
        <v>40</v>
      </c>
      <c r="J1040" s="7">
        <v>42760</v>
      </c>
      <c r="K1040" s="1">
        <v>567</v>
      </c>
      <c r="L1040" s="7">
        <v>23870</v>
      </c>
      <c r="M1040" s="1">
        <v>60</v>
      </c>
      <c r="N1040" s="6">
        <v>7.6399999999999996E-2</v>
      </c>
      <c r="O1040" s="1" t="s">
        <v>46</v>
      </c>
      <c r="P1040" s="1" t="s">
        <v>30</v>
      </c>
      <c r="Q1040" s="1">
        <v>23</v>
      </c>
      <c r="R1040" s="1">
        <v>4</v>
      </c>
      <c r="S1040" s="1" t="s">
        <v>33</v>
      </c>
      <c r="T1040" s="1" t="s">
        <v>31</v>
      </c>
      <c r="U1040" s="1">
        <v>4</v>
      </c>
      <c r="V1040" s="1">
        <v>54058</v>
      </c>
      <c r="W1040" s="7">
        <v>1801.91</v>
      </c>
      <c r="X1040" s="1">
        <v>0.53</v>
      </c>
      <c r="Y1040" s="4">
        <v>44417</v>
      </c>
      <c r="Z1040" s="1" t="s">
        <v>32</v>
      </c>
      <c r="AA1040" s="1" t="s">
        <v>31</v>
      </c>
      <c r="AB1040" s="36" t="str" cm="1">
        <f t="array" ref="AB1040">_xlfn.IFS(K1040&gt;650,"LOW",K1040&gt;=550,"MEDIUM",K1040&lt;550,"HIGH")</f>
        <v>MEDIUM</v>
      </c>
    </row>
    <row r="1041" spans="3:28" x14ac:dyDescent="0.3">
      <c r="C1041" s="35" t="s">
        <v>3145</v>
      </c>
      <c r="D1041" s="1" t="s">
        <v>1170</v>
      </c>
      <c r="E1041" s="1">
        <v>41</v>
      </c>
      <c r="F1041" s="1" t="s">
        <v>26</v>
      </c>
      <c r="G1041" s="1" t="s">
        <v>45</v>
      </c>
      <c r="H1041" s="1" t="s">
        <v>61</v>
      </c>
      <c r="I1041" s="1" t="s">
        <v>59</v>
      </c>
      <c r="J1041" s="7">
        <v>68928</v>
      </c>
      <c r="K1041" s="1">
        <v>567</v>
      </c>
      <c r="L1041" s="7">
        <v>25016</v>
      </c>
      <c r="M1041" s="1">
        <v>12</v>
      </c>
      <c r="N1041" s="6">
        <v>6.2E-2</v>
      </c>
      <c r="O1041" s="1" t="s">
        <v>52</v>
      </c>
      <c r="P1041" s="1" t="s">
        <v>50</v>
      </c>
      <c r="Q1041" s="1">
        <v>2</v>
      </c>
      <c r="R1041" s="1">
        <v>4</v>
      </c>
      <c r="S1041" s="1" t="s">
        <v>33</v>
      </c>
      <c r="T1041" s="1" t="s">
        <v>31</v>
      </c>
      <c r="U1041" s="1">
        <v>4</v>
      </c>
      <c r="V1041" s="1">
        <v>74170</v>
      </c>
      <c r="W1041" s="7">
        <v>1635.55</v>
      </c>
      <c r="X1041" s="1">
        <v>0.59</v>
      </c>
      <c r="Y1041" s="4">
        <v>44560</v>
      </c>
      <c r="Z1041" s="1" t="s">
        <v>38</v>
      </c>
      <c r="AA1041" s="1" t="s">
        <v>33</v>
      </c>
      <c r="AB1041" s="36" t="str" cm="1">
        <f t="array" ref="AB1041">_xlfn.IFS(K1041&gt;650,"LOW",K1041&gt;=550,"MEDIUM",K1041&lt;550,"HIGH")</f>
        <v>MEDIUM</v>
      </c>
    </row>
    <row r="1042" spans="3:28" x14ac:dyDescent="0.3">
      <c r="C1042" s="35" t="s">
        <v>3203</v>
      </c>
      <c r="D1042" s="1" t="s">
        <v>1227</v>
      </c>
      <c r="E1042" s="1">
        <v>28</v>
      </c>
      <c r="F1042" s="1" t="s">
        <v>44</v>
      </c>
      <c r="G1042" s="1" t="s">
        <v>35</v>
      </c>
      <c r="H1042" s="1" t="s">
        <v>61</v>
      </c>
      <c r="I1042" s="1" t="s">
        <v>29</v>
      </c>
      <c r="J1042" s="7">
        <v>109826</v>
      </c>
      <c r="K1042" s="1">
        <v>567</v>
      </c>
      <c r="L1042" s="7">
        <v>29016</v>
      </c>
      <c r="M1042" s="1">
        <v>24</v>
      </c>
      <c r="N1042" s="6">
        <v>9.2799999999999994E-2</v>
      </c>
      <c r="O1042" s="1" t="s">
        <v>41</v>
      </c>
      <c r="P1042" s="1" t="s">
        <v>50</v>
      </c>
      <c r="Q1042" s="1">
        <v>28</v>
      </c>
      <c r="R1042" s="1">
        <v>4</v>
      </c>
      <c r="S1042" s="1" t="s">
        <v>31</v>
      </c>
      <c r="T1042" s="1" t="s">
        <v>33</v>
      </c>
      <c r="U1042" s="1">
        <v>1</v>
      </c>
      <c r="V1042" s="1">
        <v>8154</v>
      </c>
      <c r="W1042" s="7">
        <v>972.85</v>
      </c>
      <c r="X1042" s="1">
        <v>0.21</v>
      </c>
      <c r="Y1042" s="4">
        <v>45277</v>
      </c>
      <c r="Z1042" s="1" t="s">
        <v>32</v>
      </c>
      <c r="AA1042" s="1" t="s">
        <v>33</v>
      </c>
      <c r="AB1042" s="36" t="str" cm="1">
        <f t="array" ref="AB1042">_xlfn.IFS(K1042&gt;650,"LOW",K1042&gt;=550,"MEDIUM",K1042&lt;550,"HIGH")</f>
        <v>MEDIUM</v>
      </c>
    </row>
    <row r="1043" spans="3:28" x14ac:dyDescent="0.3">
      <c r="C1043" s="35" t="s">
        <v>3808</v>
      </c>
      <c r="D1043" s="1" t="s">
        <v>1814</v>
      </c>
      <c r="E1043" s="1">
        <v>33</v>
      </c>
      <c r="F1043" s="1" t="s">
        <v>44</v>
      </c>
      <c r="G1043" s="1" t="s">
        <v>56</v>
      </c>
      <c r="H1043" s="1" t="s">
        <v>61</v>
      </c>
      <c r="I1043" s="1" t="s">
        <v>29</v>
      </c>
      <c r="J1043" s="7">
        <v>77442</v>
      </c>
      <c r="K1043" s="1">
        <v>567</v>
      </c>
      <c r="L1043" s="7">
        <v>6738</v>
      </c>
      <c r="M1043" s="1">
        <v>60</v>
      </c>
      <c r="N1043" s="6">
        <v>0.17499999999999999</v>
      </c>
      <c r="O1043" s="1" t="s">
        <v>41</v>
      </c>
      <c r="P1043" s="1" t="s">
        <v>30</v>
      </c>
      <c r="Q1043" s="1">
        <v>29</v>
      </c>
      <c r="R1043" s="1">
        <v>3</v>
      </c>
      <c r="S1043" s="1" t="s">
        <v>31</v>
      </c>
      <c r="T1043" s="1" t="s">
        <v>31</v>
      </c>
      <c r="U1043" s="1">
        <v>1</v>
      </c>
      <c r="V1043" s="1">
        <v>148035</v>
      </c>
      <c r="W1043" s="7">
        <v>1251.77</v>
      </c>
      <c r="X1043" s="1">
        <v>0.71</v>
      </c>
      <c r="Y1043" s="4">
        <v>45512</v>
      </c>
      <c r="Z1043" s="1" t="s">
        <v>32</v>
      </c>
      <c r="AA1043" s="1" t="s">
        <v>33</v>
      </c>
      <c r="AB1043" s="36" t="str" cm="1">
        <f t="array" ref="AB1043">_xlfn.IFS(K1043&gt;650,"LOW",K1043&gt;=550,"MEDIUM",K1043&lt;550,"HIGH")</f>
        <v>MEDIUM</v>
      </c>
    </row>
    <row r="1044" spans="3:28" x14ac:dyDescent="0.3">
      <c r="C1044" s="35" t="s">
        <v>3844</v>
      </c>
      <c r="D1044" s="1" t="s">
        <v>1850</v>
      </c>
      <c r="E1044" s="1">
        <v>52</v>
      </c>
      <c r="F1044" s="1" t="s">
        <v>44</v>
      </c>
      <c r="G1044" s="1" t="s">
        <v>35</v>
      </c>
      <c r="H1044" s="1" t="s">
        <v>54</v>
      </c>
      <c r="I1044" s="1" t="s">
        <v>40</v>
      </c>
      <c r="J1044" s="7">
        <v>110365</v>
      </c>
      <c r="K1044" s="1">
        <v>567</v>
      </c>
      <c r="L1044" s="7">
        <v>12218</v>
      </c>
      <c r="M1044" s="1">
        <v>36</v>
      </c>
      <c r="N1044" s="6">
        <v>0.14749999999999999</v>
      </c>
      <c r="O1044" s="1" t="s">
        <v>37</v>
      </c>
      <c r="P1044" s="1" t="s">
        <v>47</v>
      </c>
      <c r="Q1044" s="1">
        <v>1</v>
      </c>
      <c r="R1044" s="1">
        <v>4</v>
      </c>
      <c r="S1044" s="1" t="s">
        <v>31</v>
      </c>
      <c r="T1044" s="1" t="s">
        <v>33</v>
      </c>
      <c r="U1044" s="1">
        <v>3</v>
      </c>
      <c r="V1044" s="1">
        <v>99751</v>
      </c>
      <c r="W1044" s="7">
        <v>1034.53</v>
      </c>
      <c r="X1044" s="1">
        <v>0.81</v>
      </c>
      <c r="Y1044" s="4">
        <v>44582</v>
      </c>
      <c r="Z1044" s="1" t="s">
        <v>38</v>
      </c>
      <c r="AA1044" s="1" t="s">
        <v>33</v>
      </c>
      <c r="AB1044" s="36" t="str" cm="1">
        <f t="array" ref="AB1044">_xlfn.IFS(K1044&gt;650,"LOW",K1044&gt;=550,"MEDIUM",K1044&lt;550,"HIGH")</f>
        <v>MEDIUM</v>
      </c>
    </row>
    <row r="1045" spans="3:28" x14ac:dyDescent="0.3">
      <c r="C1045" s="35" t="s">
        <v>3032</v>
      </c>
      <c r="D1045" s="1" t="s">
        <v>1059</v>
      </c>
      <c r="E1045" s="1">
        <v>47</v>
      </c>
      <c r="F1045" s="1" t="s">
        <v>44</v>
      </c>
      <c r="G1045" s="1" t="s">
        <v>27</v>
      </c>
      <c r="H1045" s="1" t="s">
        <v>36</v>
      </c>
      <c r="I1045" s="1" t="s">
        <v>57</v>
      </c>
      <c r="J1045" s="7">
        <v>130100</v>
      </c>
      <c r="K1045" s="1">
        <v>566</v>
      </c>
      <c r="L1045" s="7">
        <v>24903</v>
      </c>
      <c r="M1045" s="1">
        <v>24</v>
      </c>
      <c r="N1045" s="6">
        <v>0.13780000000000001</v>
      </c>
      <c r="O1045" s="1" t="s">
        <v>63</v>
      </c>
      <c r="P1045" s="1" t="s">
        <v>47</v>
      </c>
      <c r="Q1045" s="1">
        <v>22</v>
      </c>
      <c r="R1045" s="1">
        <v>2</v>
      </c>
      <c r="S1045" s="1" t="s">
        <v>33</v>
      </c>
      <c r="T1045" s="1" t="s">
        <v>33</v>
      </c>
      <c r="U1045" s="1">
        <v>3</v>
      </c>
      <c r="V1045" s="1">
        <v>31586</v>
      </c>
      <c r="W1045" s="7">
        <v>1637.83</v>
      </c>
      <c r="X1045" s="1">
        <v>0.62</v>
      </c>
      <c r="Y1045" s="4">
        <v>44665</v>
      </c>
      <c r="Z1045" s="1" t="s">
        <v>32</v>
      </c>
      <c r="AA1045" s="1" t="s">
        <v>33</v>
      </c>
      <c r="AB1045" s="36" t="str" cm="1">
        <f t="array" ref="AB1045">_xlfn.IFS(K1045&gt;650,"LOW",K1045&gt;=550,"MEDIUM",K1045&lt;550,"HIGH")</f>
        <v>MEDIUM</v>
      </c>
    </row>
    <row r="1046" spans="3:28" x14ac:dyDescent="0.3">
      <c r="C1046" s="35" t="s">
        <v>3426</v>
      </c>
      <c r="D1046" s="1" t="s">
        <v>1446</v>
      </c>
      <c r="E1046" s="1">
        <v>38</v>
      </c>
      <c r="F1046" s="1" t="s">
        <v>26</v>
      </c>
      <c r="G1046" s="1" t="s">
        <v>35</v>
      </c>
      <c r="H1046" s="1" t="s">
        <v>28</v>
      </c>
      <c r="I1046" s="1" t="s">
        <v>40</v>
      </c>
      <c r="J1046" s="7">
        <v>77572</v>
      </c>
      <c r="K1046" s="1">
        <v>566</v>
      </c>
      <c r="L1046" s="7">
        <v>28579</v>
      </c>
      <c r="M1046" s="1">
        <v>24</v>
      </c>
      <c r="N1046" s="6">
        <v>0.12820000000000001</v>
      </c>
      <c r="O1046" s="1" t="s">
        <v>37</v>
      </c>
      <c r="P1046" s="1" t="s">
        <v>30</v>
      </c>
      <c r="Q1046" s="1">
        <v>3</v>
      </c>
      <c r="R1046" s="1">
        <v>3</v>
      </c>
      <c r="S1046" s="1" t="s">
        <v>33</v>
      </c>
      <c r="T1046" s="1" t="s">
        <v>33</v>
      </c>
      <c r="U1046" s="1">
        <v>1</v>
      </c>
      <c r="V1046" s="1">
        <v>115837</v>
      </c>
      <c r="W1046" s="7">
        <v>1478.02</v>
      </c>
      <c r="X1046" s="1">
        <v>0.92</v>
      </c>
      <c r="Y1046" s="4">
        <v>45838</v>
      </c>
      <c r="Z1046" s="1" t="s">
        <v>32</v>
      </c>
      <c r="AA1046" s="1" t="s">
        <v>33</v>
      </c>
      <c r="AB1046" s="36" t="str" cm="1">
        <f t="array" ref="AB1046">_xlfn.IFS(K1046&gt;650,"LOW",K1046&gt;=550,"MEDIUM",K1046&lt;550,"HIGH")</f>
        <v>MEDIUM</v>
      </c>
    </row>
    <row r="1047" spans="3:28" x14ac:dyDescent="0.3">
      <c r="C1047" s="35" t="s">
        <v>2334</v>
      </c>
      <c r="D1047" s="1" t="s">
        <v>365</v>
      </c>
      <c r="E1047" s="1">
        <v>25</v>
      </c>
      <c r="F1047" s="1" t="s">
        <v>44</v>
      </c>
      <c r="G1047" s="1" t="s">
        <v>27</v>
      </c>
      <c r="H1047" s="1" t="s">
        <v>28</v>
      </c>
      <c r="I1047" s="1" t="s">
        <v>40</v>
      </c>
      <c r="J1047" s="7">
        <v>117372</v>
      </c>
      <c r="K1047" s="1">
        <v>565</v>
      </c>
      <c r="L1047" s="7">
        <v>5791</v>
      </c>
      <c r="M1047" s="1">
        <v>36</v>
      </c>
      <c r="N1047" s="6">
        <v>7.6999999999999999E-2</v>
      </c>
      <c r="O1047" s="1" t="s">
        <v>63</v>
      </c>
      <c r="P1047" s="1" t="s">
        <v>50</v>
      </c>
      <c r="Q1047" s="1">
        <v>13</v>
      </c>
      <c r="R1047" s="1">
        <v>1</v>
      </c>
      <c r="S1047" s="1" t="s">
        <v>33</v>
      </c>
      <c r="T1047" s="1" t="s">
        <v>31</v>
      </c>
      <c r="U1047" s="1">
        <v>0</v>
      </c>
      <c r="V1047" s="1">
        <v>30029</v>
      </c>
      <c r="W1047" s="7">
        <v>1924.82</v>
      </c>
      <c r="X1047" s="1">
        <v>0.62</v>
      </c>
      <c r="Y1047" s="4">
        <v>44979</v>
      </c>
      <c r="Z1047" s="1" t="s">
        <v>38</v>
      </c>
      <c r="AA1047" s="1" t="s">
        <v>33</v>
      </c>
      <c r="AB1047" s="36" t="str" cm="1">
        <f t="array" ref="AB1047">_xlfn.IFS(K1047&gt;650,"LOW",K1047&gt;=550,"MEDIUM",K1047&lt;550,"HIGH")</f>
        <v>MEDIUM</v>
      </c>
    </row>
    <row r="1048" spans="3:28" x14ac:dyDescent="0.3">
      <c r="C1048" s="35" t="s">
        <v>2680</v>
      </c>
      <c r="D1048" s="1" t="s">
        <v>710</v>
      </c>
      <c r="E1048" s="1">
        <v>37</v>
      </c>
      <c r="F1048" s="1" t="s">
        <v>26</v>
      </c>
      <c r="G1048" s="1" t="s">
        <v>35</v>
      </c>
      <c r="H1048" s="1" t="s">
        <v>54</v>
      </c>
      <c r="I1048" s="1" t="s">
        <v>40</v>
      </c>
      <c r="J1048" s="7">
        <v>55490</v>
      </c>
      <c r="K1048" s="1">
        <v>565</v>
      </c>
      <c r="L1048" s="7">
        <v>33161</v>
      </c>
      <c r="M1048" s="1">
        <v>24</v>
      </c>
      <c r="N1048" s="6">
        <v>5.3600000000000002E-2</v>
      </c>
      <c r="O1048" s="1" t="s">
        <v>52</v>
      </c>
      <c r="P1048" s="1" t="s">
        <v>47</v>
      </c>
      <c r="Q1048" s="1">
        <v>13</v>
      </c>
      <c r="R1048" s="1">
        <v>0</v>
      </c>
      <c r="S1048" s="1" t="s">
        <v>33</v>
      </c>
      <c r="T1048" s="1" t="s">
        <v>31</v>
      </c>
      <c r="U1048" s="1">
        <v>2</v>
      </c>
      <c r="V1048" s="1">
        <v>62052</v>
      </c>
      <c r="W1048" s="7">
        <v>1208.22</v>
      </c>
      <c r="X1048" s="1">
        <v>0.38</v>
      </c>
      <c r="Y1048" s="4">
        <v>45598</v>
      </c>
      <c r="Z1048" s="1" t="s">
        <v>32</v>
      </c>
      <c r="AA1048" s="1" t="s">
        <v>31</v>
      </c>
      <c r="AB1048" s="36" t="str" cm="1">
        <f t="array" ref="AB1048">_xlfn.IFS(K1048&gt;650,"LOW",K1048&gt;=550,"MEDIUM",K1048&lt;550,"HIGH")</f>
        <v>MEDIUM</v>
      </c>
    </row>
    <row r="1049" spans="3:28" x14ac:dyDescent="0.3">
      <c r="C1049" s="35" t="s">
        <v>3251</v>
      </c>
      <c r="D1049" s="1" t="s">
        <v>1274</v>
      </c>
      <c r="E1049" s="1">
        <v>37</v>
      </c>
      <c r="F1049" s="1" t="s">
        <v>44</v>
      </c>
      <c r="G1049" s="1" t="s">
        <v>35</v>
      </c>
      <c r="H1049" s="1" t="s">
        <v>36</v>
      </c>
      <c r="I1049" s="1" t="s">
        <v>29</v>
      </c>
      <c r="J1049" s="7">
        <v>135454</v>
      </c>
      <c r="K1049" s="1">
        <v>565</v>
      </c>
      <c r="L1049" s="7">
        <v>1666</v>
      </c>
      <c r="M1049" s="1">
        <v>60</v>
      </c>
      <c r="N1049" s="6">
        <v>0.19800000000000001</v>
      </c>
      <c r="O1049" s="1" t="s">
        <v>37</v>
      </c>
      <c r="P1049" s="1" t="s">
        <v>30</v>
      </c>
      <c r="Q1049" s="1">
        <v>15</v>
      </c>
      <c r="R1049" s="1">
        <v>3</v>
      </c>
      <c r="S1049" s="1" t="s">
        <v>31</v>
      </c>
      <c r="T1049" s="1" t="s">
        <v>33</v>
      </c>
      <c r="U1049" s="1">
        <v>2</v>
      </c>
      <c r="V1049" s="1">
        <v>82635</v>
      </c>
      <c r="W1049" s="7">
        <v>1721.85</v>
      </c>
      <c r="X1049" s="1">
        <v>0.82</v>
      </c>
      <c r="Y1049" s="4">
        <v>44284</v>
      </c>
      <c r="Z1049" s="1" t="s">
        <v>32</v>
      </c>
      <c r="AA1049" s="1" t="s">
        <v>33</v>
      </c>
      <c r="AB1049" s="36" t="str" cm="1">
        <f t="array" ref="AB1049">_xlfn.IFS(K1049&gt;650,"LOW",K1049&gt;=550,"MEDIUM",K1049&lt;550,"HIGH")</f>
        <v>MEDIUM</v>
      </c>
    </row>
    <row r="1050" spans="3:28" x14ac:dyDescent="0.3">
      <c r="C1050" s="35" t="s">
        <v>3550</v>
      </c>
      <c r="D1050" s="1" t="s">
        <v>1567</v>
      </c>
      <c r="E1050" s="1">
        <v>60</v>
      </c>
      <c r="F1050" s="1" t="s">
        <v>44</v>
      </c>
      <c r="G1050" s="1" t="s">
        <v>56</v>
      </c>
      <c r="H1050" s="1" t="s">
        <v>61</v>
      </c>
      <c r="I1050" s="1" t="s">
        <v>57</v>
      </c>
      <c r="J1050" s="7">
        <v>101434</v>
      </c>
      <c r="K1050" s="1">
        <v>565</v>
      </c>
      <c r="L1050" s="7">
        <v>24925</v>
      </c>
      <c r="M1050" s="1">
        <v>36</v>
      </c>
      <c r="N1050" s="6">
        <v>0.16469999999999999</v>
      </c>
      <c r="O1050" s="1" t="s">
        <v>46</v>
      </c>
      <c r="P1050" s="1" t="s">
        <v>47</v>
      </c>
      <c r="Q1050" s="1">
        <v>3</v>
      </c>
      <c r="R1050" s="1">
        <v>2</v>
      </c>
      <c r="S1050" s="1" t="s">
        <v>33</v>
      </c>
      <c r="T1050" s="1" t="s">
        <v>31</v>
      </c>
      <c r="U1050" s="1">
        <v>4</v>
      </c>
      <c r="V1050" s="1">
        <v>131177</v>
      </c>
      <c r="W1050" s="7">
        <v>399.77</v>
      </c>
      <c r="X1050" s="1">
        <v>0.56999999999999995</v>
      </c>
      <c r="Y1050" s="4">
        <v>44686</v>
      </c>
      <c r="Z1050" s="1" t="s">
        <v>32</v>
      </c>
      <c r="AA1050" s="1" t="s">
        <v>31</v>
      </c>
      <c r="AB1050" s="36" t="str" cm="1">
        <f t="array" ref="AB1050">_xlfn.IFS(K1050&gt;650,"LOW",K1050&gt;=550,"MEDIUM",K1050&lt;550,"HIGH")</f>
        <v>MEDIUM</v>
      </c>
    </row>
    <row r="1051" spans="3:28" x14ac:dyDescent="0.3">
      <c r="C1051" s="35" t="s">
        <v>3765</v>
      </c>
      <c r="D1051" s="1" t="s">
        <v>1773</v>
      </c>
      <c r="E1051" s="1">
        <v>42</v>
      </c>
      <c r="F1051" s="1" t="s">
        <v>26</v>
      </c>
      <c r="G1051" s="1" t="s">
        <v>45</v>
      </c>
      <c r="H1051" s="1" t="s">
        <v>36</v>
      </c>
      <c r="I1051" s="1" t="s">
        <v>59</v>
      </c>
      <c r="J1051" s="7">
        <v>76747</v>
      </c>
      <c r="K1051" s="1">
        <v>565</v>
      </c>
      <c r="L1051" s="7">
        <v>10745</v>
      </c>
      <c r="M1051" s="1">
        <v>24</v>
      </c>
      <c r="N1051" s="6">
        <v>0.18870000000000001</v>
      </c>
      <c r="O1051" s="1" t="s">
        <v>41</v>
      </c>
      <c r="P1051" s="1" t="s">
        <v>30</v>
      </c>
      <c r="Q1051" s="1">
        <v>22</v>
      </c>
      <c r="R1051" s="1">
        <v>0</v>
      </c>
      <c r="S1051" s="1" t="s">
        <v>33</v>
      </c>
      <c r="T1051" s="1" t="s">
        <v>31</v>
      </c>
      <c r="U1051" s="1">
        <v>0</v>
      </c>
      <c r="V1051" s="1">
        <v>183575</v>
      </c>
      <c r="W1051" s="7">
        <v>1774.31</v>
      </c>
      <c r="X1051" s="1">
        <v>0.71</v>
      </c>
      <c r="Y1051" s="4">
        <v>45429</v>
      </c>
      <c r="Z1051" s="1" t="s">
        <v>38</v>
      </c>
      <c r="AA1051" s="1" t="s">
        <v>31</v>
      </c>
      <c r="AB1051" s="36" t="str" cm="1">
        <f t="array" ref="AB1051">_xlfn.IFS(K1051&gt;650,"LOW",K1051&gt;=550,"MEDIUM",K1051&lt;550,"HIGH")</f>
        <v>MEDIUM</v>
      </c>
    </row>
    <row r="1052" spans="3:28" x14ac:dyDescent="0.3">
      <c r="C1052" s="35" t="s">
        <v>3835</v>
      </c>
      <c r="D1052" s="1" t="s">
        <v>1841</v>
      </c>
      <c r="E1052" s="1">
        <v>51</v>
      </c>
      <c r="F1052" s="1" t="s">
        <v>26</v>
      </c>
      <c r="G1052" s="1" t="s">
        <v>56</v>
      </c>
      <c r="H1052" s="1" t="s">
        <v>36</v>
      </c>
      <c r="I1052" s="1" t="s">
        <v>57</v>
      </c>
      <c r="J1052" s="7">
        <v>26895</v>
      </c>
      <c r="K1052" s="1">
        <v>565</v>
      </c>
      <c r="L1052" s="7">
        <v>17447</v>
      </c>
      <c r="M1052" s="1">
        <v>60</v>
      </c>
      <c r="N1052" s="6">
        <v>0.16140000000000002</v>
      </c>
      <c r="O1052" s="1" t="s">
        <v>52</v>
      </c>
      <c r="P1052" s="1" t="s">
        <v>47</v>
      </c>
      <c r="Q1052" s="1">
        <v>20</v>
      </c>
      <c r="R1052" s="1">
        <v>3</v>
      </c>
      <c r="S1052" s="1" t="s">
        <v>33</v>
      </c>
      <c r="T1052" s="1" t="s">
        <v>31</v>
      </c>
      <c r="U1052" s="1">
        <v>0</v>
      </c>
      <c r="V1052" s="1">
        <v>46084</v>
      </c>
      <c r="W1052" s="7">
        <v>796.58</v>
      </c>
      <c r="X1052" s="1">
        <v>0.72</v>
      </c>
      <c r="Y1052" s="4">
        <v>45645</v>
      </c>
      <c r="Z1052" s="1" t="s">
        <v>38</v>
      </c>
      <c r="AA1052" s="1" t="s">
        <v>33</v>
      </c>
      <c r="AB1052" s="36" t="str" cm="1">
        <f t="array" ref="AB1052">_xlfn.IFS(K1052&gt;650,"LOW",K1052&gt;=550,"MEDIUM",K1052&lt;550,"HIGH")</f>
        <v>MEDIUM</v>
      </c>
    </row>
    <row r="1053" spans="3:28" x14ac:dyDescent="0.3">
      <c r="C1053" s="35" t="s">
        <v>2361</v>
      </c>
      <c r="D1053" s="1" t="s">
        <v>391</v>
      </c>
      <c r="E1053" s="1">
        <v>23</v>
      </c>
      <c r="F1053" s="1" t="s">
        <v>26</v>
      </c>
      <c r="G1053" s="1" t="s">
        <v>35</v>
      </c>
      <c r="H1053" s="1" t="s">
        <v>36</v>
      </c>
      <c r="I1053" s="1" t="s">
        <v>40</v>
      </c>
      <c r="J1053" s="7">
        <v>146340</v>
      </c>
      <c r="K1053" s="1">
        <v>564</v>
      </c>
      <c r="L1053" s="7">
        <v>13521</v>
      </c>
      <c r="M1053" s="1">
        <v>12</v>
      </c>
      <c r="N1053" s="6">
        <v>0.1961</v>
      </c>
      <c r="O1053" s="1" t="s">
        <v>46</v>
      </c>
      <c r="P1053" s="1" t="s">
        <v>47</v>
      </c>
      <c r="Q1053" s="1">
        <v>7</v>
      </c>
      <c r="R1053" s="1">
        <v>2</v>
      </c>
      <c r="S1053" s="1" t="s">
        <v>31</v>
      </c>
      <c r="T1053" s="1" t="s">
        <v>31</v>
      </c>
      <c r="U1053" s="1">
        <v>4</v>
      </c>
      <c r="V1053" s="1">
        <v>156991</v>
      </c>
      <c r="W1053" s="7">
        <v>505.68</v>
      </c>
      <c r="X1053" s="1">
        <v>0.63</v>
      </c>
      <c r="Y1053" s="4">
        <v>45438</v>
      </c>
      <c r="Z1053" s="1" t="s">
        <v>32</v>
      </c>
      <c r="AA1053" s="1" t="s">
        <v>31</v>
      </c>
      <c r="AB1053" s="36" t="str" cm="1">
        <f t="array" ref="AB1053">_xlfn.IFS(K1053&gt;650,"LOW",K1053&gt;=550,"MEDIUM",K1053&lt;550,"HIGH")</f>
        <v>MEDIUM</v>
      </c>
    </row>
    <row r="1054" spans="3:28" x14ac:dyDescent="0.3">
      <c r="C1054" s="35" t="s">
        <v>2836</v>
      </c>
      <c r="D1054" s="1" t="s">
        <v>864</v>
      </c>
      <c r="E1054" s="1">
        <v>21</v>
      </c>
      <c r="F1054" s="1" t="s">
        <v>26</v>
      </c>
      <c r="G1054" s="1" t="s">
        <v>56</v>
      </c>
      <c r="H1054" s="1" t="s">
        <v>28</v>
      </c>
      <c r="I1054" s="1" t="s">
        <v>29</v>
      </c>
      <c r="J1054" s="7">
        <v>64247</v>
      </c>
      <c r="K1054" s="1">
        <v>564</v>
      </c>
      <c r="L1054" s="7">
        <v>48609</v>
      </c>
      <c r="M1054" s="1">
        <v>48</v>
      </c>
      <c r="N1054" s="6">
        <v>0.19539999999999999</v>
      </c>
      <c r="O1054" s="1" t="s">
        <v>52</v>
      </c>
      <c r="P1054" s="1" t="s">
        <v>50</v>
      </c>
      <c r="Q1054" s="1">
        <v>27</v>
      </c>
      <c r="R1054" s="1">
        <v>3</v>
      </c>
      <c r="S1054" s="1" t="s">
        <v>33</v>
      </c>
      <c r="T1054" s="1" t="s">
        <v>33</v>
      </c>
      <c r="U1054" s="1">
        <v>0</v>
      </c>
      <c r="V1054" s="1">
        <v>30920</v>
      </c>
      <c r="W1054" s="7">
        <v>1496.81</v>
      </c>
      <c r="X1054" s="1">
        <v>0.33</v>
      </c>
      <c r="Y1054" s="4">
        <v>45467</v>
      </c>
      <c r="Z1054" s="1" t="s">
        <v>32</v>
      </c>
      <c r="AA1054" s="1" t="s">
        <v>33</v>
      </c>
      <c r="AB1054" s="36" t="str" cm="1">
        <f t="array" ref="AB1054">_xlfn.IFS(K1054&gt;650,"LOW",K1054&gt;=550,"MEDIUM",K1054&lt;550,"HIGH")</f>
        <v>MEDIUM</v>
      </c>
    </row>
    <row r="1055" spans="3:28" x14ac:dyDescent="0.3">
      <c r="C1055" s="35" t="s">
        <v>3165</v>
      </c>
      <c r="D1055" s="1" t="s">
        <v>1189</v>
      </c>
      <c r="E1055" s="1">
        <v>50</v>
      </c>
      <c r="F1055" s="1" t="s">
        <v>44</v>
      </c>
      <c r="G1055" s="1" t="s">
        <v>56</v>
      </c>
      <c r="H1055" s="1" t="s">
        <v>54</v>
      </c>
      <c r="I1055" s="1" t="s">
        <v>57</v>
      </c>
      <c r="J1055" s="7">
        <v>100317</v>
      </c>
      <c r="K1055" s="1">
        <v>564</v>
      </c>
      <c r="L1055" s="7">
        <v>47664</v>
      </c>
      <c r="M1055" s="1">
        <v>24</v>
      </c>
      <c r="N1055" s="6">
        <v>8.539999999999999E-2</v>
      </c>
      <c r="O1055" s="1" t="s">
        <v>5</v>
      </c>
      <c r="P1055" s="1" t="s">
        <v>30</v>
      </c>
      <c r="Q1055" s="1">
        <v>16</v>
      </c>
      <c r="R1055" s="1">
        <v>4</v>
      </c>
      <c r="S1055" s="1" t="s">
        <v>31</v>
      </c>
      <c r="T1055" s="1" t="s">
        <v>31</v>
      </c>
      <c r="U1055" s="1">
        <v>2</v>
      </c>
      <c r="V1055" s="1">
        <v>36469</v>
      </c>
      <c r="W1055" s="7">
        <v>1320.22</v>
      </c>
      <c r="X1055" s="1">
        <v>0.48</v>
      </c>
      <c r="Y1055" s="4">
        <v>45264</v>
      </c>
      <c r="Z1055" s="1" t="s">
        <v>32</v>
      </c>
      <c r="AA1055" s="1" t="s">
        <v>33</v>
      </c>
      <c r="AB1055" s="36" t="str" cm="1">
        <f t="array" ref="AB1055">_xlfn.IFS(K1055&gt;650,"LOW",K1055&gt;=550,"MEDIUM",K1055&lt;550,"HIGH")</f>
        <v>MEDIUM</v>
      </c>
    </row>
    <row r="1056" spans="3:28" x14ac:dyDescent="0.3">
      <c r="C1056" s="35" t="s">
        <v>3699</v>
      </c>
      <c r="D1056" s="1" t="s">
        <v>1710</v>
      </c>
      <c r="E1056" s="1">
        <v>47</v>
      </c>
      <c r="F1056" s="1" t="s">
        <v>26</v>
      </c>
      <c r="G1056" s="1" t="s">
        <v>45</v>
      </c>
      <c r="H1056" s="1" t="s">
        <v>61</v>
      </c>
      <c r="I1056" s="1" t="s">
        <v>40</v>
      </c>
      <c r="J1056" s="7">
        <v>55851</v>
      </c>
      <c r="K1056" s="1">
        <v>564</v>
      </c>
      <c r="L1056" s="7">
        <v>5674</v>
      </c>
      <c r="M1056" s="1">
        <v>48</v>
      </c>
      <c r="N1056" s="6">
        <v>0.15609999999999999</v>
      </c>
      <c r="O1056" s="1" t="s">
        <v>5</v>
      </c>
      <c r="P1056" s="1" t="s">
        <v>47</v>
      </c>
      <c r="Q1056" s="1">
        <v>15</v>
      </c>
      <c r="R1056" s="1">
        <v>2</v>
      </c>
      <c r="S1056" s="1" t="s">
        <v>31</v>
      </c>
      <c r="T1056" s="1" t="s">
        <v>31</v>
      </c>
      <c r="U1056" s="1">
        <v>0</v>
      </c>
      <c r="V1056" s="1">
        <v>169198</v>
      </c>
      <c r="W1056" s="7">
        <v>435.23</v>
      </c>
      <c r="X1056" s="1">
        <v>0.68</v>
      </c>
      <c r="Y1056" s="4">
        <v>45740</v>
      </c>
      <c r="Z1056" s="1" t="s">
        <v>38</v>
      </c>
      <c r="AA1056" s="1" t="s">
        <v>33</v>
      </c>
      <c r="AB1056" s="36" t="str" cm="1">
        <f t="array" ref="AB1056">_xlfn.IFS(K1056&gt;650,"LOW",K1056&gt;=550,"MEDIUM",K1056&lt;550,"HIGH")</f>
        <v>MEDIUM</v>
      </c>
    </row>
    <row r="1057" spans="3:28" x14ac:dyDescent="0.3">
      <c r="C1057" s="35" t="s">
        <v>3759</v>
      </c>
      <c r="D1057" s="1" t="s">
        <v>1767</v>
      </c>
      <c r="E1057" s="1">
        <v>61</v>
      </c>
      <c r="F1057" s="1" t="s">
        <v>26</v>
      </c>
      <c r="G1057" s="1" t="s">
        <v>27</v>
      </c>
      <c r="H1057" s="1" t="s">
        <v>61</v>
      </c>
      <c r="I1057" s="1" t="s">
        <v>59</v>
      </c>
      <c r="J1057" s="7">
        <v>50028</v>
      </c>
      <c r="K1057" s="1">
        <v>564</v>
      </c>
      <c r="L1057" s="7">
        <v>36001</v>
      </c>
      <c r="M1057" s="1">
        <v>48</v>
      </c>
      <c r="N1057" s="6">
        <v>0.1867</v>
      </c>
      <c r="O1057" s="1" t="s">
        <v>52</v>
      </c>
      <c r="P1057" s="1" t="s">
        <v>30</v>
      </c>
      <c r="Q1057" s="1">
        <v>28</v>
      </c>
      <c r="R1057" s="1">
        <v>1</v>
      </c>
      <c r="S1057" s="1" t="s">
        <v>33</v>
      </c>
      <c r="T1057" s="1" t="s">
        <v>31</v>
      </c>
      <c r="U1057" s="1">
        <v>4</v>
      </c>
      <c r="V1057" s="1">
        <v>58820</v>
      </c>
      <c r="W1057" s="7">
        <v>1882.23</v>
      </c>
      <c r="X1057" s="1">
        <v>0.41</v>
      </c>
      <c r="Y1057" s="4">
        <v>44587</v>
      </c>
      <c r="Z1057" s="1" t="s">
        <v>38</v>
      </c>
      <c r="AA1057" s="1" t="s">
        <v>33</v>
      </c>
      <c r="AB1057" s="36" t="str" cm="1">
        <f t="array" ref="AB1057">_xlfn.IFS(K1057&gt;650,"LOW",K1057&gt;=550,"MEDIUM",K1057&lt;550,"HIGH")</f>
        <v>MEDIUM</v>
      </c>
    </row>
    <row r="1058" spans="3:28" x14ac:dyDescent="0.3">
      <c r="C1058" s="35" t="s">
        <v>3906</v>
      </c>
      <c r="D1058" s="1" t="s">
        <v>1910</v>
      </c>
      <c r="E1058" s="1">
        <v>32</v>
      </c>
      <c r="F1058" s="1" t="s">
        <v>26</v>
      </c>
      <c r="G1058" s="1" t="s">
        <v>35</v>
      </c>
      <c r="H1058" s="1" t="s">
        <v>54</v>
      </c>
      <c r="I1058" s="1" t="s">
        <v>57</v>
      </c>
      <c r="J1058" s="7">
        <v>127339</v>
      </c>
      <c r="K1058" s="1">
        <v>564</v>
      </c>
      <c r="L1058" s="7">
        <v>47870</v>
      </c>
      <c r="M1058" s="1">
        <v>12</v>
      </c>
      <c r="N1058" s="6">
        <v>0.1149</v>
      </c>
      <c r="O1058" s="1" t="s">
        <v>37</v>
      </c>
      <c r="P1058" s="1" t="s">
        <v>50</v>
      </c>
      <c r="Q1058" s="1">
        <v>11</v>
      </c>
      <c r="R1058" s="1">
        <v>1</v>
      </c>
      <c r="S1058" s="1" t="s">
        <v>31</v>
      </c>
      <c r="T1058" s="1" t="s">
        <v>31</v>
      </c>
      <c r="U1058" s="1">
        <v>1</v>
      </c>
      <c r="V1058" s="1">
        <v>155337</v>
      </c>
      <c r="W1058" s="7">
        <v>178.02</v>
      </c>
      <c r="X1058" s="1">
        <v>0.79</v>
      </c>
      <c r="Y1058" s="4">
        <v>44370</v>
      </c>
      <c r="Z1058" s="1" t="s">
        <v>32</v>
      </c>
      <c r="AA1058" s="1" t="s">
        <v>33</v>
      </c>
      <c r="AB1058" s="36" t="str" cm="1">
        <f t="array" ref="AB1058">_xlfn.IFS(K1058&gt;650,"LOW",K1058&gt;=550,"MEDIUM",K1058&lt;550,"HIGH")</f>
        <v>MEDIUM</v>
      </c>
    </row>
    <row r="1059" spans="3:28" x14ac:dyDescent="0.3">
      <c r="C1059" s="35" t="s">
        <v>2505</v>
      </c>
      <c r="D1059" s="1" t="s">
        <v>535</v>
      </c>
      <c r="E1059" s="1">
        <v>33</v>
      </c>
      <c r="F1059" s="1" t="s">
        <v>44</v>
      </c>
      <c r="G1059" s="1" t="s">
        <v>56</v>
      </c>
      <c r="H1059" s="1" t="s">
        <v>36</v>
      </c>
      <c r="I1059" s="1" t="s">
        <v>40</v>
      </c>
      <c r="J1059" s="7">
        <v>106322</v>
      </c>
      <c r="K1059" s="1">
        <v>563</v>
      </c>
      <c r="L1059" s="7">
        <v>18300</v>
      </c>
      <c r="M1059" s="1">
        <v>60</v>
      </c>
      <c r="N1059" s="6">
        <v>0.1552</v>
      </c>
      <c r="O1059" s="1" t="s">
        <v>63</v>
      </c>
      <c r="P1059" s="1" t="s">
        <v>47</v>
      </c>
      <c r="Q1059" s="1">
        <v>7</v>
      </c>
      <c r="R1059" s="1">
        <v>2</v>
      </c>
      <c r="S1059" s="1" t="s">
        <v>31</v>
      </c>
      <c r="T1059" s="1" t="s">
        <v>33</v>
      </c>
      <c r="U1059" s="1">
        <v>2</v>
      </c>
      <c r="V1059" s="1">
        <v>9990</v>
      </c>
      <c r="W1059" s="7">
        <v>1129.56</v>
      </c>
      <c r="X1059" s="1">
        <v>0.22</v>
      </c>
      <c r="Y1059" s="4">
        <v>45439</v>
      </c>
      <c r="Z1059" s="1" t="s">
        <v>38</v>
      </c>
      <c r="AA1059" s="1" t="s">
        <v>33</v>
      </c>
      <c r="AB1059" s="36" t="str" cm="1">
        <f t="array" ref="AB1059">_xlfn.IFS(K1059&gt;650,"LOW",K1059&gt;=550,"MEDIUM",K1059&lt;550,"HIGH")</f>
        <v>MEDIUM</v>
      </c>
    </row>
    <row r="1060" spans="3:28" x14ac:dyDescent="0.3">
      <c r="C1060" s="35" t="s">
        <v>3134</v>
      </c>
      <c r="D1060" s="1" t="s">
        <v>1159</v>
      </c>
      <c r="E1060" s="1">
        <v>44</v>
      </c>
      <c r="F1060" s="1" t="s">
        <v>26</v>
      </c>
      <c r="G1060" s="1" t="s">
        <v>45</v>
      </c>
      <c r="H1060" s="1" t="s">
        <v>61</v>
      </c>
      <c r="I1060" s="1" t="s">
        <v>59</v>
      </c>
      <c r="J1060" s="7">
        <v>76630</v>
      </c>
      <c r="K1060" s="1">
        <v>563</v>
      </c>
      <c r="L1060" s="7">
        <v>14435</v>
      </c>
      <c r="M1060" s="1">
        <v>12</v>
      </c>
      <c r="N1060" s="6">
        <v>0.17319999999999999</v>
      </c>
      <c r="O1060" s="1" t="s">
        <v>46</v>
      </c>
      <c r="P1060" s="1" t="s">
        <v>30</v>
      </c>
      <c r="Q1060" s="1">
        <v>12</v>
      </c>
      <c r="R1060" s="1">
        <v>0</v>
      </c>
      <c r="S1060" s="1" t="s">
        <v>33</v>
      </c>
      <c r="T1060" s="1" t="s">
        <v>33</v>
      </c>
      <c r="U1060" s="1">
        <v>1</v>
      </c>
      <c r="V1060" s="1">
        <v>117257</v>
      </c>
      <c r="W1060" s="7">
        <v>733.46</v>
      </c>
      <c r="X1060" s="1">
        <v>0.6</v>
      </c>
      <c r="Y1060" s="4">
        <v>45043</v>
      </c>
      <c r="Z1060" s="1" t="s">
        <v>32</v>
      </c>
      <c r="AA1060" s="1" t="s">
        <v>33</v>
      </c>
      <c r="AB1060" s="36" t="str" cm="1">
        <f t="array" ref="AB1060">_xlfn.IFS(K1060&gt;650,"LOW",K1060&gt;=550,"MEDIUM",K1060&lt;550,"HIGH")</f>
        <v>MEDIUM</v>
      </c>
    </row>
    <row r="1061" spans="3:28" x14ac:dyDescent="0.3">
      <c r="C1061" s="35" t="s">
        <v>3468</v>
      </c>
      <c r="D1061" s="1" t="s">
        <v>1486</v>
      </c>
      <c r="E1061" s="1">
        <v>24</v>
      </c>
      <c r="F1061" s="1" t="s">
        <v>26</v>
      </c>
      <c r="G1061" s="1" t="s">
        <v>45</v>
      </c>
      <c r="H1061" s="1" t="s">
        <v>28</v>
      </c>
      <c r="I1061" s="1" t="s">
        <v>57</v>
      </c>
      <c r="J1061" s="7">
        <v>137996</v>
      </c>
      <c r="K1061" s="1">
        <v>563</v>
      </c>
      <c r="L1061" s="7">
        <v>37978</v>
      </c>
      <c r="M1061" s="1">
        <v>36</v>
      </c>
      <c r="N1061" s="6">
        <v>6.1699999999999998E-2</v>
      </c>
      <c r="O1061" s="1" t="s">
        <v>52</v>
      </c>
      <c r="P1061" s="1" t="s">
        <v>50</v>
      </c>
      <c r="Q1061" s="1">
        <v>11</v>
      </c>
      <c r="R1061" s="1">
        <v>3</v>
      </c>
      <c r="S1061" s="1" t="s">
        <v>33</v>
      </c>
      <c r="T1061" s="1" t="s">
        <v>33</v>
      </c>
      <c r="U1061" s="1">
        <v>1</v>
      </c>
      <c r="V1061" s="1">
        <v>187244</v>
      </c>
      <c r="W1061" s="7">
        <v>1209.3399999999999</v>
      </c>
      <c r="X1061" s="1">
        <v>0.61</v>
      </c>
      <c r="Y1061" s="4">
        <v>44058</v>
      </c>
      <c r="Z1061" s="1" t="s">
        <v>32</v>
      </c>
      <c r="AA1061" s="1" t="s">
        <v>31</v>
      </c>
      <c r="AB1061" s="36" t="str" cm="1">
        <f t="array" ref="AB1061">_xlfn.IFS(K1061&gt;650,"LOW",K1061&gt;=550,"MEDIUM",K1061&lt;550,"HIGH")</f>
        <v>MEDIUM</v>
      </c>
    </row>
    <row r="1062" spans="3:28" x14ac:dyDescent="0.3">
      <c r="C1062" s="35" t="s">
        <v>3603</v>
      </c>
      <c r="D1062" s="1" t="s">
        <v>1617</v>
      </c>
      <c r="E1062" s="1">
        <v>39</v>
      </c>
      <c r="F1062" s="1" t="s">
        <v>44</v>
      </c>
      <c r="G1062" s="1" t="s">
        <v>35</v>
      </c>
      <c r="H1062" s="1" t="s">
        <v>36</v>
      </c>
      <c r="I1062" s="1" t="s">
        <v>59</v>
      </c>
      <c r="J1062" s="7">
        <v>135947</v>
      </c>
      <c r="K1062" s="1">
        <v>563</v>
      </c>
      <c r="L1062" s="7">
        <v>16748</v>
      </c>
      <c r="M1062" s="1">
        <v>24</v>
      </c>
      <c r="N1062" s="6">
        <v>0.13519999999999999</v>
      </c>
      <c r="O1062" s="1" t="s">
        <v>63</v>
      </c>
      <c r="P1062" s="1" t="s">
        <v>30</v>
      </c>
      <c r="Q1062" s="1">
        <v>15</v>
      </c>
      <c r="R1062" s="1">
        <v>4</v>
      </c>
      <c r="S1062" s="1" t="s">
        <v>31</v>
      </c>
      <c r="T1062" s="1" t="s">
        <v>33</v>
      </c>
      <c r="U1062" s="1">
        <v>3</v>
      </c>
      <c r="V1062" s="1">
        <v>89463</v>
      </c>
      <c r="W1062" s="7">
        <v>1528.58</v>
      </c>
      <c r="X1062" s="1">
        <v>0.51</v>
      </c>
      <c r="Y1062" s="4">
        <v>44230</v>
      </c>
      <c r="Z1062" s="1" t="s">
        <v>38</v>
      </c>
      <c r="AA1062" s="1" t="s">
        <v>31</v>
      </c>
      <c r="AB1062" s="36" t="str" cm="1">
        <f t="array" ref="AB1062">_xlfn.IFS(K1062&gt;650,"LOW",K1062&gt;=550,"MEDIUM",K1062&lt;550,"HIGH")</f>
        <v>MEDIUM</v>
      </c>
    </row>
    <row r="1063" spans="3:28" x14ac:dyDescent="0.3">
      <c r="C1063" s="35" t="s">
        <v>3656</v>
      </c>
      <c r="D1063" s="1" t="s">
        <v>1668</v>
      </c>
      <c r="E1063" s="1">
        <v>35</v>
      </c>
      <c r="F1063" s="1" t="s">
        <v>26</v>
      </c>
      <c r="G1063" s="1" t="s">
        <v>27</v>
      </c>
      <c r="H1063" s="1" t="s">
        <v>61</v>
      </c>
      <c r="I1063" s="1" t="s">
        <v>40</v>
      </c>
      <c r="J1063" s="7">
        <v>21242</v>
      </c>
      <c r="K1063" s="1">
        <v>562</v>
      </c>
      <c r="L1063" s="7">
        <v>49175</v>
      </c>
      <c r="M1063" s="1">
        <v>48</v>
      </c>
      <c r="N1063" s="6">
        <v>0.13449999999999998</v>
      </c>
      <c r="O1063" s="1" t="s">
        <v>41</v>
      </c>
      <c r="P1063" s="1" t="s">
        <v>50</v>
      </c>
      <c r="Q1063" s="1">
        <v>23</v>
      </c>
      <c r="R1063" s="1">
        <v>0</v>
      </c>
      <c r="S1063" s="1" t="s">
        <v>33</v>
      </c>
      <c r="T1063" s="1" t="s">
        <v>33</v>
      </c>
      <c r="U1063" s="1">
        <v>1</v>
      </c>
      <c r="V1063" s="1">
        <v>12839</v>
      </c>
      <c r="W1063" s="7">
        <v>1754.43</v>
      </c>
      <c r="X1063" s="1">
        <v>0.52</v>
      </c>
      <c r="Y1063" s="4">
        <v>45438</v>
      </c>
      <c r="Z1063" s="1" t="s">
        <v>32</v>
      </c>
      <c r="AA1063" s="1" t="s">
        <v>31</v>
      </c>
      <c r="AB1063" s="36" t="str" cm="1">
        <f t="array" ref="AB1063">_xlfn.IFS(K1063&gt;650,"LOW",K1063&gt;=550,"MEDIUM",K1063&lt;550,"HIGH")</f>
        <v>MEDIUM</v>
      </c>
    </row>
    <row r="1064" spans="3:28" x14ac:dyDescent="0.3">
      <c r="C1064" s="35" t="s">
        <v>3247</v>
      </c>
      <c r="D1064" s="1" t="s">
        <v>1268</v>
      </c>
      <c r="E1064" s="1">
        <v>55</v>
      </c>
      <c r="F1064" s="1" t="s">
        <v>44</v>
      </c>
      <c r="G1064" s="1" t="s">
        <v>27</v>
      </c>
      <c r="H1064" s="1" t="s">
        <v>36</v>
      </c>
      <c r="I1064" s="1" t="s">
        <v>29</v>
      </c>
      <c r="J1064" s="7">
        <v>51225</v>
      </c>
      <c r="K1064" s="1">
        <v>561</v>
      </c>
      <c r="L1064" s="7">
        <v>38651</v>
      </c>
      <c r="M1064" s="1">
        <v>60</v>
      </c>
      <c r="N1064" s="6">
        <v>7.6100000000000001E-2</v>
      </c>
      <c r="O1064" s="1" t="s">
        <v>52</v>
      </c>
      <c r="P1064" s="1" t="s">
        <v>47</v>
      </c>
      <c r="Q1064" s="1">
        <v>27</v>
      </c>
      <c r="R1064" s="1">
        <v>4</v>
      </c>
      <c r="S1064" s="1" t="s">
        <v>31</v>
      </c>
      <c r="T1064" s="1" t="s">
        <v>33</v>
      </c>
      <c r="U1064" s="1">
        <v>0</v>
      </c>
      <c r="V1064" s="1">
        <v>92214</v>
      </c>
      <c r="W1064" s="7">
        <v>1941.25</v>
      </c>
      <c r="X1064" s="1">
        <v>0.16</v>
      </c>
      <c r="Y1064" s="4">
        <v>45424</v>
      </c>
      <c r="Z1064" s="1" t="s">
        <v>32</v>
      </c>
      <c r="AA1064" s="1" t="s">
        <v>33</v>
      </c>
      <c r="AB1064" s="36" t="str" cm="1">
        <f t="array" ref="AB1064">_xlfn.IFS(K1064&gt;650,"LOW",K1064&gt;=550,"MEDIUM",K1064&lt;550,"HIGH")</f>
        <v>MEDIUM</v>
      </c>
    </row>
    <row r="1065" spans="3:28" x14ac:dyDescent="0.3">
      <c r="C1065" s="35" t="s">
        <v>3711</v>
      </c>
      <c r="D1065" s="1" t="s">
        <v>1721</v>
      </c>
      <c r="E1065" s="1">
        <v>27</v>
      </c>
      <c r="F1065" s="1" t="s">
        <v>44</v>
      </c>
      <c r="G1065" s="1" t="s">
        <v>35</v>
      </c>
      <c r="H1065" s="1" t="s">
        <v>54</v>
      </c>
      <c r="I1065" s="1" t="s">
        <v>59</v>
      </c>
      <c r="J1065" s="7">
        <v>112377</v>
      </c>
      <c r="K1065" s="1">
        <v>561</v>
      </c>
      <c r="L1065" s="7">
        <v>44481</v>
      </c>
      <c r="M1065" s="1">
        <v>60</v>
      </c>
      <c r="N1065" s="6">
        <v>9.0800000000000006E-2</v>
      </c>
      <c r="O1065" s="1" t="s">
        <v>41</v>
      </c>
      <c r="P1065" s="1" t="s">
        <v>47</v>
      </c>
      <c r="Q1065" s="1">
        <v>21</v>
      </c>
      <c r="R1065" s="1">
        <v>3</v>
      </c>
      <c r="S1065" s="1" t="s">
        <v>33</v>
      </c>
      <c r="T1065" s="1" t="s">
        <v>33</v>
      </c>
      <c r="U1065" s="1">
        <v>2</v>
      </c>
      <c r="V1065" s="1">
        <v>103820</v>
      </c>
      <c r="W1065" s="7">
        <v>258.17</v>
      </c>
      <c r="X1065" s="1">
        <v>0.32</v>
      </c>
      <c r="Y1065" s="4">
        <v>45599</v>
      </c>
      <c r="Z1065" s="1" t="s">
        <v>38</v>
      </c>
      <c r="AA1065" s="1" t="s">
        <v>33</v>
      </c>
      <c r="AB1065" s="36" t="str" cm="1">
        <f t="array" ref="AB1065">_xlfn.IFS(K1065&gt;650,"LOW",K1065&gt;=550,"MEDIUM",K1065&lt;550,"HIGH")</f>
        <v>MEDIUM</v>
      </c>
    </row>
    <row r="1066" spans="3:28" x14ac:dyDescent="0.3">
      <c r="C1066" s="35" t="s">
        <v>2783</v>
      </c>
      <c r="D1066" s="1" t="s">
        <v>811</v>
      </c>
      <c r="E1066" s="1">
        <v>37</v>
      </c>
      <c r="F1066" s="1" t="s">
        <v>26</v>
      </c>
      <c r="G1066" s="1" t="s">
        <v>35</v>
      </c>
      <c r="H1066" s="1" t="s">
        <v>54</v>
      </c>
      <c r="I1066" s="1" t="s">
        <v>29</v>
      </c>
      <c r="J1066" s="7">
        <v>109787</v>
      </c>
      <c r="K1066" s="1">
        <v>560</v>
      </c>
      <c r="L1066" s="7">
        <v>42241</v>
      </c>
      <c r="M1066" s="1">
        <v>36</v>
      </c>
      <c r="N1066" s="6">
        <v>0.19359999999999999</v>
      </c>
      <c r="O1066" s="1" t="s">
        <v>5</v>
      </c>
      <c r="P1066" s="1" t="s">
        <v>50</v>
      </c>
      <c r="Q1066" s="1">
        <v>18</v>
      </c>
      <c r="R1066" s="1">
        <v>0</v>
      </c>
      <c r="S1066" s="1" t="s">
        <v>33</v>
      </c>
      <c r="T1066" s="1" t="s">
        <v>31</v>
      </c>
      <c r="U1066" s="1">
        <v>1</v>
      </c>
      <c r="V1066" s="1">
        <v>106229</v>
      </c>
      <c r="W1066" s="7">
        <v>303.58999999999997</v>
      </c>
      <c r="X1066" s="1">
        <v>0.45</v>
      </c>
      <c r="Y1066" s="4">
        <v>44164</v>
      </c>
      <c r="Z1066" s="1" t="s">
        <v>32</v>
      </c>
      <c r="AA1066" s="1" t="s">
        <v>33</v>
      </c>
      <c r="AB1066" s="36" t="str" cm="1">
        <f t="array" ref="AB1066">_xlfn.IFS(K1066&gt;650,"LOW",K1066&gt;=550,"MEDIUM",K1066&lt;550,"HIGH")</f>
        <v>MEDIUM</v>
      </c>
    </row>
    <row r="1067" spans="3:28" x14ac:dyDescent="0.3">
      <c r="C1067" s="35" t="s">
        <v>3267</v>
      </c>
      <c r="D1067" s="1" t="s">
        <v>1290</v>
      </c>
      <c r="E1067" s="1">
        <v>24</v>
      </c>
      <c r="F1067" s="1" t="s">
        <v>44</v>
      </c>
      <c r="G1067" s="1" t="s">
        <v>27</v>
      </c>
      <c r="H1067" s="1" t="s">
        <v>54</v>
      </c>
      <c r="I1067" s="1" t="s">
        <v>59</v>
      </c>
      <c r="J1067" s="7">
        <v>33335</v>
      </c>
      <c r="K1067" s="1">
        <v>560</v>
      </c>
      <c r="L1067" s="7">
        <v>29391</v>
      </c>
      <c r="M1067" s="1">
        <v>12</v>
      </c>
      <c r="N1067" s="6">
        <v>9.8299999999999998E-2</v>
      </c>
      <c r="O1067" s="1" t="s">
        <v>5</v>
      </c>
      <c r="P1067" s="1" t="s">
        <v>30</v>
      </c>
      <c r="Q1067" s="1">
        <v>17</v>
      </c>
      <c r="R1067" s="1">
        <v>2</v>
      </c>
      <c r="S1067" s="1" t="s">
        <v>31</v>
      </c>
      <c r="T1067" s="1" t="s">
        <v>31</v>
      </c>
      <c r="U1067" s="1">
        <v>3</v>
      </c>
      <c r="V1067" s="1">
        <v>37697</v>
      </c>
      <c r="W1067" s="7">
        <v>1727.78</v>
      </c>
      <c r="X1067" s="1">
        <v>0.25</v>
      </c>
      <c r="Y1067" s="4">
        <v>45186</v>
      </c>
      <c r="Z1067" s="1" t="s">
        <v>38</v>
      </c>
      <c r="AA1067" s="1" t="s">
        <v>33</v>
      </c>
      <c r="AB1067" s="36" t="str" cm="1">
        <f t="array" ref="AB1067">_xlfn.IFS(K1067&gt;650,"LOW",K1067&gt;=550,"MEDIUM",K1067&lt;550,"HIGH")</f>
        <v>MEDIUM</v>
      </c>
    </row>
    <row r="1068" spans="3:28" x14ac:dyDescent="0.3">
      <c r="C1068" s="35" t="s">
        <v>2999</v>
      </c>
      <c r="D1068" s="1" t="s">
        <v>1026</v>
      </c>
      <c r="E1068" s="1">
        <v>62</v>
      </c>
      <c r="F1068" s="1" t="s">
        <v>26</v>
      </c>
      <c r="G1068" s="1" t="s">
        <v>35</v>
      </c>
      <c r="H1068" s="1" t="s">
        <v>54</v>
      </c>
      <c r="I1068" s="1" t="s">
        <v>59</v>
      </c>
      <c r="J1068" s="7">
        <v>39157</v>
      </c>
      <c r="K1068" s="1">
        <v>559</v>
      </c>
      <c r="L1068" s="7">
        <v>30158</v>
      </c>
      <c r="M1068" s="1">
        <v>48</v>
      </c>
      <c r="N1068" s="6">
        <v>9.9000000000000005E-2</v>
      </c>
      <c r="O1068" s="1" t="s">
        <v>52</v>
      </c>
      <c r="P1068" s="1" t="s">
        <v>50</v>
      </c>
      <c r="Q1068" s="1">
        <v>9</v>
      </c>
      <c r="R1068" s="1">
        <v>4</v>
      </c>
      <c r="S1068" s="1" t="s">
        <v>31</v>
      </c>
      <c r="T1068" s="1" t="s">
        <v>31</v>
      </c>
      <c r="U1068" s="1">
        <v>3</v>
      </c>
      <c r="V1068" s="1">
        <v>130311</v>
      </c>
      <c r="W1068" s="7">
        <v>1727.84</v>
      </c>
      <c r="X1068" s="1">
        <v>0.98</v>
      </c>
      <c r="Y1068" s="4">
        <v>45086</v>
      </c>
      <c r="Z1068" s="1" t="s">
        <v>32</v>
      </c>
      <c r="AA1068" s="1" t="s">
        <v>33</v>
      </c>
      <c r="AB1068" s="36" t="str" cm="1">
        <f t="array" ref="AB1068">_xlfn.IFS(K1068&gt;650,"LOW",K1068&gt;=550,"MEDIUM",K1068&lt;550,"HIGH")</f>
        <v>MEDIUM</v>
      </c>
    </row>
    <row r="1069" spans="3:28" x14ac:dyDescent="0.3">
      <c r="C1069" s="35" t="s">
        <v>3235</v>
      </c>
      <c r="D1069" s="1" t="s">
        <v>1259</v>
      </c>
      <c r="E1069" s="1">
        <v>22</v>
      </c>
      <c r="F1069" s="1" t="s">
        <v>26</v>
      </c>
      <c r="G1069" s="1" t="s">
        <v>27</v>
      </c>
      <c r="H1069" s="1" t="s">
        <v>36</v>
      </c>
      <c r="I1069" s="1" t="s">
        <v>59</v>
      </c>
      <c r="J1069" s="7">
        <v>109654</v>
      </c>
      <c r="K1069" s="1">
        <v>559</v>
      </c>
      <c r="L1069" s="7">
        <v>49386</v>
      </c>
      <c r="M1069" s="1">
        <v>48</v>
      </c>
      <c r="N1069" s="6">
        <v>0.17019999999999999</v>
      </c>
      <c r="O1069" s="1" t="s">
        <v>37</v>
      </c>
      <c r="P1069" s="1" t="s">
        <v>30</v>
      </c>
      <c r="Q1069" s="1">
        <v>16</v>
      </c>
      <c r="R1069" s="1">
        <v>2</v>
      </c>
      <c r="S1069" s="1" t="s">
        <v>31</v>
      </c>
      <c r="T1069" s="1" t="s">
        <v>33</v>
      </c>
      <c r="U1069" s="1">
        <v>3</v>
      </c>
      <c r="V1069" s="1">
        <v>23149</v>
      </c>
      <c r="W1069" s="7">
        <v>1502.84</v>
      </c>
      <c r="X1069" s="1">
        <v>0.42</v>
      </c>
      <c r="Y1069" s="4">
        <v>45717</v>
      </c>
      <c r="Z1069" s="1" t="s">
        <v>38</v>
      </c>
      <c r="AA1069" s="1" t="s">
        <v>33</v>
      </c>
      <c r="AB1069" s="36" t="str" cm="1">
        <f t="array" ref="AB1069">_xlfn.IFS(K1069&gt;650,"LOW",K1069&gt;=550,"MEDIUM",K1069&lt;550,"HIGH")</f>
        <v>MEDIUM</v>
      </c>
    </row>
    <row r="1070" spans="3:28" x14ac:dyDescent="0.3">
      <c r="C1070" s="35" t="s">
        <v>3393</v>
      </c>
      <c r="D1070" s="1" t="s">
        <v>1413</v>
      </c>
      <c r="E1070" s="1">
        <v>29</v>
      </c>
      <c r="F1070" s="1" t="s">
        <v>26</v>
      </c>
      <c r="G1070" s="1" t="s">
        <v>35</v>
      </c>
      <c r="H1070" s="1" t="s">
        <v>61</v>
      </c>
      <c r="I1070" s="1" t="s">
        <v>29</v>
      </c>
      <c r="J1070" s="7">
        <v>125566</v>
      </c>
      <c r="K1070" s="1">
        <v>559</v>
      </c>
      <c r="L1070" s="7">
        <v>22947</v>
      </c>
      <c r="M1070" s="1">
        <v>24</v>
      </c>
      <c r="N1070" s="6">
        <v>0.15049999999999999</v>
      </c>
      <c r="O1070" s="1" t="s">
        <v>5</v>
      </c>
      <c r="P1070" s="1" t="s">
        <v>50</v>
      </c>
      <c r="Q1070" s="1">
        <v>15</v>
      </c>
      <c r="R1070" s="1">
        <v>4</v>
      </c>
      <c r="S1070" s="1" t="s">
        <v>33</v>
      </c>
      <c r="T1070" s="1" t="s">
        <v>33</v>
      </c>
      <c r="U1070" s="1">
        <v>3</v>
      </c>
      <c r="V1070" s="1">
        <v>8324</v>
      </c>
      <c r="W1070" s="7">
        <v>754.77</v>
      </c>
      <c r="X1070" s="1">
        <v>0.18</v>
      </c>
      <c r="Y1070" s="4">
        <v>45071</v>
      </c>
      <c r="Z1070" s="1" t="s">
        <v>38</v>
      </c>
      <c r="AA1070" s="1" t="s">
        <v>33</v>
      </c>
      <c r="AB1070" s="36" t="str" cm="1">
        <f t="array" ref="AB1070">_xlfn.IFS(K1070&gt;650,"LOW",K1070&gt;=550,"MEDIUM",K1070&lt;550,"HIGH")</f>
        <v>MEDIUM</v>
      </c>
    </row>
    <row r="1071" spans="3:28" x14ac:dyDescent="0.3">
      <c r="C1071" s="35" t="s">
        <v>3956</v>
      </c>
      <c r="D1071" s="1" t="s">
        <v>1958</v>
      </c>
      <c r="E1071" s="1">
        <v>58</v>
      </c>
      <c r="F1071" s="1" t="s">
        <v>26</v>
      </c>
      <c r="G1071" s="1" t="s">
        <v>35</v>
      </c>
      <c r="H1071" s="1" t="s">
        <v>28</v>
      </c>
      <c r="I1071" s="1" t="s">
        <v>29</v>
      </c>
      <c r="J1071" s="7">
        <v>109299</v>
      </c>
      <c r="K1071" s="1">
        <v>559</v>
      </c>
      <c r="L1071" s="7">
        <v>6004</v>
      </c>
      <c r="M1071" s="1">
        <v>24</v>
      </c>
      <c r="N1071" s="6">
        <v>0.1525</v>
      </c>
      <c r="O1071" s="1" t="s">
        <v>37</v>
      </c>
      <c r="P1071" s="1" t="s">
        <v>47</v>
      </c>
      <c r="Q1071" s="1">
        <v>28</v>
      </c>
      <c r="R1071" s="1">
        <v>0</v>
      </c>
      <c r="S1071" s="1" t="s">
        <v>31</v>
      </c>
      <c r="T1071" s="1" t="s">
        <v>33</v>
      </c>
      <c r="U1071" s="1">
        <v>3</v>
      </c>
      <c r="V1071" s="1">
        <v>48091</v>
      </c>
      <c r="W1071" s="7">
        <v>269.58999999999997</v>
      </c>
      <c r="X1071" s="1">
        <v>0.66</v>
      </c>
      <c r="Y1071" s="4">
        <v>45552</v>
      </c>
      <c r="Z1071" s="1" t="s">
        <v>38</v>
      </c>
      <c r="AA1071" s="1" t="s">
        <v>33</v>
      </c>
      <c r="AB1071" s="36" t="str" cm="1">
        <f t="array" ref="AB1071">_xlfn.IFS(K1071&gt;650,"LOW",K1071&gt;=550,"MEDIUM",K1071&lt;550,"HIGH")</f>
        <v>MEDIUM</v>
      </c>
    </row>
    <row r="1072" spans="3:28" x14ac:dyDescent="0.3">
      <c r="C1072" s="35" t="s">
        <v>3286</v>
      </c>
      <c r="D1072" s="1" t="s">
        <v>1309</v>
      </c>
      <c r="E1072" s="1">
        <v>32</v>
      </c>
      <c r="F1072" s="1" t="s">
        <v>44</v>
      </c>
      <c r="G1072" s="1" t="s">
        <v>35</v>
      </c>
      <c r="H1072" s="1" t="s">
        <v>28</v>
      </c>
      <c r="I1072" s="1" t="s">
        <v>29</v>
      </c>
      <c r="J1072" s="7">
        <v>148181</v>
      </c>
      <c r="K1072" s="1">
        <v>558</v>
      </c>
      <c r="L1072" s="7">
        <v>26551</v>
      </c>
      <c r="M1072" s="1">
        <v>12</v>
      </c>
      <c r="N1072" s="6">
        <v>0.13739999999999999</v>
      </c>
      <c r="O1072" s="1" t="s">
        <v>5</v>
      </c>
      <c r="P1072" s="1" t="s">
        <v>30</v>
      </c>
      <c r="Q1072" s="1">
        <v>9</v>
      </c>
      <c r="R1072" s="1">
        <v>2</v>
      </c>
      <c r="S1072" s="1" t="s">
        <v>31</v>
      </c>
      <c r="T1072" s="1" t="s">
        <v>33</v>
      </c>
      <c r="U1072" s="1">
        <v>2</v>
      </c>
      <c r="V1072" s="1">
        <v>131356</v>
      </c>
      <c r="W1072" s="7">
        <v>946.42</v>
      </c>
      <c r="X1072" s="1">
        <v>0.32</v>
      </c>
      <c r="Y1072" s="4">
        <v>44202</v>
      </c>
      <c r="Z1072" s="1" t="s">
        <v>38</v>
      </c>
      <c r="AA1072" s="1" t="s">
        <v>33</v>
      </c>
      <c r="AB1072" s="36" t="str" cm="1">
        <f t="array" ref="AB1072">_xlfn.IFS(K1072&gt;650,"LOW",K1072&gt;=550,"MEDIUM",K1072&lt;550,"HIGH")</f>
        <v>MEDIUM</v>
      </c>
    </row>
    <row r="1073" spans="3:28" x14ac:dyDescent="0.3">
      <c r="C1073" s="35" t="s">
        <v>3580</v>
      </c>
      <c r="D1073" s="1" t="s">
        <v>1594</v>
      </c>
      <c r="E1073" s="1">
        <v>50</v>
      </c>
      <c r="F1073" s="1" t="s">
        <v>44</v>
      </c>
      <c r="G1073" s="1" t="s">
        <v>27</v>
      </c>
      <c r="H1073" s="1" t="s">
        <v>36</v>
      </c>
      <c r="I1073" s="1" t="s">
        <v>29</v>
      </c>
      <c r="J1073" s="7">
        <v>43290</v>
      </c>
      <c r="K1073" s="1">
        <v>558</v>
      </c>
      <c r="L1073" s="7">
        <v>6056</v>
      </c>
      <c r="M1073" s="1">
        <v>60</v>
      </c>
      <c r="N1073" s="6">
        <v>8.1000000000000003E-2</v>
      </c>
      <c r="O1073" s="1" t="s">
        <v>5</v>
      </c>
      <c r="P1073" s="1" t="s">
        <v>50</v>
      </c>
      <c r="Q1073" s="1">
        <v>28</v>
      </c>
      <c r="R1073" s="1">
        <v>2</v>
      </c>
      <c r="S1073" s="1" t="s">
        <v>31</v>
      </c>
      <c r="T1073" s="1" t="s">
        <v>33</v>
      </c>
      <c r="U1073" s="1">
        <v>4</v>
      </c>
      <c r="V1073" s="1">
        <v>139258</v>
      </c>
      <c r="W1073" s="7">
        <v>495.41</v>
      </c>
      <c r="X1073" s="1">
        <v>0.26</v>
      </c>
      <c r="Y1073" s="4">
        <v>44742</v>
      </c>
      <c r="Z1073" s="1" t="s">
        <v>38</v>
      </c>
      <c r="AA1073" s="1" t="s">
        <v>33</v>
      </c>
      <c r="AB1073" s="36" t="str" cm="1">
        <f t="array" ref="AB1073">_xlfn.IFS(K1073&gt;650,"LOW",K1073&gt;=550,"MEDIUM",K1073&lt;550,"HIGH")</f>
        <v>MEDIUM</v>
      </c>
    </row>
    <row r="1074" spans="3:28" x14ac:dyDescent="0.3">
      <c r="C1074" s="35" t="s">
        <v>3118</v>
      </c>
      <c r="D1074" s="1" t="s">
        <v>1143</v>
      </c>
      <c r="E1074" s="1">
        <v>46</v>
      </c>
      <c r="F1074" s="1" t="s">
        <v>44</v>
      </c>
      <c r="G1074" s="1" t="s">
        <v>45</v>
      </c>
      <c r="H1074" s="1" t="s">
        <v>28</v>
      </c>
      <c r="I1074" s="1" t="s">
        <v>59</v>
      </c>
      <c r="J1074" s="7">
        <v>114192</v>
      </c>
      <c r="K1074" s="1">
        <v>557</v>
      </c>
      <c r="L1074" s="7">
        <v>2469</v>
      </c>
      <c r="M1074" s="1">
        <v>24</v>
      </c>
      <c r="N1074" s="6">
        <v>0.1075</v>
      </c>
      <c r="O1074" s="1" t="s">
        <v>63</v>
      </c>
      <c r="P1074" s="1" t="s">
        <v>47</v>
      </c>
      <c r="Q1074" s="1">
        <v>7</v>
      </c>
      <c r="R1074" s="1">
        <v>4</v>
      </c>
      <c r="S1074" s="1" t="s">
        <v>33</v>
      </c>
      <c r="T1074" s="1" t="s">
        <v>33</v>
      </c>
      <c r="U1074" s="1">
        <v>0</v>
      </c>
      <c r="V1074" s="1">
        <v>84568</v>
      </c>
      <c r="W1074" s="7">
        <v>170.39</v>
      </c>
      <c r="X1074" s="1">
        <v>0.76</v>
      </c>
      <c r="Y1074" s="4">
        <v>44029</v>
      </c>
      <c r="Z1074" s="1" t="s">
        <v>38</v>
      </c>
      <c r="AA1074" s="1" t="s">
        <v>33</v>
      </c>
      <c r="AB1074" s="36" t="str" cm="1">
        <f t="array" ref="AB1074">_xlfn.IFS(K1074&gt;650,"LOW",K1074&gt;=550,"MEDIUM",K1074&lt;550,"HIGH")</f>
        <v>MEDIUM</v>
      </c>
    </row>
    <row r="1075" spans="3:28" x14ac:dyDescent="0.3">
      <c r="C1075" s="35" t="s">
        <v>3227</v>
      </c>
      <c r="D1075" s="1" t="s">
        <v>1251</v>
      </c>
      <c r="E1075" s="1">
        <v>49</v>
      </c>
      <c r="F1075" s="1" t="s">
        <v>26</v>
      </c>
      <c r="G1075" s="1" t="s">
        <v>35</v>
      </c>
      <c r="H1075" s="1" t="s">
        <v>54</v>
      </c>
      <c r="I1075" s="1" t="s">
        <v>57</v>
      </c>
      <c r="J1075" s="7">
        <v>24532</v>
      </c>
      <c r="K1075" s="1">
        <v>557</v>
      </c>
      <c r="L1075" s="7">
        <v>36595</v>
      </c>
      <c r="M1075" s="1">
        <v>60</v>
      </c>
      <c r="N1075" s="6">
        <v>0.1234</v>
      </c>
      <c r="O1075" s="1" t="s">
        <v>52</v>
      </c>
      <c r="P1075" s="1" t="s">
        <v>47</v>
      </c>
      <c r="Q1075" s="1">
        <v>11</v>
      </c>
      <c r="R1075" s="1">
        <v>4</v>
      </c>
      <c r="S1075" s="1" t="s">
        <v>31</v>
      </c>
      <c r="T1075" s="1" t="s">
        <v>31</v>
      </c>
      <c r="U1075" s="1">
        <v>0</v>
      </c>
      <c r="V1075" s="1">
        <v>6037</v>
      </c>
      <c r="W1075" s="7">
        <v>1335.46</v>
      </c>
      <c r="X1075" s="1">
        <v>0.9</v>
      </c>
      <c r="Y1075" s="4">
        <v>44988</v>
      </c>
      <c r="Z1075" s="1" t="s">
        <v>38</v>
      </c>
      <c r="AA1075" s="1" t="s">
        <v>31</v>
      </c>
      <c r="AB1075" s="36" t="str" cm="1">
        <f t="array" ref="AB1075">_xlfn.IFS(K1075&gt;650,"LOW",K1075&gt;=550,"MEDIUM",K1075&lt;550,"HIGH")</f>
        <v>MEDIUM</v>
      </c>
    </row>
    <row r="1076" spans="3:28" x14ac:dyDescent="0.3">
      <c r="C1076" s="35" t="s">
        <v>3750</v>
      </c>
      <c r="D1076" s="1" t="s">
        <v>1758</v>
      </c>
      <c r="E1076" s="1">
        <v>40</v>
      </c>
      <c r="F1076" s="1" t="s">
        <v>26</v>
      </c>
      <c r="G1076" s="1" t="s">
        <v>45</v>
      </c>
      <c r="H1076" s="1" t="s">
        <v>28</v>
      </c>
      <c r="I1076" s="1" t="s">
        <v>59</v>
      </c>
      <c r="J1076" s="7">
        <v>127369</v>
      </c>
      <c r="K1076" s="1">
        <v>557</v>
      </c>
      <c r="L1076" s="7">
        <v>35063</v>
      </c>
      <c r="M1076" s="1">
        <v>36</v>
      </c>
      <c r="N1076" s="6">
        <v>0.12189999999999999</v>
      </c>
      <c r="O1076" s="1" t="s">
        <v>63</v>
      </c>
      <c r="P1076" s="1" t="s">
        <v>50</v>
      </c>
      <c r="Q1076" s="1">
        <v>5</v>
      </c>
      <c r="R1076" s="1">
        <v>0</v>
      </c>
      <c r="S1076" s="1" t="s">
        <v>31</v>
      </c>
      <c r="T1076" s="1" t="s">
        <v>33</v>
      </c>
      <c r="U1076" s="1">
        <v>0</v>
      </c>
      <c r="V1076" s="1">
        <v>23161</v>
      </c>
      <c r="W1076" s="7">
        <v>1620.59</v>
      </c>
      <c r="X1076" s="1">
        <v>0.76</v>
      </c>
      <c r="Y1076" s="4">
        <v>44426</v>
      </c>
      <c r="Z1076" s="1" t="s">
        <v>32</v>
      </c>
      <c r="AA1076" s="1" t="s">
        <v>33</v>
      </c>
      <c r="AB1076" s="36" t="str" cm="1">
        <f t="array" ref="AB1076">_xlfn.IFS(K1076&gt;650,"LOW",K1076&gt;=550,"MEDIUM",K1076&lt;550,"HIGH")</f>
        <v>MEDIUM</v>
      </c>
    </row>
    <row r="1077" spans="3:28" x14ac:dyDescent="0.3">
      <c r="C1077" s="35" t="s">
        <v>2607</v>
      </c>
      <c r="D1077" s="1" t="s">
        <v>637</v>
      </c>
      <c r="E1077" s="1">
        <v>42</v>
      </c>
      <c r="F1077" s="1" t="s">
        <v>26</v>
      </c>
      <c r="G1077" s="1" t="s">
        <v>45</v>
      </c>
      <c r="H1077" s="1" t="s">
        <v>54</v>
      </c>
      <c r="I1077" s="1" t="s">
        <v>57</v>
      </c>
      <c r="J1077" s="7">
        <v>89468</v>
      </c>
      <c r="K1077" s="1">
        <v>556</v>
      </c>
      <c r="L1077" s="7">
        <v>35319</v>
      </c>
      <c r="M1077" s="1">
        <v>36</v>
      </c>
      <c r="N1077" s="6">
        <v>0.15190000000000001</v>
      </c>
      <c r="O1077" s="1" t="s">
        <v>41</v>
      </c>
      <c r="P1077" s="1" t="s">
        <v>30</v>
      </c>
      <c r="Q1077" s="1">
        <v>11</v>
      </c>
      <c r="R1077" s="1">
        <v>2</v>
      </c>
      <c r="S1077" s="1" t="s">
        <v>31</v>
      </c>
      <c r="T1077" s="1" t="s">
        <v>33</v>
      </c>
      <c r="U1077" s="1">
        <v>0</v>
      </c>
      <c r="V1077" s="1">
        <v>140469</v>
      </c>
      <c r="W1077" s="7">
        <v>1752.91</v>
      </c>
      <c r="X1077" s="1">
        <v>0.7</v>
      </c>
      <c r="Y1077" s="4">
        <v>44183</v>
      </c>
      <c r="Z1077" s="1" t="s">
        <v>32</v>
      </c>
      <c r="AA1077" s="1" t="s">
        <v>33</v>
      </c>
      <c r="AB1077" s="36" t="str" cm="1">
        <f t="array" ref="AB1077">_xlfn.IFS(K1077&gt;650,"LOW",K1077&gt;=550,"MEDIUM",K1077&lt;550,"HIGH")</f>
        <v>MEDIUM</v>
      </c>
    </row>
    <row r="1078" spans="3:28" x14ac:dyDescent="0.3">
      <c r="C1078" s="35" t="s">
        <v>2621</v>
      </c>
      <c r="D1078" s="1" t="s">
        <v>651</v>
      </c>
      <c r="E1078" s="1">
        <v>39</v>
      </c>
      <c r="F1078" s="1" t="s">
        <v>44</v>
      </c>
      <c r="G1078" s="1" t="s">
        <v>27</v>
      </c>
      <c r="H1078" s="1" t="s">
        <v>54</v>
      </c>
      <c r="I1078" s="1" t="s">
        <v>57</v>
      </c>
      <c r="J1078" s="7">
        <v>40541</v>
      </c>
      <c r="K1078" s="1">
        <v>556</v>
      </c>
      <c r="L1078" s="7">
        <v>41167</v>
      </c>
      <c r="M1078" s="1">
        <v>48</v>
      </c>
      <c r="N1078" s="6">
        <v>0.1144</v>
      </c>
      <c r="O1078" s="1" t="s">
        <v>41</v>
      </c>
      <c r="P1078" s="1" t="s">
        <v>47</v>
      </c>
      <c r="Q1078" s="1">
        <v>26</v>
      </c>
      <c r="R1078" s="1">
        <v>0</v>
      </c>
      <c r="S1078" s="1" t="s">
        <v>31</v>
      </c>
      <c r="T1078" s="1" t="s">
        <v>33</v>
      </c>
      <c r="U1078" s="1">
        <v>1</v>
      </c>
      <c r="V1078" s="1">
        <v>89418</v>
      </c>
      <c r="W1078" s="7">
        <v>263.02999999999997</v>
      </c>
      <c r="X1078" s="1">
        <v>0.3</v>
      </c>
      <c r="Y1078" s="4">
        <v>44881</v>
      </c>
      <c r="Z1078" s="1" t="s">
        <v>32</v>
      </c>
      <c r="AA1078" s="1" t="s">
        <v>31</v>
      </c>
      <c r="AB1078" s="36" t="str" cm="1">
        <f t="array" ref="AB1078">_xlfn.IFS(K1078&gt;650,"LOW",K1078&gt;=550,"MEDIUM",K1078&lt;550,"HIGH")</f>
        <v>MEDIUM</v>
      </c>
    </row>
    <row r="1079" spans="3:28" x14ac:dyDescent="0.3">
      <c r="C1079" s="35" t="s">
        <v>2770</v>
      </c>
      <c r="D1079" s="1" t="s">
        <v>798</v>
      </c>
      <c r="E1079" s="1">
        <v>58</v>
      </c>
      <c r="F1079" s="1" t="s">
        <v>26</v>
      </c>
      <c r="G1079" s="1" t="s">
        <v>35</v>
      </c>
      <c r="H1079" s="1" t="s">
        <v>54</v>
      </c>
      <c r="I1079" s="1" t="s">
        <v>29</v>
      </c>
      <c r="J1079" s="7">
        <v>76022</v>
      </c>
      <c r="K1079" s="1">
        <v>556</v>
      </c>
      <c r="L1079" s="7">
        <v>9120</v>
      </c>
      <c r="M1079" s="1">
        <v>12</v>
      </c>
      <c r="N1079" s="6">
        <v>0.18179999999999999</v>
      </c>
      <c r="O1079" s="1" t="s">
        <v>52</v>
      </c>
      <c r="P1079" s="1" t="s">
        <v>50</v>
      </c>
      <c r="Q1079" s="1">
        <v>25</v>
      </c>
      <c r="R1079" s="1">
        <v>0</v>
      </c>
      <c r="S1079" s="1" t="s">
        <v>31</v>
      </c>
      <c r="T1079" s="1" t="s">
        <v>33</v>
      </c>
      <c r="U1079" s="1">
        <v>1</v>
      </c>
      <c r="V1079" s="1">
        <v>166375</v>
      </c>
      <c r="W1079" s="7">
        <v>380.47</v>
      </c>
      <c r="X1079" s="1">
        <v>0.28000000000000003</v>
      </c>
      <c r="Y1079" s="4">
        <v>45839</v>
      </c>
      <c r="Z1079" s="1" t="s">
        <v>32</v>
      </c>
      <c r="AA1079" s="1" t="s">
        <v>33</v>
      </c>
      <c r="AB1079" s="36" t="str" cm="1">
        <f t="array" ref="AB1079">_xlfn.IFS(K1079&gt;650,"LOW",K1079&gt;=550,"MEDIUM",K1079&lt;550,"HIGH")</f>
        <v>MEDIUM</v>
      </c>
    </row>
    <row r="1080" spans="3:28" x14ac:dyDescent="0.3">
      <c r="C1080" s="35" t="s">
        <v>2852</v>
      </c>
      <c r="D1080" s="1" t="s">
        <v>880</v>
      </c>
      <c r="E1080" s="1">
        <v>43</v>
      </c>
      <c r="F1080" s="1" t="s">
        <v>44</v>
      </c>
      <c r="G1080" s="1" t="s">
        <v>27</v>
      </c>
      <c r="H1080" s="1" t="s">
        <v>61</v>
      </c>
      <c r="I1080" s="1" t="s">
        <v>40</v>
      </c>
      <c r="J1080" s="7">
        <v>123173</v>
      </c>
      <c r="K1080" s="1">
        <v>556</v>
      </c>
      <c r="L1080" s="7">
        <v>36670</v>
      </c>
      <c r="M1080" s="1">
        <v>36</v>
      </c>
      <c r="N1080" s="6">
        <v>6.9199999999999998E-2</v>
      </c>
      <c r="O1080" s="1" t="s">
        <v>41</v>
      </c>
      <c r="P1080" s="1" t="s">
        <v>50</v>
      </c>
      <c r="Q1080" s="1">
        <v>19</v>
      </c>
      <c r="R1080" s="1">
        <v>3</v>
      </c>
      <c r="S1080" s="1" t="s">
        <v>31</v>
      </c>
      <c r="T1080" s="1" t="s">
        <v>33</v>
      </c>
      <c r="U1080" s="1">
        <v>0</v>
      </c>
      <c r="V1080" s="1">
        <v>195578</v>
      </c>
      <c r="W1080" s="7">
        <v>1176.81</v>
      </c>
      <c r="X1080" s="1">
        <v>0.34</v>
      </c>
      <c r="Y1080" s="4">
        <v>45388</v>
      </c>
      <c r="Z1080" s="1" t="s">
        <v>32</v>
      </c>
      <c r="AA1080" s="1" t="s">
        <v>33</v>
      </c>
      <c r="AB1080" s="36" t="str" cm="1">
        <f t="array" ref="AB1080">_xlfn.IFS(K1080&gt;650,"LOW",K1080&gt;=550,"MEDIUM",K1080&lt;550,"HIGH")</f>
        <v>MEDIUM</v>
      </c>
    </row>
    <row r="1081" spans="3:28" x14ac:dyDescent="0.3">
      <c r="C1081" s="35" t="s">
        <v>2871</v>
      </c>
      <c r="D1081" s="1" t="s">
        <v>899</v>
      </c>
      <c r="E1081" s="1">
        <v>40</v>
      </c>
      <c r="F1081" s="1" t="s">
        <v>44</v>
      </c>
      <c r="G1081" s="1" t="s">
        <v>45</v>
      </c>
      <c r="H1081" s="1" t="s">
        <v>61</v>
      </c>
      <c r="I1081" s="1" t="s">
        <v>40</v>
      </c>
      <c r="J1081" s="7">
        <v>138454</v>
      </c>
      <c r="K1081" s="1">
        <v>556</v>
      </c>
      <c r="L1081" s="7">
        <v>3368</v>
      </c>
      <c r="M1081" s="1">
        <v>24</v>
      </c>
      <c r="N1081" s="6">
        <v>5.4900000000000004E-2</v>
      </c>
      <c r="O1081" s="1" t="s">
        <v>41</v>
      </c>
      <c r="P1081" s="1" t="s">
        <v>47</v>
      </c>
      <c r="Q1081" s="1">
        <v>9</v>
      </c>
      <c r="R1081" s="1">
        <v>2</v>
      </c>
      <c r="S1081" s="1" t="s">
        <v>33</v>
      </c>
      <c r="T1081" s="1" t="s">
        <v>31</v>
      </c>
      <c r="U1081" s="1">
        <v>2</v>
      </c>
      <c r="V1081" s="1">
        <v>157788</v>
      </c>
      <c r="W1081" s="7">
        <v>1207.22</v>
      </c>
      <c r="X1081" s="1">
        <v>0.31</v>
      </c>
      <c r="Y1081" s="4">
        <v>44751</v>
      </c>
      <c r="Z1081" s="1" t="s">
        <v>32</v>
      </c>
      <c r="AA1081" s="1" t="s">
        <v>33</v>
      </c>
      <c r="AB1081" s="36" t="str" cm="1">
        <f t="array" ref="AB1081">_xlfn.IFS(K1081&gt;650,"LOW",K1081&gt;=550,"MEDIUM",K1081&lt;550,"HIGH")</f>
        <v>MEDIUM</v>
      </c>
    </row>
    <row r="1082" spans="3:28" x14ac:dyDescent="0.3">
      <c r="C1082" s="35" t="s">
        <v>2986</v>
      </c>
      <c r="D1082" s="1" t="s">
        <v>1014</v>
      </c>
      <c r="E1082" s="1">
        <v>61</v>
      </c>
      <c r="F1082" s="1" t="s">
        <v>44</v>
      </c>
      <c r="G1082" s="1" t="s">
        <v>45</v>
      </c>
      <c r="H1082" s="1" t="s">
        <v>36</v>
      </c>
      <c r="I1082" s="1" t="s">
        <v>29</v>
      </c>
      <c r="J1082" s="7">
        <v>86576</v>
      </c>
      <c r="K1082" s="1">
        <v>556</v>
      </c>
      <c r="L1082" s="7">
        <v>14942</v>
      </c>
      <c r="M1082" s="1">
        <v>48</v>
      </c>
      <c r="N1082" s="6">
        <v>0.18739999999999998</v>
      </c>
      <c r="O1082" s="1" t="s">
        <v>5</v>
      </c>
      <c r="P1082" s="1" t="s">
        <v>50</v>
      </c>
      <c r="Q1082" s="1">
        <v>24</v>
      </c>
      <c r="R1082" s="1">
        <v>1</v>
      </c>
      <c r="S1082" s="1" t="s">
        <v>33</v>
      </c>
      <c r="T1082" s="1" t="s">
        <v>33</v>
      </c>
      <c r="U1082" s="1">
        <v>4</v>
      </c>
      <c r="V1082" s="1">
        <v>159849</v>
      </c>
      <c r="W1082" s="7">
        <v>977.75</v>
      </c>
      <c r="X1082" s="1">
        <v>0.4</v>
      </c>
      <c r="Y1082" s="4">
        <v>44196</v>
      </c>
      <c r="Z1082" s="1" t="s">
        <v>32</v>
      </c>
      <c r="AA1082" s="1" t="s">
        <v>33</v>
      </c>
      <c r="AB1082" s="36" t="str" cm="1">
        <f t="array" ref="AB1082">_xlfn.IFS(K1082&gt;650,"LOW",K1082&gt;=550,"MEDIUM",K1082&lt;550,"HIGH")</f>
        <v>MEDIUM</v>
      </c>
    </row>
    <row r="1083" spans="3:28" x14ac:dyDescent="0.3">
      <c r="C1083" s="35" t="s">
        <v>3317</v>
      </c>
      <c r="D1083" s="1" t="s">
        <v>1340</v>
      </c>
      <c r="E1083" s="1">
        <v>55</v>
      </c>
      <c r="F1083" s="1" t="s">
        <v>44</v>
      </c>
      <c r="G1083" s="1" t="s">
        <v>45</v>
      </c>
      <c r="H1083" s="1" t="s">
        <v>28</v>
      </c>
      <c r="I1083" s="1" t="s">
        <v>29</v>
      </c>
      <c r="J1083" s="7">
        <v>121505</v>
      </c>
      <c r="K1083" s="1">
        <v>556</v>
      </c>
      <c r="L1083" s="7">
        <v>22507</v>
      </c>
      <c r="M1083" s="1">
        <v>24</v>
      </c>
      <c r="N1083" s="6">
        <v>6.9199999999999998E-2</v>
      </c>
      <c r="O1083" s="1" t="s">
        <v>5</v>
      </c>
      <c r="P1083" s="1" t="s">
        <v>30</v>
      </c>
      <c r="Q1083" s="1">
        <v>28</v>
      </c>
      <c r="R1083" s="1">
        <v>1</v>
      </c>
      <c r="S1083" s="1" t="s">
        <v>33</v>
      </c>
      <c r="T1083" s="1" t="s">
        <v>33</v>
      </c>
      <c r="U1083" s="1">
        <v>1</v>
      </c>
      <c r="V1083" s="1">
        <v>78702</v>
      </c>
      <c r="W1083" s="7">
        <v>1675.25</v>
      </c>
      <c r="X1083" s="1">
        <v>0.98</v>
      </c>
      <c r="Y1083" s="4">
        <v>44954</v>
      </c>
      <c r="Z1083" s="1" t="s">
        <v>32</v>
      </c>
      <c r="AA1083" s="1" t="s">
        <v>33</v>
      </c>
      <c r="AB1083" s="36" t="str" cm="1">
        <f t="array" ref="AB1083">_xlfn.IFS(K1083&gt;650,"LOW",K1083&gt;=550,"MEDIUM",K1083&lt;550,"HIGH")</f>
        <v>MEDIUM</v>
      </c>
    </row>
    <row r="1084" spans="3:28" x14ac:dyDescent="0.3">
      <c r="C1084" s="35" t="s">
        <v>3924</v>
      </c>
      <c r="D1084" s="1" t="s">
        <v>1928</v>
      </c>
      <c r="E1084" s="1">
        <v>48</v>
      </c>
      <c r="F1084" s="1" t="s">
        <v>44</v>
      </c>
      <c r="G1084" s="1" t="s">
        <v>27</v>
      </c>
      <c r="H1084" s="1" t="s">
        <v>61</v>
      </c>
      <c r="I1084" s="1" t="s">
        <v>29</v>
      </c>
      <c r="J1084" s="7">
        <v>88371</v>
      </c>
      <c r="K1084" s="1">
        <v>556</v>
      </c>
      <c r="L1084" s="7">
        <v>44732</v>
      </c>
      <c r="M1084" s="1">
        <v>24</v>
      </c>
      <c r="N1084" s="6">
        <v>0.13470000000000001</v>
      </c>
      <c r="O1084" s="1" t="s">
        <v>52</v>
      </c>
      <c r="P1084" s="1" t="s">
        <v>47</v>
      </c>
      <c r="Q1084" s="1">
        <v>6</v>
      </c>
      <c r="R1084" s="1">
        <v>4</v>
      </c>
      <c r="S1084" s="1" t="s">
        <v>33</v>
      </c>
      <c r="T1084" s="1" t="s">
        <v>33</v>
      </c>
      <c r="U1084" s="1">
        <v>0</v>
      </c>
      <c r="V1084" s="1">
        <v>38009</v>
      </c>
      <c r="W1084" s="7">
        <v>602.29</v>
      </c>
      <c r="X1084" s="1">
        <v>0.84</v>
      </c>
      <c r="Y1084" s="4">
        <v>45400</v>
      </c>
      <c r="Z1084" s="1" t="s">
        <v>32</v>
      </c>
      <c r="AA1084" s="1" t="s">
        <v>33</v>
      </c>
      <c r="AB1084" s="36" t="str" cm="1">
        <f t="array" ref="AB1084">_xlfn.IFS(K1084&gt;650,"LOW",K1084&gt;=550,"MEDIUM",K1084&lt;550,"HIGH")</f>
        <v>MEDIUM</v>
      </c>
    </row>
    <row r="1085" spans="3:28" x14ac:dyDescent="0.3">
      <c r="C1085" s="35" t="s">
        <v>3444</v>
      </c>
      <c r="D1085" s="1" t="s">
        <v>1462</v>
      </c>
      <c r="E1085" s="1">
        <v>49</v>
      </c>
      <c r="F1085" s="1" t="s">
        <v>26</v>
      </c>
      <c r="G1085" s="1" t="s">
        <v>35</v>
      </c>
      <c r="H1085" s="1" t="s">
        <v>54</v>
      </c>
      <c r="I1085" s="1" t="s">
        <v>57</v>
      </c>
      <c r="J1085" s="7">
        <v>73915</v>
      </c>
      <c r="K1085" s="1">
        <v>555</v>
      </c>
      <c r="L1085" s="7">
        <v>36725</v>
      </c>
      <c r="M1085" s="1">
        <v>36</v>
      </c>
      <c r="N1085" s="6">
        <v>6.6299999999999998E-2</v>
      </c>
      <c r="O1085" s="1" t="s">
        <v>41</v>
      </c>
      <c r="P1085" s="1" t="s">
        <v>47</v>
      </c>
      <c r="Q1085" s="1">
        <v>6</v>
      </c>
      <c r="R1085" s="1">
        <v>1</v>
      </c>
      <c r="S1085" s="1" t="s">
        <v>31</v>
      </c>
      <c r="T1085" s="1" t="s">
        <v>31</v>
      </c>
      <c r="U1085" s="1">
        <v>0</v>
      </c>
      <c r="V1085" s="1">
        <v>21433</v>
      </c>
      <c r="W1085" s="7">
        <v>479.53</v>
      </c>
      <c r="X1085" s="1">
        <v>0.55000000000000004</v>
      </c>
      <c r="Y1085" s="4">
        <v>45351</v>
      </c>
      <c r="Z1085" s="1" t="s">
        <v>38</v>
      </c>
      <c r="AA1085" s="1" t="s">
        <v>31</v>
      </c>
      <c r="AB1085" s="36" t="str" cm="1">
        <f t="array" ref="AB1085">_xlfn.IFS(K1085&gt;650,"LOW",K1085&gt;=550,"MEDIUM",K1085&lt;550,"HIGH")</f>
        <v>MEDIUM</v>
      </c>
    </row>
    <row r="1086" spans="3:28" x14ac:dyDescent="0.3">
      <c r="C1086" s="35" t="s">
        <v>3862</v>
      </c>
      <c r="D1086" s="1" t="s">
        <v>1868</v>
      </c>
      <c r="E1086" s="1">
        <v>53</v>
      </c>
      <c r="F1086" s="1" t="s">
        <v>26</v>
      </c>
      <c r="G1086" s="1" t="s">
        <v>35</v>
      </c>
      <c r="H1086" s="1" t="s">
        <v>28</v>
      </c>
      <c r="I1086" s="1" t="s">
        <v>59</v>
      </c>
      <c r="J1086" s="7">
        <v>130494</v>
      </c>
      <c r="K1086" s="1">
        <v>555</v>
      </c>
      <c r="L1086" s="7">
        <v>17292</v>
      </c>
      <c r="M1086" s="1">
        <v>60</v>
      </c>
      <c r="N1086" s="6">
        <v>9.1600000000000001E-2</v>
      </c>
      <c r="O1086" s="1" t="s">
        <v>46</v>
      </c>
      <c r="P1086" s="1" t="s">
        <v>47</v>
      </c>
      <c r="Q1086" s="1">
        <v>3</v>
      </c>
      <c r="R1086" s="1">
        <v>2</v>
      </c>
      <c r="S1086" s="1" t="s">
        <v>31</v>
      </c>
      <c r="T1086" s="1" t="s">
        <v>31</v>
      </c>
      <c r="U1086" s="1">
        <v>1</v>
      </c>
      <c r="V1086" s="1">
        <v>158159</v>
      </c>
      <c r="W1086" s="7">
        <v>475.71</v>
      </c>
      <c r="X1086" s="1">
        <v>0.83</v>
      </c>
      <c r="Y1086" s="4">
        <v>45656</v>
      </c>
      <c r="Z1086" s="1" t="s">
        <v>32</v>
      </c>
      <c r="AA1086" s="1" t="s">
        <v>33</v>
      </c>
      <c r="AB1086" s="36" t="str" cm="1">
        <f t="array" ref="AB1086">_xlfn.IFS(K1086&gt;650,"LOW",K1086&gt;=550,"MEDIUM",K1086&lt;550,"HIGH")</f>
        <v>MEDIUM</v>
      </c>
    </row>
    <row r="1087" spans="3:28" x14ac:dyDescent="0.3">
      <c r="C1087" s="35" t="s">
        <v>3973</v>
      </c>
      <c r="D1087" s="1" t="s">
        <v>1973</v>
      </c>
      <c r="E1087" s="1">
        <v>63</v>
      </c>
      <c r="F1087" s="1" t="s">
        <v>26</v>
      </c>
      <c r="G1087" s="1" t="s">
        <v>35</v>
      </c>
      <c r="H1087" s="1" t="s">
        <v>36</v>
      </c>
      <c r="I1087" s="1" t="s">
        <v>40</v>
      </c>
      <c r="J1087" s="7">
        <v>122842</v>
      </c>
      <c r="K1087" s="1">
        <v>555</v>
      </c>
      <c r="L1087" s="7">
        <v>10815</v>
      </c>
      <c r="M1087" s="1">
        <v>12</v>
      </c>
      <c r="N1087" s="6">
        <v>0.1671</v>
      </c>
      <c r="O1087" s="1" t="s">
        <v>5</v>
      </c>
      <c r="P1087" s="1" t="s">
        <v>30</v>
      </c>
      <c r="Q1087" s="1">
        <v>2</v>
      </c>
      <c r="R1087" s="1">
        <v>2</v>
      </c>
      <c r="S1087" s="1" t="s">
        <v>33</v>
      </c>
      <c r="T1087" s="1" t="s">
        <v>33</v>
      </c>
      <c r="U1087" s="1">
        <v>3</v>
      </c>
      <c r="V1087" s="1">
        <v>56898</v>
      </c>
      <c r="W1087" s="7">
        <v>1268.8599999999999</v>
      </c>
      <c r="X1087" s="1">
        <v>0.7</v>
      </c>
      <c r="Y1087" s="4">
        <v>44450</v>
      </c>
      <c r="Z1087" s="1" t="s">
        <v>32</v>
      </c>
      <c r="AA1087" s="1" t="s">
        <v>33</v>
      </c>
      <c r="AB1087" s="36" t="str" cm="1">
        <f t="array" ref="AB1087">_xlfn.IFS(K1087&gt;650,"LOW",K1087&gt;=550,"MEDIUM",K1087&lt;550,"HIGH")</f>
        <v>MEDIUM</v>
      </c>
    </row>
    <row r="1088" spans="3:28" x14ac:dyDescent="0.3">
      <c r="C1088" s="35" t="s">
        <v>2519</v>
      </c>
      <c r="D1088" s="1" t="s">
        <v>549</v>
      </c>
      <c r="E1088" s="1">
        <v>61</v>
      </c>
      <c r="F1088" s="1" t="s">
        <v>26</v>
      </c>
      <c r="G1088" s="1" t="s">
        <v>45</v>
      </c>
      <c r="H1088" s="1" t="s">
        <v>54</v>
      </c>
      <c r="I1088" s="1" t="s">
        <v>59</v>
      </c>
      <c r="J1088" s="7">
        <v>93169</v>
      </c>
      <c r="K1088" s="1">
        <v>554</v>
      </c>
      <c r="L1088" s="7">
        <v>4259</v>
      </c>
      <c r="M1088" s="1">
        <v>36</v>
      </c>
      <c r="N1088" s="6">
        <v>0.1207</v>
      </c>
      <c r="O1088" s="1" t="s">
        <v>37</v>
      </c>
      <c r="P1088" s="1" t="s">
        <v>47</v>
      </c>
      <c r="Q1088" s="1">
        <v>12</v>
      </c>
      <c r="R1088" s="1">
        <v>4</v>
      </c>
      <c r="S1088" s="1" t="s">
        <v>31</v>
      </c>
      <c r="T1088" s="1" t="s">
        <v>31</v>
      </c>
      <c r="U1088" s="1">
        <v>0</v>
      </c>
      <c r="V1088" s="1">
        <v>67145</v>
      </c>
      <c r="W1088" s="7">
        <v>1936.46</v>
      </c>
      <c r="X1088" s="1">
        <v>0.47</v>
      </c>
      <c r="Y1088" s="4">
        <v>45235</v>
      </c>
      <c r="Z1088" s="1" t="s">
        <v>38</v>
      </c>
      <c r="AA1088" s="1" t="s">
        <v>33</v>
      </c>
      <c r="AB1088" s="36" t="str" cm="1">
        <f t="array" ref="AB1088">_xlfn.IFS(K1088&gt;650,"LOW",K1088&gt;=550,"MEDIUM",K1088&lt;550,"HIGH")</f>
        <v>MEDIUM</v>
      </c>
    </row>
    <row r="1089" spans="3:28" x14ac:dyDescent="0.3">
      <c r="C1089" s="35" t="s">
        <v>3347</v>
      </c>
      <c r="D1089" s="1" t="s">
        <v>1369</v>
      </c>
      <c r="E1089" s="1">
        <v>57</v>
      </c>
      <c r="F1089" s="1" t="s">
        <v>44</v>
      </c>
      <c r="G1089" s="1" t="s">
        <v>56</v>
      </c>
      <c r="H1089" s="1" t="s">
        <v>36</v>
      </c>
      <c r="I1089" s="1" t="s">
        <v>59</v>
      </c>
      <c r="J1089" s="7">
        <v>98218</v>
      </c>
      <c r="K1089" s="1">
        <v>554</v>
      </c>
      <c r="L1089" s="7">
        <v>44270</v>
      </c>
      <c r="M1089" s="1">
        <v>60</v>
      </c>
      <c r="N1089" s="6">
        <v>9.7500000000000003E-2</v>
      </c>
      <c r="O1089" s="1" t="s">
        <v>41</v>
      </c>
      <c r="P1089" s="1" t="s">
        <v>50</v>
      </c>
      <c r="Q1089" s="1">
        <v>28</v>
      </c>
      <c r="R1089" s="1">
        <v>3</v>
      </c>
      <c r="S1089" s="1" t="s">
        <v>31</v>
      </c>
      <c r="T1089" s="1" t="s">
        <v>33</v>
      </c>
      <c r="U1089" s="1">
        <v>1</v>
      </c>
      <c r="V1089" s="1">
        <v>99199</v>
      </c>
      <c r="W1089" s="7">
        <v>1579.11</v>
      </c>
      <c r="X1089" s="1">
        <v>0.26</v>
      </c>
      <c r="Y1089" s="4">
        <v>44568</v>
      </c>
      <c r="Z1089" s="1" t="s">
        <v>38</v>
      </c>
      <c r="AA1089" s="1" t="s">
        <v>33</v>
      </c>
      <c r="AB1089" s="36" t="str" cm="1">
        <f t="array" ref="AB1089">_xlfn.IFS(K1089&gt;650,"LOW",K1089&gt;=550,"MEDIUM",K1089&lt;550,"HIGH")</f>
        <v>MEDIUM</v>
      </c>
    </row>
    <row r="1090" spans="3:28" x14ac:dyDescent="0.3">
      <c r="C1090" s="35" t="s">
        <v>3563</v>
      </c>
      <c r="D1090" s="1" t="s">
        <v>1580</v>
      </c>
      <c r="E1090" s="1">
        <v>61</v>
      </c>
      <c r="F1090" s="1" t="s">
        <v>26</v>
      </c>
      <c r="G1090" s="1" t="s">
        <v>56</v>
      </c>
      <c r="H1090" s="1" t="s">
        <v>36</v>
      </c>
      <c r="I1090" s="1" t="s">
        <v>59</v>
      </c>
      <c r="J1090" s="7">
        <v>57792</v>
      </c>
      <c r="K1090" s="1">
        <v>554</v>
      </c>
      <c r="L1090" s="7">
        <v>45835</v>
      </c>
      <c r="M1090" s="1">
        <v>12</v>
      </c>
      <c r="N1090" s="6">
        <v>5.1799999999999999E-2</v>
      </c>
      <c r="O1090" s="1" t="s">
        <v>46</v>
      </c>
      <c r="P1090" s="1" t="s">
        <v>30</v>
      </c>
      <c r="Q1090" s="1">
        <v>27</v>
      </c>
      <c r="R1090" s="1">
        <v>1</v>
      </c>
      <c r="S1090" s="1" t="s">
        <v>31</v>
      </c>
      <c r="T1090" s="1" t="s">
        <v>33</v>
      </c>
      <c r="U1090" s="1">
        <v>1</v>
      </c>
      <c r="V1090" s="1">
        <v>172992</v>
      </c>
      <c r="W1090" s="7">
        <v>463.38</v>
      </c>
      <c r="X1090" s="1">
        <v>0.51</v>
      </c>
      <c r="Y1090" s="4">
        <v>44134</v>
      </c>
      <c r="Z1090" s="1" t="s">
        <v>38</v>
      </c>
      <c r="AA1090" s="1" t="s">
        <v>31</v>
      </c>
      <c r="AB1090" s="36" t="str" cm="1">
        <f t="array" ref="AB1090">_xlfn.IFS(K1090&gt;650,"LOW",K1090&gt;=550,"MEDIUM",K1090&lt;550,"HIGH")</f>
        <v>MEDIUM</v>
      </c>
    </row>
    <row r="1091" spans="3:28" x14ac:dyDescent="0.3">
      <c r="C1091" s="35" t="s">
        <v>3911</v>
      </c>
      <c r="D1091" s="1" t="s">
        <v>1915</v>
      </c>
      <c r="E1091" s="1">
        <v>40</v>
      </c>
      <c r="F1091" s="1" t="s">
        <v>44</v>
      </c>
      <c r="G1091" s="1" t="s">
        <v>35</v>
      </c>
      <c r="H1091" s="1" t="s">
        <v>61</v>
      </c>
      <c r="I1091" s="1" t="s">
        <v>29</v>
      </c>
      <c r="J1091" s="7">
        <v>128435</v>
      </c>
      <c r="K1091" s="1">
        <v>554</v>
      </c>
      <c r="L1091" s="7">
        <v>38890</v>
      </c>
      <c r="M1091" s="1">
        <v>24</v>
      </c>
      <c r="N1091" s="6">
        <v>0.17749999999999999</v>
      </c>
      <c r="O1091" s="1" t="s">
        <v>5</v>
      </c>
      <c r="P1091" s="1" t="s">
        <v>30</v>
      </c>
      <c r="Q1091" s="1">
        <v>10</v>
      </c>
      <c r="R1091" s="1">
        <v>3</v>
      </c>
      <c r="S1091" s="1" t="s">
        <v>33</v>
      </c>
      <c r="T1091" s="1" t="s">
        <v>33</v>
      </c>
      <c r="U1091" s="1">
        <v>0</v>
      </c>
      <c r="V1091" s="1">
        <v>193514</v>
      </c>
      <c r="W1091" s="7">
        <v>605.61</v>
      </c>
      <c r="X1091" s="1">
        <v>0.49</v>
      </c>
      <c r="Y1091" s="4">
        <v>45153</v>
      </c>
      <c r="Z1091" s="1" t="s">
        <v>38</v>
      </c>
      <c r="AA1091" s="1" t="s">
        <v>33</v>
      </c>
      <c r="AB1091" s="36" t="str" cm="1">
        <f t="array" ref="AB1091">_xlfn.IFS(K1091&gt;650,"LOW",K1091&gt;=550,"MEDIUM",K1091&lt;550,"HIGH")</f>
        <v>MEDIUM</v>
      </c>
    </row>
    <row r="1092" spans="3:28" x14ac:dyDescent="0.3">
      <c r="C1092" s="35" t="s">
        <v>3240</v>
      </c>
      <c r="D1092" s="1" t="s">
        <v>1264</v>
      </c>
      <c r="E1092" s="1">
        <v>25</v>
      </c>
      <c r="F1092" s="1" t="s">
        <v>44</v>
      </c>
      <c r="G1092" s="1" t="s">
        <v>27</v>
      </c>
      <c r="H1092" s="1" t="s">
        <v>61</v>
      </c>
      <c r="I1092" s="1" t="s">
        <v>29</v>
      </c>
      <c r="J1092" s="7">
        <v>112385</v>
      </c>
      <c r="K1092" s="1">
        <v>553</v>
      </c>
      <c r="L1092" s="7">
        <v>45207</v>
      </c>
      <c r="M1092" s="1">
        <v>24</v>
      </c>
      <c r="N1092" s="6">
        <v>6.9000000000000006E-2</v>
      </c>
      <c r="O1092" s="1" t="s">
        <v>63</v>
      </c>
      <c r="P1092" s="1" t="s">
        <v>30</v>
      </c>
      <c r="Q1092" s="1">
        <v>27</v>
      </c>
      <c r="R1092" s="1">
        <v>0</v>
      </c>
      <c r="S1092" s="1" t="s">
        <v>31</v>
      </c>
      <c r="T1092" s="1" t="s">
        <v>33</v>
      </c>
      <c r="U1092" s="1">
        <v>0</v>
      </c>
      <c r="V1092" s="1">
        <v>35287</v>
      </c>
      <c r="W1092" s="7">
        <v>1381.24</v>
      </c>
      <c r="X1092" s="1">
        <v>0.37</v>
      </c>
      <c r="Y1092" s="4">
        <v>45763</v>
      </c>
      <c r="Z1092" s="1" t="s">
        <v>32</v>
      </c>
      <c r="AA1092" s="1" t="s">
        <v>33</v>
      </c>
      <c r="AB1092" s="36" t="str" cm="1">
        <f t="array" ref="AB1092">_xlfn.IFS(K1092&gt;650,"LOW",K1092&gt;=550,"MEDIUM",K1092&lt;550,"HIGH")</f>
        <v>MEDIUM</v>
      </c>
    </row>
    <row r="1093" spans="3:28" x14ac:dyDescent="0.3">
      <c r="C1093" s="35" t="s">
        <v>3716</v>
      </c>
      <c r="D1093" s="1" t="s">
        <v>1726</v>
      </c>
      <c r="E1093" s="1">
        <v>29</v>
      </c>
      <c r="F1093" s="1" t="s">
        <v>44</v>
      </c>
      <c r="G1093" s="1" t="s">
        <v>45</v>
      </c>
      <c r="H1093" s="1" t="s">
        <v>36</v>
      </c>
      <c r="I1093" s="1" t="s">
        <v>29</v>
      </c>
      <c r="J1093" s="7">
        <v>122455</v>
      </c>
      <c r="K1093" s="1">
        <v>553</v>
      </c>
      <c r="L1093" s="7">
        <v>40386</v>
      </c>
      <c r="M1093" s="1">
        <v>36</v>
      </c>
      <c r="N1093" s="6">
        <v>0.10349999999999999</v>
      </c>
      <c r="O1093" s="1" t="s">
        <v>46</v>
      </c>
      <c r="P1093" s="1" t="s">
        <v>47</v>
      </c>
      <c r="Q1093" s="1">
        <v>11</v>
      </c>
      <c r="R1093" s="1">
        <v>2</v>
      </c>
      <c r="S1093" s="1" t="s">
        <v>31</v>
      </c>
      <c r="T1093" s="1" t="s">
        <v>33</v>
      </c>
      <c r="U1093" s="1">
        <v>1</v>
      </c>
      <c r="V1093" s="1">
        <v>132602</v>
      </c>
      <c r="W1093" s="7">
        <v>1921.33</v>
      </c>
      <c r="X1093" s="1">
        <v>0.65</v>
      </c>
      <c r="Y1093" s="4">
        <v>44761</v>
      </c>
      <c r="Z1093" s="1" t="s">
        <v>32</v>
      </c>
      <c r="AA1093" s="1" t="s">
        <v>33</v>
      </c>
      <c r="AB1093" s="36" t="str" cm="1">
        <f t="array" ref="AB1093">_xlfn.IFS(K1093&gt;650,"LOW",K1093&gt;=550,"MEDIUM",K1093&lt;550,"HIGH")</f>
        <v>MEDIUM</v>
      </c>
    </row>
    <row r="1094" spans="3:28" x14ac:dyDescent="0.3">
      <c r="C1094" s="35" t="s">
        <v>3952</v>
      </c>
      <c r="D1094" s="1" t="s">
        <v>1954</v>
      </c>
      <c r="E1094" s="1">
        <v>51</v>
      </c>
      <c r="F1094" s="1" t="s">
        <v>44</v>
      </c>
      <c r="G1094" s="1" t="s">
        <v>35</v>
      </c>
      <c r="H1094" s="1" t="s">
        <v>61</v>
      </c>
      <c r="I1094" s="1" t="s">
        <v>57</v>
      </c>
      <c r="J1094" s="7">
        <v>30940</v>
      </c>
      <c r="K1094" s="1">
        <v>553</v>
      </c>
      <c r="L1094" s="7">
        <v>46968</v>
      </c>
      <c r="M1094" s="1">
        <v>12</v>
      </c>
      <c r="N1094" s="6">
        <v>0.115</v>
      </c>
      <c r="O1094" s="1" t="s">
        <v>5</v>
      </c>
      <c r="P1094" s="1" t="s">
        <v>50</v>
      </c>
      <c r="Q1094" s="1">
        <v>6</v>
      </c>
      <c r="R1094" s="1">
        <v>0</v>
      </c>
      <c r="S1094" s="1" t="s">
        <v>31</v>
      </c>
      <c r="T1094" s="1" t="s">
        <v>31</v>
      </c>
      <c r="U1094" s="1">
        <v>0</v>
      </c>
      <c r="V1094" s="1">
        <v>186621</v>
      </c>
      <c r="W1094" s="7">
        <v>1948.11</v>
      </c>
      <c r="X1094" s="1">
        <v>0.95</v>
      </c>
      <c r="Y1094" s="4">
        <v>45073</v>
      </c>
      <c r="Z1094" s="1" t="s">
        <v>32</v>
      </c>
      <c r="AA1094" s="1" t="s">
        <v>31</v>
      </c>
      <c r="AB1094" s="36" t="str" cm="1">
        <f t="array" ref="AB1094">_xlfn.IFS(K1094&gt;650,"LOW",K1094&gt;=550,"MEDIUM",K1094&lt;550,"HIGH")</f>
        <v>MEDIUM</v>
      </c>
    </row>
    <row r="1095" spans="3:28" x14ac:dyDescent="0.3">
      <c r="C1095" s="35" t="s">
        <v>2155</v>
      </c>
      <c r="D1095" s="1" t="s">
        <v>186</v>
      </c>
      <c r="E1095" s="1">
        <v>46</v>
      </c>
      <c r="F1095" s="1" t="s">
        <v>44</v>
      </c>
      <c r="G1095" s="1" t="s">
        <v>45</v>
      </c>
      <c r="H1095" s="1" t="s">
        <v>28</v>
      </c>
      <c r="I1095" s="1" t="s">
        <v>57</v>
      </c>
      <c r="J1095" s="7">
        <v>77241</v>
      </c>
      <c r="K1095" s="1">
        <v>552</v>
      </c>
      <c r="L1095" s="7">
        <v>5267</v>
      </c>
      <c r="M1095" s="1">
        <v>60</v>
      </c>
      <c r="N1095" s="6">
        <v>0.19039999999999999</v>
      </c>
      <c r="O1095" s="1" t="s">
        <v>37</v>
      </c>
      <c r="P1095" s="1" t="s">
        <v>30</v>
      </c>
      <c r="Q1095" s="1">
        <v>12</v>
      </c>
      <c r="R1095" s="1">
        <v>4</v>
      </c>
      <c r="S1095" s="1" t="s">
        <v>33</v>
      </c>
      <c r="T1095" s="1" t="s">
        <v>33</v>
      </c>
      <c r="U1095" s="1">
        <v>1</v>
      </c>
      <c r="V1095" s="1">
        <v>38197</v>
      </c>
      <c r="W1095" s="7">
        <v>196.77</v>
      </c>
      <c r="X1095" s="1">
        <v>0.74</v>
      </c>
      <c r="Y1095" s="4">
        <v>45563</v>
      </c>
      <c r="Z1095" s="1" t="s">
        <v>38</v>
      </c>
      <c r="AA1095" s="1" t="s">
        <v>33</v>
      </c>
      <c r="AB1095" s="36" t="str" cm="1">
        <f t="array" ref="AB1095">_xlfn.IFS(K1095&gt;650,"LOW",K1095&gt;=550,"MEDIUM",K1095&lt;550,"HIGH")</f>
        <v>MEDIUM</v>
      </c>
    </row>
    <row r="1096" spans="3:28" x14ac:dyDescent="0.3">
      <c r="C1096" s="35" t="s">
        <v>2173</v>
      </c>
      <c r="D1096" s="1" t="s">
        <v>204</v>
      </c>
      <c r="E1096" s="1">
        <v>42</v>
      </c>
      <c r="F1096" s="1" t="s">
        <v>26</v>
      </c>
      <c r="G1096" s="1" t="s">
        <v>56</v>
      </c>
      <c r="H1096" s="1" t="s">
        <v>54</v>
      </c>
      <c r="I1096" s="1" t="s">
        <v>29</v>
      </c>
      <c r="J1096" s="7">
        <v>142002</v>
      </c>
      <c r="K1096" s="1">
        <v>552</v>
      </c>
      <c r="L1096" s="7">
        <v>43432</v>
      </c>
      <c r="M1096" s="1">
        <v>48</v>
      </c>
      <c r="N1096" s="6">
        <v>0.14679999999999999</v>
      </c>
      <c r="O1096" s="1" t="s">
        <v>5</v>
      </c>
      <c r="P1096" s="1" t="s">
        <v>30</v>
      </c>
      <c r="Q1096" s="1">
        <v>15</v>
      </c>
      <c r="R1096" s="1">
        <v>2</v>
      </c>
      <c r="S1096" s="1" t="s">
        <v>33</v>
      </c>
      <c r="T1096" s="1" t="s">
        <v>33</v>
      </c>
      <c r="U1096" s="1">
        <v>1</v>
      </c>
      <c r="V1096" s="1">
        <v>46988</v>
      </c>
      <c r="W1096" s="7">
        <v>402.33</v>
      </c>
      <c r="X1096" s="1">
        <v>0.93</v>
      </c>
      <c r="Y1096" s="4">
        <v>45635</v>
      </c>
      <c r="Z1096" s="1" t="s">
        <v>38</v>
      </c>
      <c r="AA1096" s="1" t="s">
        <v>33</v>
      </c>
      <c r="AB1096" s="36" t="str" cm="1">
        <f t="array" ref="AB1096">_xlfn.IFS(K1096&gt;650,"LOW",K1096&gt;=550,"MEDIUM",K1096&lt;550,"HIGH")</f>
        <v>MEDIUM</v>
      </c>
    </row>
    <row r="1097" spans="3:28" x14ac:dyDescent="0.3">
      <c r="C1097" s="35" t="s">
        <v>2237</v>
      </c>
      <c r="D1097" s="1" t="s">
        <v>268</v>
      </c>
      <c r="E1097" s="1">
        <v>26</v>
      </c>
      <c r="F1097" s="1" t="s">
        <v>44</v>
      </c>
      <c r="G1097" s="1" t="s">
        <v>45</v>
      </c>
      <c r="H1097" s="1" t="s">
        <v>54</v>
      </c>
      <c r="I1097" s="1" t="s">
        <v>40</v>
      </c>
      <c r="J1097" s="7">
        <v>68542</v>
      </c>
      <c r="K1097" s="1">
        <v>552</v>
      </c>
      <c r="L1097" s="7">
        <v>26651</v>
      </c>
      <c r="M1097" s="1">
        <v>12</v>
      </c>
      <c r="N1097" s="6">
        <v>6.9400000000000003E-2</v>
      </c>
      <c r="O1097" s="1" t="s">
        <v>5</v>
      </c>
      <c r="P1097" s="1" t="s">
        <v>30</v>
      </c>
      <c r="Q1097" s="1">
        <v>1</v>
      </c>
      <c r="R1097" s="1">
        <v>0</v>
      </c>
      <c r="S1097" s="1" t="s">
        <v>33</v>
      </c>
      <c r="T1097" s="1" t="s">
        <v>31</v>
      </c>
      <c r="U1097" s="1">
        <v>3</v>
      </c>
      <c r="V1097" s="1">
        <v>128167</v>
      </c>
      <c r="W1097" s="7">
        <v>1092.92</v>
      </c>
      <c r="X1097" s="1">
        <v>0.83</v>
      </c>
      <c r="Y1097" s="4">
        <v>45035</v>
      </c>
      <c r="Z1097" s="1" t="s">
        <v>38</v>
      </c>
      <c r="AA1097" s="1" t="s">
        <v>31</v>
      </c>
      <c r="AB1097" s="36" t="str" cm="1">
        <f t="array" ref="AB1097">_xlfn.IFS(K1097&gt;650,"LOW",K1097&gt;=550,"MEDIUM",K1097&lt;550,"HIGH")</f>
        <v>MEDIUM</v>
      </c>
    </row>
    <row r="1098" spans="3:28" x14ac:dyDescent="0.3">
      <c r="C1098" s="35" t="s">
        <v>2439</v>
      </c>
      <c r="D1098" s="1" t="s">
        <v>469</v>
      </c>
      <c r="E1098" s="1">
        <v>45</v>
      </c>
      <c r="F1098" s="1" t="s">
        <v>44</v>
      </c>
      <c r="G1098" s="1" t="s">
        <v>56</v>
      </c>
      <c r="H1098" s="1" t="s">
        <v>28</v>
      </c>
      <c r="I1098" s="1" t="s">
        <v>40</v>
      </c>
      <c r="J1098" s="7">
        <v>148949</v>
      </c>
      <c r="K1098" s="1">
        <v>552</v>
      </c>
      <c r="L1098" s="7">
        <v>44027</v>
      </c>
      <c r="M1098" s="1">
        <v>48</v>
      </c>
      <c r="N1098" s="6">
        <v>0.15010000000000001</v>
      </c>
      <c r="O1098" s="1" t="s">
        <v>37</v>
      </c>
      <c r="P1098" s="1" t="s">
        <v>30</v>
      </c>
      <c r="Q1098" s="1">
        <v>16</v>
      </c>
      <c r="R1098" s="1">
        <v>2</v>
      </c>
      <c r="S1098" s="1" t="s">
        <v>33</v>
      </c>
      <c r="T1098" s="1" t="s">
        <v>33</v>
      </c>
      <c r="U1098" s="1">
        <v>3</v>
      </c>
      <c r="V1098" s="1">
        <v>13376</v>
      </c>
      <c r="W1098" s="7">
        <v>1711.33</v>
      </c>
      <c r="X1098" s="1">
        <v>0.5</v>
      </c>
      <c r="Y1098" s="4">
        <v>44948</v>
      </c>
      <c r="Z1098" s="1" t="s">
        <v>32</v>
      </c>
      <c r="AA1098" s="1" t="s">
        <v>33</v>
      </c>
      <c r="AB1098" s="36" t="str" cm="1">
        <f t="array" ref="AB1098">_xlfn.IFS(K1098&gt;650,"LOW",K1098&gt;=550,"MEDIUM",K1098&lt;550,"HIGH")</f>
        <v>MEDIUM</v>
      </c>
    </row>
    <row r="1099" spans="3:28" x14ac:dyDescent="0.3">
      <c r="C1099" s="35" t="s">
        <v>2454</v>
      </c>
      <c r="D1099" s="1" t="s">
        <v>484</v>
      </c>
      <c r="E1099" s="1">
        <v>34</v>
      </c>
      <c r="F1099" s="1" t="s">
        <v>44</v>
      </c>
      <c r="G1099" s="1" t="s">
        <v>45</v>
      </c>
      <c r="H1099" s="1" t="s">
        <v>61</v>
      </c>
      <c r="I1099" s="1" t="s">
        <v>29</v>
      </c>
      <c r="J1099" s="7">
        <v>83884</v>
      </c>
      <c r="K1099" s="1">
        <v>552</v>
      </c>
      <c r="L1099" s="7">
        <v>3400</v>
      </c>
      <c r="M1099" s="1">
        <v>12</v>
      </c>
      <c r="N1099" s="6">
        <v>0.16600000000000001</v>
      </c>
      <c r="O1099" s="1" t="s">
        <v>5</v>
      </c>
      <c r="P1099" s="1" t="s">
        <v>50</v>
      </c>
      <c r="Q1099" s="1">
        <v>26</v>
      </c>
      <c r="R1099" s="1">
        <v>0</v>
      </c>
      <c r="S1099" s="1" t="s">
        <v>31</v>
      </c>
      <c r="T1099" s="1" t="s">
        <v>31</v>
      </c>
      <c r="U1099" s="1">
        <v>4</v>
      </c>
      <c r="V1099" s="1">
        <v>192880</v>
      </c>
      <c r="W1099" s="7">
        <v>859.91</v>
      </c>
      <c r="X1099" s="1">
        <v>0.46</v>
      </c>
      <c r="Y1099" s="4">
        <v>44427</v>
      </c>
      <c r="Z1099" s="1" t="s">
        <v>38</v>
      </c>
      <c r="AA1099" s="1" t="s">
        <v>33</v>
      </c>
      <c r="AB1099" s="36" t="str" cm="1">
        <f t="array" ref="AB1099">_xlfn.IFS(K1099&gt;650,"LOW",K1099&gt;=550,"MEDIUM",K1099&lt;550,"HIGH")</f>
        <v>MEDIUM</v>
      </c>
    </row>
    <row r="1100" spans="3:28" x14ac:dyDescent="0.3">
      <c r="C1100" s="35" t="s">
        <v>2683</v>
      </c>
      <c r="D1100" s="1" t="s">
        <v>713</v>
      </c>
      <c r="E1100" s="1">
        <v>40</v>
      </c>
      <c r="F1100" s="1" t="s">
        <v>44</v>
      </c>
      <c r="G1100" s="1" t="s">
        <v>45</v>
      </c>
      <c r="H1100" s="1" t="s">
        <v>36</v>
      </c>
      <c r="I1100" s="1" t="s">
        <v>29</v>
      </c>
      <c r="J1100" s="7">
        <v>78760</v>
      </c>
      <c r="K1100" s="1">
        <v>552</v>
      </c>
      <c r="L1100" s="7">
        <v>46592</v>
      </c>
      <c r="M1100" s="1">
        <v>48</v>
      </c>
      <c r="N1100" s="6">
        <v>0.19899999999999998</v>
      </c>
      <c r="O1100" s="1" t="s">
        <v>63</v>
      </c>
      <c r="P1100" s="1" t="s">
        <v>50</v>
      </c>
      <c r="Q1100" s="1">
        <v>28</v>
      </c>
      <c r="R1100" s="1">
        <v>0</v>
      </c>
      <c r="S1100" s="1" t="s">
        <v>31</v>
      </c>
      <c r="T1100" s="1" t="s">
        <v>31</v>
      </c>
      <c r="U1100" s="1">
        <v>2</v>
      </c>
      <c r="V1100" s="1">
        <v>65183</v>
      </c>
      <c r="W1100" s="7">
        <v>280.14999999999998</v>
      </c>
      <c r="X1100" s="1">
        <v>0.12</v>
      </c>
      <c r="Y1100" s="4">
        <v>45588</v>
      </c>
      <c r="Z1100" s="1" t="s">
        <v>38</v>
      </c>
      <c r="AA1100" s="1" t="s">
        <v>33</v>
      </c>
      <c r="AB1100" s="36" t="str" cm="1">
        <f t="array" ref="AB1100">_xlfn.IFS(K1100&gt;650,"LOW",K1100&gt;=550,"MEDIUM",K1100&lt;550,"HIGH")</f>
        <v>MEDIUM</v>
      </c>
    </row>
    <row r="1101" spans="3:28" x14ac:dyDescent="0.3">
      <c r="C1101" s="35" t="s">
        <v>2741</v>
      </c>
      <c r="D1101" s="1" t="s">
        <v>771</v>
      </c>
      <c r="E1101" s="1">
        <v>28</v>
      </c>
      <c r="F1101" s="1" t="s">
        <v>26</v>
      </c>
      <c r="G1101" s="1" t="s">
        <v>56</v>
      </c>
      <c r="H1101" s="1" t="s">
        <v>61</v>
      </c>
      <c r="I1101" s="1" t="s">
        <v>40</v>
      </c>
      <c r="J1101" s="7">
        <v>119251</v>
      </c>
      <c r="K1101" s="1">
        <v>552</v>
      </c>
      <c r="L1101" s="7">
        <v>25204</v>
      </c>
      <c r="M1101" s="1">
        <v>24</v>
      </c>
      <c r="N1101" s="6">
        <v>0.153</v>
      </c>
      <c r="O1101" s="1" t="s">
        <v>5</v>
      </c>
      <c r="P1101" s="1" t="s">
        <v>50</v>
      </c>
      <c r="Q1101" s="1">
        <v>15</v>
      </c>
      <c r="R1101" s="1">
        <v>0</v>
      </c>
      <c r="S1101" s="1" t="s">
        <v>33</v>
      </c>
      <c r="T1101" s="1" t="s">
        <v>33</v>
      </c>
      <c r="U1101" s="1">
        <v>3</v>
      </c>
      <c r="V1101" s="1">
        <v>76418</v>
      </c>
      <c r="W1101" s="7">
        <v>1611.47</v>
      </c>
      <c r="X1101" s="1">
        <v>0.95</v>
      </c>
      <c r="Y1101" s="4">
        <v>45805</v>
      </c>
      <c r="Z1101" s="1" t="s">
        <v>38</v>
      </c>
      <c r="AA1101" s="1" t="s">
        <v>33</v>
      </c>
      <c r="AB1101" s="36" t="str" cm="1">
        <f t="array" ref="AB1101">_xlfn.IFS(K1101&gt;650,"LOW",K1101&gt;=550,"MEDIUM",K1101&lt;550,"HIGH")</f>
        <v>MEDIUM</v>
      </c>
    </row>
    <row r="1102" spans="3:28" x14ac:dyDescent="0.3">
      <c r="C1102" s="35" t="s">
        <v>3388</v>
      </c>
      <c r="D1102" s="1" t="s">
        <v>1408</v>
      </c>
      <c r="E1102" s="1">
        <v>42</v>
      </c>
      <c r="F1102" s="1" t="s">
        <v>26</v>
      </c>
      <c r="G1102" s="1" t="s">
        <v>35</v>
      </c>
      <c r="H1102" s="1" t="s">
        <v>28</v>
      </c>
      <c r="I1102" s="1" t="s">
        <v>57</v>
      </c>
      <c r="J1102" s="7">
        <v>93970</v>
      </c>
      <c r="K1102" s="1">
        <v>552</v>
      </c>
      <c r="L1102" s="7">
        <v>17568</v>
      </c>
      <c r="M1102" s="1">
        <v>24</v>
      </c>
      <c r="N1102" s="6">
        <v>0.1744</v>
      </c>
      <c r="O1102" s="1" t="s">
        <v>41</v>
      </c>
      <c r="P1102" s="1" t="s">
        <v>47</v>
      </c>
      <c r="Q1102" s="1">
        <v>10</v>
      </c>
      <c r="R1102" s="1">
        <v>3</v>
      </c>
      <c r="S1102" s="1" t="s">
        <v>33</v>
      </c>
      <c r="T1102" s="1" t="s">
        <v>33</v>
      </c>
      <c r="U1102" s="1">
        <v>2</v>
      </c>
      <c r="V1102" s="1">
        <v>140786</v>
      </c>
      <c r="W1102" s="7">
        <v>1207.6600000000001</v>
      </c>
      <c r="X1102" s="1">
        <v>0.78</v>
      </c>
      <c r="Y1102" s="4">
        <v>45286</v>
      </c>
      <c r="Z1102" s="1" t="s">
        <v>32</v>
      </c>
      <c r="AA1102" s="1" t="s">
        <v>33</v>
      </c>
      <c r="AB1102" s="36" t="str" cm="1">
        <f t="array" ref="AB1102">_xlfn.IFS(K1102&gt;650,"LOW",K1102&gt;=550,"MEDIUM",K1102&lt;550,"HIGH")</f>
        <v>MEDIUM</v>
      </c>
    </row>
    <row r="1103" spans="3:28" x14ac:dyDescent="0.3">
      <c r="C1103" s="35" t="s">
        <v>3758</v>
      </c>
      <c r="D1103" s="1" t="s">
        <v>1766</v>
      </c>
      <c r="E1103" s="1">
        <v>53</v>
      </c>
      <c r="F1103" s="1" t="s">
        <v>26</v>
      </c>
      <c r="G1103" s="1" t="s">
        <v>56</v>
      </c>
      <c r="H1103" s="1" t="s">
        <v>54</v>
      </c>
      <c r="I1103" s="1" t="s">
        <v>29</v>
      </c>
      <c r="J1103" s="7">
        <v>61964</v>
      </c>
      <c r="K1103" s="1">
        <v>552</v>
      </c>
      <c r="L1103" s="7">
        <v>3786</v>
      </c>
      <c r="M1103" s="1">
        <v>48</v>
      </c>
      <c r="N1103" s="6">
        <v>0.15390000000000001</v>
      </c>
      <c r="O1103" s="1" t="s">
        <v>52</v>
      </c>
      <c r="P1103" s="1" t="s">
        <v>47</v>
      </c>
      <c r="Q1103" s="1">
        <v>25</v>
      </c>
      <c r="R1103" s="1">
        <v>4</v>
      </c>
      <c r="S1103" s="1" t="s">
        <v>33</v>
      </c>
      <c r="T1103" s="1" t="s">
        <v>31</v>
      </c>
      <c r="U1103" s="1">
        <v>3</v>
      </c>
      <c r="V1103" s="1">
        <v>3111</v>
      </c>
      <c r="W1103" s="7">
        <v>840.63</v>
      </c>
      <c r="X1103" s="1">
        <v>0.76</v>
      </c>
      <c r="Y1103" s="4">
        <v>45484</v>
      </c>
      <c r="Z1103" s="1" t="s">
        <v>32</v>
      </c>
      <c r="AA1103" s="1" t="s">
        <v>33</v>
      </c>
      <c r="AB1103" s="36" t="str" cm="1">
        <f t="array" ref="AB1103">_xlfn.IFS(K1103&gt;650,"LOW",K1103&gt;=550,"MEDIUM",K1103&lt;550,"HIGH")</f>
        <v>MEDIUM</v>
      </c>
    </row>
    <row r="1104" spans="3:28" x14ac:dyDescent="0.3">
      <c r="C1104" s="35" t="s">
        <v>3811</v>
      </c>
      <c r="D1104" s="1" t="s">
        <v>1817</v>
      </c>
      <c r="E1104" s="1">
        <v>56</v>
      </c>
      <c r="F1104" s="1" t="s">
        <v>26</v>
      </c>
      <c r="G1104" s="1" t="s">
        <v>56</v>
      </c>
      <c r="H1104" s="1" t="s">
        <v>36</v>
      </c>
      <c r="I1104" s="1" t="s">
        <v>57</v>
      </c>
      <c r="J1104" s="7">
        <v>141670</v>
      </c>
      <c r="K1104" s="1">
        <v>552</v>
      </c>
      <c r="L1104" s="7">
        <v>9097</v>
      </c>
      <c r="M1104" s="1">
        <v>24</v>
      </c>
      <c r="N1104" s="6">
        <v>9.3299999999999994E-2</v>
      </c>
      <c r="O1104" s="1" t="s">
        <v>46</v>
      </c>
      <c r="P1104" s="1" t="s">
        <v>50</v>
      </c>
      <c r="Q1104" s="1">
        <v>17</v>
      </c>
      <c r="R1104" s="1">
        <v>3</v>
      </c>
      <c r="S1104" s="1" t="s">
        <v>31</v>
      </c>
      <c r="T1104" s="1" t="s">
        <v>33</v>
      </c>
      <c r="U1104" s="1">
        <v>4</v>
      </c>
      <c r="V1104" s="1">
        <v>31024</v>
      </c>
      <c r="W1104" s="7">
        <v>1960.07</v>
      </c>
      <c r="X1104" s="1">
        <v>0.43</v>
      </c>
      <c r="Y1104" s="4">
        <v>44433</v>
      </c>
      <c r="Z1104" s="1" t="s">
        <v>38</v>
      </c>
      <c r="AA1104" s="1" t="s">
        <v>33</v>
      </c>
      <c r="AB1104" s="36" t="str" cm="1">
        <f t="array" ref="AB1104">_xlfn.IFS(K1104&gt;650,"LOW",K1104&gt;=550,"MEDIUM",K1104&lt;550,"HIGH")</f>
        <v>MEDIUM</v>
      </c>
    </row>
    <row r="1105" spans="3:28" x14ac:dyDescent="0.3">
      <c r="C1105" s="35" t="s">
        <v>3838</v>
      </c>
      <c r="D1105" s="1" t="s">
        <v>1844</v>
      </c>
      <c r="E1105" s="1">
        <v>57</v>
      </c>
      <c r="F1105" s="1" t="s">
        <v>44</v>
      </c>
      <c r="G1105" s="1" t="s">
        <v>35</v>
      </c>
      <c r="H1105" s="1" t="s">
        <v>61</v>
      </c>
      <c r="I1105" s="1" t="s">
        <v>29</v>
      </c>
      <c r="J1105" s="7">
        <v>87067</v>
      </c>
      <c r="K1105" s="1">
        <v>551</v>
      </c>
      <c r="L1105" s="7">
        <v>21545</v>
      </c>
      <c r="M1105" s="1">
        <v>36</v>
      </c>
      <c r="N1105" s="6">
        <v>6.4899999999999999E-2</v>
      </c>
      <c r="O1105" s="1" t="s">
        <v>37</v>
      </c>
      <c r="P1105" s="1" t="s">
        <v>47</v>
      </c>
      <c r="Q1105" s="1">
        <v>12</v>
      </c>
      <c r="R1105" s="1">
        <v>2</v>
      </c>
      <c r="S1105" s="1" t="s">
        <v>33</v>
      </c>
      <c r="T1105" s="1" t="s">
        <v>31</v>
      </c>
      <c r="U1105" s="1">
        <v>4</v>
      </c>
      <c r="V1105" s="1">
        <v>70602</v>
      </c>
      <c r="W1105" s="7">
        <v>138.68</v>
      </c>
      <c r="X1105" s="1">
        <v>0.28000000000000003</v>
      </c>
      <c r="Y1105" s="4">
        <v>45783</v>
      </c>
      <c r="Z1105" s="1" t="s">
        <v>38</v>
      </c>
      <c r="AA1105" s="1" t="s">
        <v>33</v>
      </c>
      <c r="AB1105" s="36" t="str" cm="1">
        <f t="array" ref="AB1105">_xlfn.IFS(K1105&gt;650,"LOW",K1105&gt;=550,"MEDIUM",K1105&lt;550,"HIGH")</f>
        <v>MEDIUM</v>
      </c>
    </row>
    <row r="1106" spans="3:28" x14ac:dyDescent="0.3">
      <c r="C1106" s="35" t="s">
        <v>3932</v>
      </c>
      <c r="D1106" s="1" t="s">
        <v>1936</v>
      </c>
      <c r="E1106" s="1">
        <v>57</v>
      </c>
      <c r="F1106" s="1" t="s">
        <v>44</v>
      </c>
      <c r="G1106" s="1" t="s">
        <v>56</v>
      </c>
      <c r="H1106" s="1" t="s">
        <v>28</v>
      </c>
      <c r="I1106" s="1" t="s">
        <v>59</v>
      </c>
      <c r="J1106" s="7">
        <v>21909</v>
      </c>
      <c r="K1106" s="1">
        <v>551</v>
      </c>
      <c r="L1106" s="7">
        <v>7560</v>
      </c>
      <c r="M1106" s="1">
        <v>36</v>
      </c>
      <c r="N1106" s="6">
        <v>0.1867</v>
      </c>
      <c r="O1106" s="1" t="s">
        <v>52</v>
      </c>
      <c r="P1106" s="1" t="s">
        <v>30</v>
      </c>
      <c r="Q1106" s="1">
        <v>20</v>
      </c>
      <c r="R1106" s="1">
        <v>2</v>
      </c>
      <c r="S1106" s="1" t="s">
        <v>33</v>
      </c>
      <c r="T1106" s="1" t="s">
        <v>31</v>
      </c>
      <c r="U1106" s="1">
        <v>4</v>
      </c>
      <c r="V1106" s="1">
        <v>144720</v>
      </c>
      <c r="W1106" s="7">
        <v>869.17</v>
      </c>
      <c r="X1106" s="1">
        <v>0.96</v>
      </c>
      <c r="Y1106" s="4">
        <v>45327</v>
      </c>
      <c r="Z1106" s="1" t="s">
        <v>32</v>
      </c>
      <c r="AA1106" s="1" t="s">
        <v>33</v>
      </c>
      <c r="AB1106" s="36" t="str" cm="1">
        <f t="array" ref="AB1106">_xlfn.IFS(K1106&gt;650,"LOW",K1106&gt;=550,"MEDIUM",K1106&lt;550,"HIGH")</f>
        <v>MEDIUM</v>
      </c>
    </row>
    <row r="1107" spans="3:28" x14ac:dyDescent="0.3">
      <c r="C1107" s="35" t="s">
        <v>3856</v>
      </c>
      <c r="D1107" s="1" t="s">
        <v>1862</v>
      </c>
      <c r="E1107" s="1">
        <v>32</v>
      </c>
      <c r="F1107" s="1" t="s">
        <v>26</v>
      </c>
      <c r="G1107" s="1" t="s">
        <v>45</v>
      </c>
      <c r="H1107" s="1" t="s">
        <v>36</v>
      </c>
      <c r="I1107" s="1" t="s">
        <v>59</v>
      </c>
      <c r="J1107" s="7">
        <v>46149</v>
      </c>
      <c r="K1107" s="1">
        <v>550</v>
      </c>
      <c r="L1107" s="7">
        <v>7007</v>
      </c>
      <c r="M1107" s="1">
        <v>36</v>
      </c>
      <c r="N1107" s="6">
        <v>0.15439999999999998</v>
      </c>
      <c r="O1107" s="1" t="s">
        <v>52</v>
      </c>
      <c r="P1107" s="1" t="s">
        <v>47</v>
      </c>
      <c r="Q1107" s="1">
        <v>14</v>
      </c>
      <c r="R1107" s="1">
        <v>0</v>
      </c>
      <c r="S1107" s="1" t="s">
        <v>33</v>
      </c>
      <c r="T1107" s="1" t="s">
        <v>33</v>
      </c>
      <c r="U1107" s="1">
        <v>0</v>
      </c>
      <c r="V1107" s="1">
        <v>108894</v>
      </c>
      <c r="W1107" s="7">
        <v>1382.63</v>
      </c>
      <c r="X1107" s="1">
        <v>0.93</v>
      </c>
      <c r="Y1107" s="4">
        <v>45669</v>
      </c>
      <c r="Z1107" s="1" t="s">
        <v>32</v>
      </c>
      <c r="AA1107" s="1" t="s">
        <v>31</v>
      </c>
      <c r="AB1107" s="36" t="str" cm="1">
        <f t="array" ref="AB1107">_xlfn.IFS(K1107&gt;650,"LOW",K1107&gt;=550,"MEDIUM",K1107&lt;550,"HIGH")</f>
        <v>MEDIUM</v>
      </c>
    </row>
    <row r="1108" spans="3:28" x14ac:dyDescent="0.3">
      <c r="C1108" s="35" t="s">
        <v>3442</v>
      </c>
      <c r="D1108" s="1" t="s">
        <v>1460</v>
      </c>
      <c r="E1108" s="1">
        <v>59</v>
      </c>
      <c r="F1108" s="1" t="s">
        <v>44</v>
      </c>
      <c r="G1108" s="1" t="s">
        <v>56</v>
      </c>
      <c r="H1108" s="1" t="s">
        <v>36</v>
      </c>
      <c r="I1108" s="1" t="s">
        <v>40</v>
      </c>
      <c r="J1108" s="7">
        <v>90968</v>
      </c>
      <c r="K1108" s="1">
        <v>549</v>
      </c>
      <c r="L1108" s="7">
        <v>26009</v>
      </c>
      <c r="M1108" s="1">
        <v>60</v>
      </c>
      <c r="N1108" s="6">
        <v>0.1389</v>
      </c>
      <c r="O1108" s="1" t="s">
        <v>63</v>
      </c>
      <c r="P1108" s="1" t="s">
        <v>50</v>
      </c>
      <c r="Q1108" s="1">
        <v>27</v>
      </c>
      <c r="R1108" s="1">
        <v>3</v>
      </c>
      <c r="S1108" s="1" t="s">
        <v>31</v>
      </c>
      <c r="T1108" s="1" t="s">
        <v>31</v>
      </c>
      <c r="U1108" s="1">
        <v>3</v>
      </c>
      <c r="V1108" s="1">
        <v>58844</v>
      </c>
      <c r="W1108" s="7">
        <v>632.29999999999995</v>
      </c>
      <c r="X1108" s="1">
        <v>0.36</v>
      </c>
      <c r="Y1108" s="4">
        <v>44985</v>
      </c>
      <c r="Z1108" s="1" t="s">
        <v>38</v>
      </c>
      <c r="AA1108" s="1" t="s">
        <v>33</v>
      </c>
      <c r="AB1108" s="36" t="str" cm="1">
        <f t="array" ref="AB1108">_xlfn.IFS(K1108&gt;650,"LOW",K1108&gt;=550,"MEDIUM",K1108&lt;550,"HIGH")</f>
        <v>HIGH</v>
      </c>
    </row>
    <row r="1109" spans="3:28" x14ac:dyDescent="0.3">
      <c r="C1109" s="35" t="s">
        <v>2145</v>
      </c>
      <c r="D1109" s="1" t="s">
        <v>176</v>
      </c>
      <c r="E1109" s="1">
        <v>23</v>
      </c>
      <c r="F1109" s="1" t="s">
        <v>26</v>
      </c>
      <c r="G1109" s="1" t="s">
        <v>27</v>
      </c>
      <c r="H1109" s="1" t="s">
        <v>54</v>
      </c>
      <c r="I1109" s="1" t="s">
        <v>40</v>
      </c>
      <c r="J1109" s="7">
        <v>100052</v>
      </c>
      <c r="K1109" s="1">
        <v>548</v>
      </c>
      <c r="L1109" s="7">
        <v>4065</v>
      </c>
      <c r="M1109" s="1">
        <v>12</v>
      </c>
      <c r="N1109" s="6">
        <v>0.12539999999999998</v>
      </c>
      <c r="O1109" s="1" t="s">
        <v>52</v>
      </c>
      <c r="P1109" s="1" t="s">
        <v>30</v>
      </c>
      <c r="Q1109" s="1">
        <v>11</v>
      </c>
      <c r="R1109" s="1">
        <v>3</v>
      </c>
      <c r="S1109" s="1" t="s">
        <v>31</v>
      </c>
      <c r="T1109" s="1" t="s">
        <v>31</v>
      </c>
      <c r="U1109" s="1">
        <v>0</v>
      </c>
      <c r="V1109" s="1">
        <v>139699</v>
      </c>
      <c r="W1109" s="7">
        <v>1623.11</v>
      </c>
      <c r="X1109" s="1">
        <v>0.93</v>
      </c>
      <c r="Y1109" s="4">
        <v>45579</v>
      </c>
      <c r="Z1109" s="1" t="s">
        <v>38</v>
      </c>
      <c r="AA1109" s="1" t="s">
        <v>33</v>
      </c>
      <c r="AB1109" s="36" t="str" cm="1">
        <f t="array" ref="AB1109">_xlfn.IFS(K1109&gt;650,"LOW",K1109&gt;=550,"MEDIUM",K1109&lt;550,"HIGH")</f>
        <v>HIGH</v>
      </c>
    </row>
    <row r="1110" spans="3:28" x14ac:dyDescent="0.3">
      <c r="C1110" s="35" t="s">
        <v>2526</v>
      </c>
      <c r="D1110" s="1" t="s">
        <v>556</v>
      </c>
      <c r="E1110" s="1">
        <v>41</v>
      </c>
      <c r="F1110" s="1" t="s">
        <v>44</v>
      </c>
      <c r="G1110" s="1" t="s">
        <v>45</v>
      </c>
      <c r="H1110" s="1" t="s">
        <v>36</v>
      </c>
      <c r="I1110" s="1" t="s">
        <v>59</v>
      </c>
      <c r="J1110" s="7">
        <v>21044</v>
      </c>
      <c r="K1110" s="1">
        <v>548</v>
      </c>
      <c r="L1110" s="7">
        <v>21927</v>
      </c>
      <c r="M1110" s="1">
        <v>24</v>
      </c>
      <c r="N1110" s="6">
        <v>0.14000000000000001</v>
      </c>
      <c r="O1110" s="1" t="s">
        <v>46</v>
      </c>
      <c r="P1110" s="1" t="s">
        <v>50</v>
      </c>
      <c r="Q1110" s="1">
        <v>18</v>
      </c>
      <c r="R1110" s="1">
        <v>3</v>
      </c>
      <c r="S1110" s="1" t="s">
        <v>33</v>
      </c>
      <c r="T1110" s="1" t="s">
        <v>31</v>
      </c>
      <c r="U1110" s="1">
        <v>4</v>
      </c>
      <c r="V1110" s="1">
        <v>76479</v>
      </c>
      <c r="W1110" s="7">
        <v>123.94</v>
      </c>
      <c r="X1110" s="1">
        <v>0.75</v>
      </c>
      <c r="Y1110" s="4">
        <v>45130</v>
      </c>
      <c r="Z1110" s="1" t="s">
        <v>38</v>
      </c>
      <c r="AA1110" s="1" t="s">
        <v>33</v>
      </c>
      <c r="AB1110" s="36" t="str" cm="1">
        <f t="array" ref="AB1110">_xlfn.IFS(K1110&gt;650,"LOW",K1110&gt;=550,"MEDIUM",K1110&lt;550,"HIGH")</f>
        <v>HIGH</v>
      </c>
    </row>
    <row r="1111" spans="3:28" x14ac:dyDescent="0.3">
      <c r="C1111" s="35" t="s">
        <v>3345</v>
      </c>
      <c r="D1111" s="1" t="s">
        <v>1367</v>
      </c>
      <c r="E1111" s="1">
        <v>55</v>
      </c>
      <c r="F1111" s="1" t="s">
        <v>44</v>
      </c>
      <c r="G1111" s="1" t="s">
        <v>27</v>
      </c>
      <c r="H1111" s="1" t="s">
        <v>61</v>
      </c>
      <c r="I1111" s="1" t="s">
        <v>29</v>
      </c>
      <c r="J1111" s="7">
        <v>94632</v>
      </c>
      <c r="K1111" s="1">
        <v>548</v>
      </c>
      <c r="L1111" s="7">
        <v>33021</v>
      </c>
      <c r="M1111" s="1">
        <v>60</v>
      </c>
      <c r="N1111" s="6">
        <v>0.14150000000000001</v>
      </c>
      <c r="O1111" s="1" t="s">
        <v>46</v>
      </c>
      <c r="P1111" s="1" t="s">
        <v>30</v>
      </c>
      <c r="Q1111" s="1">
        <v>13</v>
      </c>
      <c r="R1111" s="1">
        <v>2</v>
      </c>
      <c r="S1111" s="1" t="s">
        <v>33</v>
      </c>
      <c r="T1111" s="1" t="s">
        <v>33</v>
      </c>
      <c r="U1111" s="1">
        <v>3</v>
      </c>
      <c r="V1111" s="1">
        <v>14432</v>
      </c>
      <c r="W1111" s="7">
        <v>1864.1</v>
      </c>
      <c r="X1111" s="1">
        <v>0.57999999999999996</v>
      </c>
      <c r="Y1111" s="4">
        <v>45602</v>
      </c>
      <c r="Z1111" s="1" t="s">
        <v>38</v>
      </c>
      <c r="AA1111" s="1" t="s">
        <v>33</v>
      </c>
      <c r="AB1111" s="36" t="str" cm="1">
        <f t="array" ref="AB1111">_xlfn.IFS(K1111&gt;650,"LOW",K1111&gt;=550,"MEDIUM",K1111&lt;550,"HIGH")</f>
        <v>HIGH</v>
      </c>
    </row>
    <row r="1112" spans="3:28" x14ac:dyDescent="0.3">
      <c r="C1112" s="35" t="s">
        <v>3612</v>
      </c>
      <c r="D1112" s="1" t="s">
        <v>1625</v>
      </c>
      <c r="E1112" s="1">
        <v>50</v>
      </c>
      <c r="F1112" s="1" t="s">
        <v>44</v>
      </c>
      <c r="G1112" s="1" t="s">
        <v>27</v>
      </c>
      <c r="H1112" s="1" t="s">
        <v>36</v>
      </c>
      <c r="I1112" s="1" t="s">
        <v>29</v>
      </c>
      <c r="J1112" s="7">
        <v>43027</v>
      </c>
      <c r="K1112" s="1">
        <v>548</v>
      </c>
      <c r="L1112" s="7">
        <v>42435</v>
      </c>
      <c r="M1112" s="1">
        <v>36</v>
      </c>
      <c r="N1112" s="6">
        <v>7.4099999999999999E-2</v>
      </c>
      <c r="O1112" s="1" t="s">
        <v>63</v>
      </c>
      <c r="P1112" s="1" t="s">
        <v>47</v>
      </c>
      <c r="Q1112" s="1">
        <v>4</v>
      </c>
      <c r="R1112" s="1">
        <v>0</v>
      </c>
      <c r="S1112" s="1" t="s">
        <v>33</v>
      </c>
      <c r="T1112" s="1" t="s">
        <v>31</v>
      </c>
      <c r="U1112" s="1">
        <v>2</v>
      </c>
      <c r="V1112" s="1">
        <v>108850</v>
      </c>
      <c r="W1112" s="7">
        <v>719.85</v>
      </c>
      <c r="X1112" s="1">
        <v>0.12</v>
      </c>
      <c r="Y1112" s="4">
        <v>45043</v>
      </c>
      <c r="Z1112" s="1" t="s">
        <v>38</v>
      </c>
      <c r="AA1112" s="1" t="s">
        <v>33</v>
      </c>
      <c r="AB1112" s="36" t="str" cm="1">
        <f t="array" ref="AB1112">_xlfn.IFS(K1112&gt;650,"LOW",K1112&gt;=550,"MEDIUM",K1112&lt;550,"HIGH")</f>
        <v>HIGH</v>
      </c>
    </row>
    <row r="1113" spans="3:28" x14ac:dyDescent="0.3">
      <c r="C1113" s="35" t="s">
        <v>3619</v>
      </c>
      <c r="D1113" s="1" t="s">
        <v>1632</v>
      </c>
      <c r="E1113" s="1">
        <v>56</v>
      </c>
      <c r="F1113" s="1" t="s">
        <v>44</v>
      </c>
      <c r="G1113" s="1" t="s">
        <v>45</v>
      </c>
      <c r="H1113" s="1" t="s">
        <v>54</v>
      </c>
      <c r="I1113" s="1" t="s">
        <v>59</v>
      </c>
      <c r="J1113" s="7">
        <v>96669</v>
      </c>
      <c r="K1113" s="1">
        <v>548</v>
      </c>
      <c r="L1113" s="7">
        <v>2773</v>
      </c>
      <c r="M1113" s="1">
        <v>12</v>
      </c>
      <c r="N1113" s="6">
        <v>0.1166</v>
      </c>
      <c r="O1113" s="1" t="s">
        <v>46</v>
      </c>
      <c r="P1113" s="1" t="s">
        <v>50</v>
      </c>
      <c r="Q1113" s="1">
        <v>17</v>
      </c>
      <c r="R1113" s="1">
        <v>1</v>
      </c>
      <c r="S1113" s="1" t="s">
        <v>31</v>
      </c>
      <c r="T1113" s="1" t="s">
        <v>31</v>
      </c>
      <c r="U1113" s="1">
        <v>1</v>
      </c>
      <c r="V1113" s="1">
        <v>115730</v>
      </c>
      <c r="W1113" s="7">
        <v>632.80999999999995</v>
      </c>
      <c r="X1113" s="1">
        <v>0.89</v>
      </c>
      <c r="Y1113" s="4">
        <v>44354</v>
      </c>
      <c r="Z1113" s="1" t="s">
        <v>32</v>
      </c>
      <c r="AA1113" s="1" t="s">
        <v>31</v>
      </c>
      <c r="AB1113" s="36" t="str" cm="1">
        <f t="array" ref="AB1113">_xlfn.IFS(K1113&gt;650,"LOW",K1113&gt;=550,"MEDIUM",K1113&lt;550,"HIGH")</f>
        <v>HIGH</v>
      </c>
    </row>
    <row r="1114" spans="3:28" x14ac:dyDescent="0.3">
      <c r="C1114" s="35" t="s">
        <v>3803</v>
      </c>
      <c r="D1114" s="1" t="s">
        <v>1809</v>
      </c>
      <c r="E1114" s="1">
        <v>31</v>
      </c>
      <c r="F1114" s="1" t="s">
        <v>44</v>
      </c>
      <c r="G1114" s="1" t="s">
        <v>56</v>
      </c>
      <c r="H1114" s="1" t="s">
        <v>36</v>
      </c>
      <c r="I1114" s="1" t="s">
        <v>40</v>
      </c>
      <c r="J1114" s="7">
        <v>134316</v>
      </c>
      <c r="K1114" s="1">
        <v>548</v>
      </c>
      <c r="L1114" s="7">
        <v>7822</v>
      </c>
      <c r="M1114" s="1">
        <v>60</v>
      </c>
      <c r="N1114" s="6">
        <v>0.1862</v>
      </c>
      <c r="O1114" s="1" t="s">
        <v>52</v>
      </c>
      <c r="P1114" s="1" t="s">
        <v>30</v>
      </c>
      <c r="Q1114" s="1">
        <v>13</v>
      </c>
      <c r="R1114" s="1">
        <v>3</v>
      </c>
      <c r="S1114" s="1" t="s">
        <v>31</v>
      </c>
      <c r="T1114" s="1" t="s">
        <v>33</v>
      </c>
      <c r="U1114" s="1">
        <v>0</v>
      </c>
      <c r="V1114" s="1">
        <v>86352</v>
      </c>
      <c r="W1114" s="7">
        <v>1980.31</v>
      </c>
      <c r="X1114" s="1">
        <v>0.85</v>
      </c>
      <c r="Y1114" s="4">
        <v>44177</v>
      </c>
      <c r="Z1114" s="1" t="s">
        <v>38</v>
      </c>
      <c r="AA1114" s="1" t="s">
        <v>33</v>
      </c>
      <c r="AB1114" s="36" t="str" cm="1">
        <f t="array" ref="AB1114">_xlfn.IFS(K1114&gt;650,"LOW",K1114&gt;=550,"MEDIUM",K1114&lt;550,"HIGH")</f>
        <v>HIGH</v>
      </c>
    </row>
    <row r="1115" spans="3:28" x14ac:dyDescent="0.3">
      <c r="C1115" s="35" t="s">
        <v>3061</v>
      </c>
      <c r="D1115" s="1" t="s">
        <v>1087</v>
      </c>
      <c r="E1115" s="1">
        <v>51</v>
      </c>
      <c r="F1115" s="1" t="s">
        <v>44</v>
      </c>
      <c r="G1115" s="1" t="s">
        <v>45</v>
      </c>
      <c r="H1115" s="1" t="s">
        <v>36</v>
      </c>
      <c r="I1115" s="1" t="s">
        <v>40</v>
      </c>
      <c r="J1115" s="7">
        <v>106840</v>
      </c>
      <c r="K1115" s="1">
        <v>547</v>
      </c>
      <c r="L1115" s="7">
        <v>48468</v>
      </c>
      <c r="M1115" s="1">
        <v>12</v>
      </c>
      <c r="N1115" s="6">
        <v>0.1356</v>
      </c>
      <c r="O1115" s="1" t="s">
        <v>41</v>
      </c>
      <c r="P1115" s="1" t="s">
        <v>30</v>
      </c>
      <c r="Q1115" s="1">
        <v>29</v>
      </c>
      <c r="R1115" s="1">
        <v>1</v>
      </c>
      <c r="S1115" s="1" t="s">
        <v>33</v>
      </c>
      <c r="T1115" s="1" t="s">
        <v>31</v>
      </c>
      <c r="U1115" s="1">
        <v>1</v>
      </c>
      <c r="V1115" s="1">
        <v>18658</v>
      </c>
      <c r="W1115" s="7">
        <v>1967.42</v>
      </c>
      <c r="X1115" s="1">
        <v>0.48</v>
      </c>
      <c r="Y1115" s="4">
        <v>44507</v>
      </c>
      <c r="Z1115" s="1" t="s">
        <v>32</v>
      </c>
      <c r="AA1115" s="1" t="s">
        <v>33</v>
      </c>
      <c r="AB1115" s="36" t="str" cm="1">
        <f t="array" ref="AB1115">_xlfn.IFS(K1115&gt;650,"LOW",K1115&gt;=550,"MEDIUM",K1115&lt;550,"HIGH")</f>
        <v>HIGH</v>
      </c>
    </row>
    <row r="1116" spans="3:28" x14ac:dyDescent="0.3">
      <c r="C1116" s="35" t="s">
        <v>3086</v>
      </c>
      <c r="D1116" s="1" t="s">
        <v>1112</v>
      </c>
      <c r="E1116" s="1">
        <v>63</v>
      </c>
      <c r="F1116" s="1" t="s">
        <v>44</v>
      </c>
      <c r="G1116" s="1" t="s">
        <v>56</v>
      </c>
      <c r="H1116" s="1" t="s">
        <v>61</v>
      </c>
      <c r="I1116" s="1" t="s">
        <v>40</v>
      </c>
      <c r="J1116" s="7">
        <v>62929</v>
      </c>
      <c r="K1116" s="1">
        <v>547</v>
      </c>
      <c r="L1116" s="7">
        <v>5300</v>
      </c>
      <c r="M1116" s="1">
        <v>48</v>
      </c>
      <c r="N1116" s="6">
        <v>0.1192</v>
      </c>
      <c r="O1116" s="1" t="s">
        <v>41</v>
      </c>
      <c r="P1116" s="1" t="s">
        <v>30</v>
      </c>
      <c r="Q1116" s="1">
        <v>11</v>
      </c>
      <c r="R1116" s="1">
        <v>1</v>
      </c>
      <c r="S1116" s="1" t="s">
        <v>33</v>
      </c>
      <c r="T1116" s="1" t="s">
        <v>31</v>
      </c>
      <c r="U1116" s="1">
        <v>1</v>
      </c>
      <c r="V1116" s="1">
        <v>43813</v>
      </c>
      <c r="W1116" s="7">
        <v>1558.56</v>
      </c>
      <c r="X1116" s="1">
        <v>0.93</v>
      </c>
      <c r="Y1116" s="4">
        <v>45309</v>
      </c>
      <c r="Z1116" s="1" t="s">
        <v>32</v>
      </c>
      <c r="AA1116" s="1" t="s">
        <v>33</v>
      </c>
      <c r="AB1116" s="36" t="str" cm="1">
        <f t="array" ref="AB1116">_xlfn.IFS(K1116&gt;650,"LOW",K1116&gt;=550,"MEDIUM",K1116&lt;550,"HIGH")</f>
        <v>HIGH</v>
      </c>
    </row>
    <row r="1117" spans="3:28" x14ac:dyDescent="0.3">
      <c r="C1117" s="35" t="s">
        <v>2891</v>
      </c>
      <c r="D1117" s="1" t="s">
        <v>919</v>
      </c>
      <c r="E1117" s="1">
        <v>26</v>
      </c>
      <c r="F1117" s="1" t="s">
        <v>44</v>
      </c>
      <c r="G1117" s="1" t="s">
        <v>56</v>
      </c>
      <c r="H1117" s="1" t="s">
        <v>61</v>
      </c>
      <c r="I1117" s="1" t="s">
        <v>57</v>
      </c>
      <c r="J1117" s="7">
        <v>35791</v>
      </c>
      <c r="K1117" s="1">
        <v>546</v>
      </c>
      <c r="L1117" s="7">
        <v>20323</v>
      </c>
      <c r="M1117" s="1">
        <v>60</v>
      </c>
      <c r="N1117" s="6">
        <v>0.15410000000000001</v>
      </c>
      <c r="O1117" s="1" t="s">
        <v>46</v>
      </c>
      <c r="P1117" s="1" t="s">
        <v>50</v>
      </c>
      <c r="Q1117" s="1">
        <v>3</v>
      </c>
      <c r="R1117" s="1">
        <v>0</v>
      </c>
      <c r="S1117" s="1" t="s">
        <v>31</v>
      </c>
      <c r="T1117" s="1" t="s">
        <v>31</v>
      </c>
      <c r="U1117" s="1">
        <v>2</v>
      </c>
      <c r="V1117" s="1">
        <v>107889</v>
      </c>
      <c r="W1117" s="7">
        <v>1645.11</v>
      </c>
      <c r="X1117" s="1">
        <v>0.97</v>
      </c>
      <c r="Y1117" s="4">
        <v>44687</v>
      </c>
      <c r="Z1117" s="1" t="s">
        <v>38</v>
      </c>
      <c r="AA1117" s="1" t="s">
        <v>33</v>
      </c>
      <c r="AB1117" s="36" t="str" cm="1">
        <f t="array" ref="AB1117">_xlfn.IFS(K1117&gt;650,"LOW",K1117&gt;=550,"MEDIUM",K1117&lt;550,"HIGH")</f>
        <v>HIGH</v>
      </c>
    </row>
    <row r="1118" spans="3:28" x14ac:dyDescent="0.3">
      <c r="C1118" s="35" t="s">
        <v>3963</v>
      </c>
      <c r="D1118" s="1" t="s">
        <v>1415</v>
      </c>
      <c r="E1118" s="1">
        <v>21</v>
      </c>
      <c r="F1118" s="1" t="s">
        <v>26</v>
      </c>
      <c r="G1118" s="1" t="s">
        <v>27</v>
      </c>
      <c r="H1118" s="1" t="s">
        <v>54</v>
      </c>
      <c r="I1118" s="1" t="s">
        <v>57</v>
      </c>
      <c r="J1118" s="7">
        <v>146736</v>
      </c>
      <c r="K1118" s="1">
        <v>546</v>
      </c>
      <c r="L1118" s="7">
        <v>39680</v>
      </c>
      <c r="M1118" s="1">
        <v>24</v>
      </c>
      <c r="N1118" s="6">
        <v>8.6800000000000002E-2</v>
      </c>
      <c r="O1118" s="1" t="s">
        <v>41</v>
      </c>
      <c r="P1118" s="1" t="s">
        <v>47</v>
      </c>
      <c r="Q1118" s="1">
        <v>3</v>
      </c>
      <c r="R1118" s="1">
        <v>0</v>
      </c>
      <c r="S1118" s="1" t="s">
        <v>31</v>
      </c>
      <c r="T1118" s="1" t="s">
        <v>31</v>
      </c>
      <c r="U1118" s="1">
        <v>0</v>
      </c>
      <c r="V1118" s="1">
        <v>32291</v>
      </c>
      <c r="W1118" s="7">
        <v>1961.41</v>
      </c>
      <c r="X1118" s="1">
        <v>0.24</v>
      </c>
      <c r="Y1118" s="4">
        <v>45521</v>
      </c>
      <c r="Z1118" s="1" t="s">
        <v>32</v>
      </c>
      <c r="AA1118" s="1" t="s">
        <v>33</v>
      </c>
      <c r="AB1118" s="36" t="str" cm="1">
        <f t="array" ref="AB1118">_xlfn.IFS(K1118&gt;650,"LOW",K1118&gt;=550,"MEDIUM",K1118&lt;550,"HIGH")</f>
        <v>HIGH</v>
      </c>
    </row>
    <row r="1119" spans="3:28" x14ac:dyDescent="0.3">
      <c r="C1119" s="35" t="s">
        <v>2156</v>
      </c>
      <c r="D1119" s="1" t="s">
        <v>187</v>
      </c>
      <c r="E1119" s="1">
        <v>62</v>
      </c>
      <c r="F1119" s="1" t="s">
        <v>26</v>
      </c>
      <c r="G1119" s="1" t="s">
        <v>35</v>
      </c>
      <c r="H1119" s="1" t="s">
        <v>28</v>
      </c>
      <c r="I1119" s="1" t="s">
        <v>29</v>
      </c>
      <c r="J1119" s="7">
        <v>30367</v>
      </c>
      <c r="K1119" s="1">
        <v>545</v>
      </c>
      <c r="L1119" s="7">
        <v>6988</v>
      </c>
      <c r="M1119" s="1">
        <v>48</v>
      </c>
      <c r="N1119" s="6">
        <v>0.1105</v>
      </c>
      <c r="O1119" s="1" t="s">
        <v>41</v>
      </c>
      <c r="P1119" s="1" t="s">
        <v>47</v>
      </c>
      <c r="Q1119" s="1">
        <v>4</v>
      </c>
      <c r="R1119" s="1">
        <v>3</v>
      </c>
      <c r="S1119" s="1" t="s">
        <v>31</v>
      </c>
      <c r="T1119" s="1" t="s">
        <v>31</v>
      </c>
      <c r="U1119" s="1">
        <v>3</v>
      </c>
      <c r="V1119" s="1">
        <v>77694</v>
      </c>
      <c r="W1119" s="7">
        <v>1417.86</v>
      </c>
      <c r="X1119" s="1">
        <v>0.84</v>
      </c>
      <c r="Y1119" s="4">
        <v>44906</v>
      </c>
      <c r="Z1119" s="1" t="s">
        <v>32</v>
      </c>
      <c r="AA1119" s="1" t="s">
        <v>33</v>
      </c>
      <c r="AB1119" s="36" t="str" cm="1">
        <f t="array" ref="AB1119">_xlfn.IFS(K1119&gt;650,"LOW",K1119&gt;=550,"MEDIUM",K1119&lt;550,"HIGH")</f>
        <v>HIGH</v>
      </c>
    </row>
    <row r="1120" spans="3:28" x14ac:dyDescent="0.3">
      <c r="C1120" s="35" t="s">
        <v>2515</v>
      </c>
      <c r="D1120" s="1" t="s">
        <v>545</v>
      </c>
      <c r="E1120" s="1">
        <v>46</v>
      </c>
      <c r="F1120" s="1" t="s">
        <v>44</v>
      </c>
      <c r="G1120" s="1" t="s">
        <v>27</v>
      </c>
      <c r="H1120" s="1" t="s">
        <v>61</v>
      </c>
      <c r="I1120" s="1" t="s">
        <v>59</v>
      </c>
      <c r="J1120" s="7">
        <v>112227</v>
      </c>
      <c r="K1120" s="1">
        <v>545</v>
      </c>
      <c r="L1120" s="7">
        <v>33499</v>
      </c>
      <c r="M1120" s="1">
        <v>48</v>
      </c>
      <c r="N1120" s="6">
        <v>7.0800000000000002E-2</v>
      </c>
      <c r="O1120" s="1" t="s">
        <v>5</v>
      </c>
      <c r="P1120" s="1" t="s">
        <v>50</v>
      </c>
      <c r="Q1120" s="1">
        <v>22</v>
      </c>
      <c r="R1120" s="1">
        <v>1</v>
      </c>
      <c r="S1120" s="1" t="s">
        <v>33</v>
      </c>
      <c r="T1120" s="1" t="s">
        <v>31</v>
      </c>
      <c r="U1120" s="1">
        <v>2</v>
      </c>
      <c r="V1120" s="1">
        <v>160012</v>
      </c>
      <c r="W1120" s="7">
        <v>226.37</v>
      </c>
      <c r="X1120" s="1">
        <v>0.15</v>
      </c>
      <c r="Y1120" s="4">
        <v>44906</v>
      </c>
      <c r="Z1120" s="1" t="s">
        <v>32</v>
      </c>
      <c r="AA1120" s="1" t="s">
        <v>33</v>
      </c>
      <c r="AB1120" s="36" t="str" cm="1">
        <f t="array" ref="AB1120">_xlfn.IFS(K1120&gt;650,"LOW",K1120&gt;=550,"MEDIUM",K1120&lt;550,"HIGH")</f>
        <v>HIGH</v>
      </c>
    </row>
    <row r="1121" spans="3:28" x14ac:dyDescent="0.3">
      <c r="C1121" s="35" t="s">
        <v>2527</v>
      </c>
      <c r="D1121" s="1" t="s">
        <v>557</v>
      </c>
      <c r="E1121" s="1">
        <v>56</v>
      </c>
      <c r="F1121" s="1" t="s">
        <v>44</v>
      </c>
      <c r="G1121" s="1" t="s">
        <v>35</v>
      </c>
      <c r="H1121" s="1" t="s">
        <v>61</v>
      </c>
      <c r="I1121" s="1" t="s">
        <v>29</v>
      </c>
      <c r="J1121" s="7">
        <v>66691</v>
      </c>
      <c r="K1121" s="1">
        <v>545</v>
      </c>
      <c r="L1121" s="7">
        <v>35579</v>
      </c>
      <c r="M1121" s="1">
        <v>36</v>
      </c>
      <c r="N1121" s="6">
        <v>0.10249999999999999</v>
      </c>
      <c r="O1121" s="1" t="s">
        <v>63</v>
      </c>
      <c r="P1121" s="1" t="s">
        <v>50</v>
      </c>
      <c r="Q1121" s="1">
        <v>22</v>
      </c>
      <c r="R1121" s="1">
        <v>4</v>
      </c>
      <c r="S1121" s="1" t="s">
        <v>31</v>
      </c>
      <c r="T1121" s="1" t="s">
        <v>33</v>
      </c>
      <c r="U1121" s="1">
        <v>1</v>
      </c>
      <c r="V1121" s="1">
        <v>136882</v>
      </c>
      <c r="W1121" s="7">
        <v>666.59</v>
      </c>
      <c r="X1121" s="1">
        <v>0.94</v>
      </c>
      <c r="Y1121" s="4">
        <v>45442</v>
      </c>
      <c r="Z1121" s="1" t="s">
        <v>32</v>
      </c>
      <c r="AA1121" s="1" t="s">
        <v>33</v>
      </c>
      <c r="AB1121" s="36" t="str" cm="1">
        <f t="array" ref="AB1121">_xlfn.IFS(K1121&gt;650,"LOW",K1121&gt;=550,"MEDIUM",K1121&lt;550,"HIGH")</f>
        <v>HIGH</v>
      </c>
    </row>
    <row r="1122" spans="3:28" x14ac:dyDescent="0.3">
      <c r="C1122" s="35" t="s">
        <v>2541</v>
      </c>
      <c r="D1122" s="1" t="s">
        <v>571</v>
      </c>
      <c r="E1122" s="1">
        <v>57</v>
      </c>
      <c r="F1122" s="1" t="s">
        <v>44</v>
      </c>
      <c r="G1122" s="1" t="s">
        <v>45</v>
      </c>
      <c r="H1122" s="1" t="s">
        <v>61</v>
      </c>
      <c r="I1122" s="1" t="s">
        <v>40</v>
      </c>
      <c r="J1122" s="7">
        <v>140050</v>
      </c>
      <c r="K1122" s="1">
        <v>545</v>
      </c>
      <c r="L1122" s="7">
        <v>16932</v>
      </c>
      <c r="M1122" s="1">
        <v>48</v>
      </c>
      <c r="N1122" s="6">
        <v>0.19359999999999999</v>
      </c>
      <c r="O1122" s="1" t="s">
        <v>5</v>
      </c>
      <c r="P1122" s="1" t="s">
        <v>50</v>
      </c>
      <c r="Q1122" s="1">
        <v>2</v>
      </c>
      <c r="R1122" s="1">
        <v>0</v>
      </c>
      <c r="S1122" s="1" t="s">
        <v>33</v>
      </c>
      <c r="T1122" s="1" t="s">
        <v>31</v>
      </c>
      <c r="U1122" s="1">
        <v>3</v>
      </c>
      <c r="V1122" s="1">
        <v>32567</v>
      </c>
      <c r="W1122" s="7">
        <v>772.59</v>
      </c>
      <c r="X1122" s="1">
        <v>0.3</v>
      </c>
      <c r="Y1122" s="4">
        <v>44029</v>
      </c>
      <c r="Z1122" s="1" t="s">
        <v>32</v>
      </c>
      <c r="AA1122" s="1" t="s">
        <v>33</v>
      </c>
      <c r="AB1122" s="36" t="str" cm="1">
        <f t="array" ref="AB1122">_xlfn.IFS(K1122&gt;650,"LOW",K1122&gt;=550,"MEDIUM",K1122&lt;550,"HIGH")</f>
        <v>HIGH</v>
      </c>
    </row>
    <row r="1123" spans="3:28" x14ac:dyDescent="0.3">
      <c r="C1123" s="35" t="s">
        <v>2490</v>
      </c>
      <c r="D1123" s="1" t="s">
        <v>520</v>
      </c>
      <c r="E1123" s="1">
        <v>32</v>
      </c>
      <c r="F1123" s="1" t="s">
        <v>44</v>
      </c>
      <c r="G1123" s="1" t="s">
        <v>35</v>
      </c>
      <c r="H1123" s="1" t="s">
        <v>28</v>
      </c>
      <c r="I1123" s="1" t="s">
        <v>40</v>
      </c>
      <c r="J1123" s="7">
        <v>39643</v>
      </c>
      <c r="K1123" s="1">
        <v>544</v>
      </c>
      <c r="L1123" s="7">
        <v>9308</v>
      </c>
      <c r="M1123" s="1">
        <v>24</v>
      </c>
      <c r="N1123" s="6">
        <v>0.18539999999999998</v>
      </c>
      <c r="O1123" s="1" t="s">
        <v>5</v>
      </c>
      <c r="P1123" s="1" t="s">
        <v>50</v>
      </c>
      <c r="Q1123" s="1">
        <v>16</v>
      </c>
      <c r="R1123" s="1">
        <v>3</v>
      </c>
      <c r="S1123" s="1" t="s">
        <v>33</v>
      </c>
      <c r="T1123" s="1" t="s">
        <v>31</v>
      </c>
      <c r="U1123" s="1">
        <v>3</v>
      </c>
      <c r="V1123" s="1">
        <v>190923</v>
      </c>
      <c r="W1123" s="7">
        <v>415.64</v>
      </c>
      <c r="X1123" s="1">
        <v>0.78</v>
      </c>
      <c r="Y1123" s="4">
        <v>44236</v>
      </c>
      <c r="Z1123" s="1" t="s">
        <v>32</v>
      </c>
      <c r="AA1123" s="1" t="s">
        <v>31</v>
      </c>
      <c r="AB1123" s="36" t="str" cm="1">
        <f t="array" ref="AB1123">_xlfn.IFS(K1123&gt;650,"LOW",K1123&gt;=550,"MEDIUM",K1123&lt;550,"HIGH")</f>
        <v>HIGH</v>
      </c>
    </row>
    <row r="1124" spans="3:28" x14ac:dyDescent="0.3">
      <c r="C1124" s="35" t="s">
        <v>3423</v>
      </c>
      <c r="D1124" s="1" t="s">
        <v>1443</v>
      </c>
      <c r="E1124" s="1">
        <v>42</v>
      </c>
      <c r="F1124" s="1" t="s">
        <v>26</v>
      </c>
      <c r="G1124" s="1" t="s">
        <v>35</v>
      </c>
      <c r="H1124" s="1" t="s">
        <v>28</v>
      </c>
      <c r="I1124" s="1" t="s">
        <v>57</v>
      </c>
      <c r="J1124" s="7">
        <v>125754</v>
      </c>
      <c r="K1124" s="1">
        <v>544</v>
      </c>
      <c r="L1124" s="7">
        <v>43548</v>
      </c>
      <c r="M1124" s="1">
        <v>12</v>
      </c>
      <c r="N1124" s="6">
        <v>0.15429999999999999</v>
      </c>
      <c r="O1124" s="1" t="s">
        <v>46</v>
      </c>
      <c r="P1124" s="1" t="s">
        <v>47</v>
      </c>
      <c r="Q1124" s="1">
        <v>8</v>
      </c>
      <c r="R1124" s="1">
        <v>4</v>
      </c>
      <c r="S1124" s="1" t="s">
        <v>33</v>
      </c>
      <c r="T1124" s="1" t="s">
        <v>33</v>
      </c>
      <c r="U1124" s="1">
        <v>1</v>
      </c>
      <c r="V1124" s="1">
        <v>173403</v>
      </c>
      <c r="W1124" s="7">
        <v>1090.4100000000001</v>
      </c>
      <c r="X1124" s="1">
        <v>0.98</v>
      </c>
      <c r="Y1124" s="4">
        <v>44102</v>
      </c>
      <c r="Z1124" s="1" t="s">
        <v>38</v>
      </c>
      <c r="AA1124" s="1" t="s">
        <v>33</v>
      </c>
      <c r="AB1124" s="36" t="str" cm="1">
        <f t="array" ref="AB1124">_xlfn.IFS(K1124&gt;650,"LOW",K1124&gt;=550,"MEDIUM",K1124&lt;550,"HIGH")</f>
        <v>HIGH</v>
      </c>
    </row>
    <row r="1125" spans="3:28" x14ac:dyDescent="0.3">
      <c r="C1125" s="35" t="s">
        <v>3724</v>
      </c>
      <c r="D1125" s="1" t="s">
        <v>1733</v>
      </c>
      <c r="E1125" s="1">
        <v>37</v>
      </c>
      <c r="F1125" s="1" t="s">
        <v>26</v>
      </c>
      <c r="G1125" s="1" t="s">
        <v>27</v>
      </c>
      <c r="H1125" s="1" t="s">
        <v>28</v>
      </c>
      <c r="I1125" s="1" t="s">
        <v>57</v>
      </c>
      <c r="J1125" s="7">
        <v>39276</v>
      </c>
      <c r="K1125" s="1">
        <v>544</v>
      </c>
      <c r="L1125" s="7">
        <v>12881</v>
      </c>
      <c r="M1125" s="1">
        <v>12</v>
      </c>
      <c r="N1125" s="6">
        <v>0.16370000000000001</v>
      </c>
      <c r="O1125" s="1" t="s">
        <v>37</v>
      </c>
      <c r="P1125" s="1" t="s">
        <v>50</v>
      </c>
      <c r="Q1125" s="1">
        <v>7</v>
      </c>
      <c r="R1125" s="1">
        <v>4</v>
      </c>
      <c r="S1125" s="1" t="s">
        <v>33</v>
      </c>
      <c r="T1125" s="1" t="s">
        <v>31</v>
      </c>
      <c r="U1125" s="1">
        <v>4</v>
      </c>
      <c r="V1125" s="1">
        <v>7223</v>
      </c>
      <c r="W1125" s="7">
        <v>1122.56</v>
      </c>
      <c r="X1125" s="1">
        <v>0.43</v>
      </c>
      <c r="Y1125" s="4">
        <v>44357</v>
      </c>
      <c r="Z1125" s="1" t="s">
        <v>32</v>
      </c>
      <c r="AA1125" s="1" t="s">
        <v>33</v>
      </c>
      <c r="AB1125" s="36" t="str" cm="1">
        <f t="array" ref="AB1125">_xlfn.IFS(K1125&gt;650,"LOW",K1125&gt;=550,"MEDIUM",K1125&lt;550,"HIGH")</f>
        <v>HIGH</v>
      </c>
    </row>
    <row r="1126" spans="3:28" x14ac:dyDescent="0.3">
      <c r="C1126" s="35" t="s">
        <v>2734</v>
      </c>
      <c r="D1126" s="1" t="s">
        <v>764</v>
      </c>
      <c r="E1126" s="1">
        <v>24</v>
      </c>
      <c r="F1126" s="1" t="s">
        <v>26</v>
      </c>
      <c r="G1126" s="1" t="s">
        <v>56</v>
      </c>
      <c r="H1126" s="1" t="s">
        <v>61</v>
      </c>
      <c r="I1126" s="1" t="s">
        <v>59</v>
      </c>
      <c r="J1126" s="7">
        <v>79238</v>
      </c>
      <c r="K1126" s="1">
        <v>543</v>
      </c>
      <c r="L1126" s="7">
        <v>28897</v>
      </c>
      <c r="M1126" s="1">
        <v>12</v>
      </c>
      <c r="N1126" s="6">
        <v>0.185</v>
      </c>
      <c r="O1126" s="1" t="s">
        <v>46</v>
      </c>
      <c r="P1126" s="1" t="s">
        <v>50</v>
      </c>
      <c r="Q1126" s="1">
        <v>4</v>
      </c>
      <c r="R1126" s="1">
        <v>4</v>
      </c>
      <c r="S1126" s="1" t="s">
        <v>33</v>
      </c>
      <c r="T1126" s="1" t="s">
        <v>31</v>
      </c>
      <c r="U1126" s="1">
        <v>4</v>
      </c>
      <c r="V1126" s="1">
        <v>126385</v>
      </c>
      <c r="W1126" s="7">
        <v>909.87</v>
      </c>
      <c r="X1126" s="1">
        <v>0.49</v>
      </c>
      <c r="Y1126" s="4">
        <v>45463</v>
      </c>
      <c r="Z1126" s="1" t="s">
        <v>38</v>
      </c>
      <c r="AA1126" s="1" t="s">
        <v>33</v>
      </c>
      <c r="AB1126" s="36" t="str" cm="1">
        <f t="array" ref="AB1126">_xlfn.IFS(K1126&gt;650,"LOW",K1126&gt;=550,"MEDIUM",K1126&lt;550,"HIGH")</f>
        <v>HIGH</v>
      </c>
    </row>
    <row r="1127" spans="3:28" x14ac:dyDescent="0.3">
      <c r="C1127" s="35" t="s">
        <v>2796</v>
      </c>
      <c r="D1127" s="1" t="s">
        <v>824</v>
      </c>
      <c r="E1127" s="1">
        <v>51</v>
      </c>
      <c r="F1127" s="1" t="s">
        <v>44</v>
      </c>
      <c r="G1127" s="1" t="s">
        <v>45</v>
      </c>
      <c r="H1127" s="1" t="s">
        <v>28</v>
      </c>
      <c r="I1127" s="1" t="s">
        <v>29</v>
      </c>
      <c r="J1127" s="7">
        <v>57387</v>
      </c>
      <c r="K1127" s="1">
        <v>543</v>
      </c>
      <c r="L1127" s="7">
        <v>28794</v>
      </c>
      <c r="M1127" s="1">
        <v>36</v>
      </c>
      <c r="N1127" s="6">
        <v>0.1376</v>
      </c>
      <c r="O1127" s="1" t="s">
        <v>52</v>
      </c>
      <c r="P1127" s="1" t="s">
        <v>30</v>
      </c>
      <c r="Q1127" s="1">
        <v>1</v>
      </c>
      <c r="R1127" s="1">
        <v>1</v>
      </c>
      <c r="S1127" s="1" t="s">
        <v>33</v>
      </c>
      <c r="T1127" s="1" t="s">
        <v>33</v>
      </c>
      <c r="U1127" s="1">
        <v>2</v>
      </c>
      <c r="V1127" s="1">
        <v>36264</v>
      </c>
      <c r="W1127" s="7">
        <v>1560.84</v>
      </c>
      <c r="X1127" s="1">
        <v>0.88</v>
      </c>
      <c r="Y1127" s="4">
        <v>44917</v>
      </c>
      <c r="Z1127" s="1" t="s">
        <v>32</v>
      </c>
      <c r="AA1127" s="1" t="s">
        <v>33</v>
      </c>
      <c r="AB1127" s="36" t="str" cm="1">
        <f t="array" ref="AB1127">_xlfn.IFS(K1127&gt;650,"LOW",K1127&gt;=550,"MEDIUM",K1127&lt;550,"HIGH")</f>
        <v>HIGH</v>
      </c>
    </row>
    <row r="1128" spans="3:28" x14ac:dyDescent="0.3">
      <c r="C1128" s="35" t="s">
        <v>3480</v>
      </c>
      <c r="D1128" s="1" t="s">
        <v>1498</v>
      </c>
      <c r="E1128" s="1">
        <v>27</v>
      </c>
      <c r="F1128" s="1" t="s">
        <v>26</v>
      </c>
      <c r="G1128" s="1" t="s">
        <v>45</v>
      </c>
      <c r="H1128" s="1" t="s">
        <v>61</v>
      </c>
      <c r="I1128" s="1" t="s">
        <v>59</v>
      </c>
      <c r="J1128" s="7">
        <v>50782</v>
      </c>
      <c r="K1128" s="1">
        <v>543</v>
      </c>
      <c r="L1128" s="7">
        <v>41148</v>
      </c>
      <c r="M1128" s="1">
        <v>60</v>
      </c>
      <c r="N1128" s="6">
        <v>0.16789999999999999</v>
      </c>
      <c r="O1128" s="1" t="s">
        <v>63</v>
      </c>
      <c r="P1128" s="1" t="s">
        <v>50</v>
      </c>
      <c r="Q1128" s="1">
        <v>12</v>
      </c>
      <c r="R1128" s="1">
        <v>0</v>
      </c>
      <c r="S1128" s="1" t="s">
        <v>33</v>
      </c>
      <c r="T1128" s="1" t="s">
        <v>33</v>
      </c>
      <c r="U1128" s="1">
        <v>2</v>
      </c>
      <c r="V1128" s="1">
        <v>165518</v>
      </c>
      <c r="W1128" s="7">
        <v>348.16</v>
      </c>
      <c r="X1128" s="1">
        <v>0.91</v>
      </c>
      <c r="Y1128" s="4">
        <v>44451</v>
      </c>
      <c r="Z1128" s="1" t="s">
        <v>32</v>
      </c>
      <c r="AA1128" s="1" t="s">
        <v>33</v>
      </c>
      <c r="AB1128" s="36" t="str" cm="1">
        <f t="array" ref="AB1128">_xlfn.IFS(K1128&gt;650,"LOW",K1128&gt;=550,"MEDIUM",K1128&lt;550,"HIGH")</f>
        <v>HIGH</v>
      </c>
    </row>
    <row r="1129" spans="3:28" x14ac:dyDescent="0.3">
      <c r="C1129" s="35" t="s">
        <v>3880</v>
      </c>
      <c r="D1129" s="1" t="s">
        <v>1886</v>
      </c>
      <c r="E1129" s="1">
        <v>45</v>
      </c>
      <c r="F1129" s="1" t="s">
        <v>26</v>
      </c>
      <c r="G1129" s="1" t="s">
        <v>56</v>
      </c>
      <c r="H1129" s="1" t="s">
        <v>28</v>
      </c>
      <c r="I1129" s="1" t="s">
        <v>29</v>
      </c>
      <c r="J1129" s="7">
        <v>57381</v>
      </c>
      <c r="K1129" s="1">
        <v>543</v>
      </c>
      <c r="L1129" s="7">
        <v>32976</v>
      </c>
      <c r="M1129" s="1">
        <v>48</v>
      </c>
      <c r="N1129" s="6">
        <v>0.10980000000000001</v>
      </c>
      <c r="O1129" s="1" t="s">
        <v>52</v>
      </c>
      <c r="P1129" s="1" t="s">
        <v>47</v>
      </c>
      <c r="Q1129" s="1">
        <v>2</v>
      </c>
      <c r="R1129" s="1">
        <v>1</v>
      </c>
      <c r="S1129" s="1" t="s">
        <v>31</v>
      </c>
      <c r="T1129" s="1" t="s">
        <v>31</v>
      </c>
      <c r="U1129" s="1">
        <v>1</v>
      </c>
      <c r="V1129" s="1">
        <v>139335</v>
      </c>
      <c r="W1129" s="7">
        <v>510.2</v>
      </c>
      <c r="X1129" s="1">
        <v>0.4</v>
      </c>
      <c r="Y1129" s="4">
        <v>45311</v>
      </c>
      <c r="Z1129" s="1" t="s">
        <v>32</v>
      </c>
      <c r="AA1129" s="1" t="s">
        <v>33</v>
      </c>
      <c r="AB1129" s="36" t="str" cm="1">
        <f t="array" ref="AB1129">_xlfn.IFS(K1129&gt;650,"LOW",K1129&gt;=550,"MEDIUM",K1129&lt;550,"HIGH")</f>
        <v>HIGH</v>
      </c>
    </row>
    <row r="1130" spans="3:28" x14ac:dyDescent="0.3">
      <c r="C1130" s="35" t="s">
        <v>3510</v>
      </c>
      <c r="D1130" s="1" t="s">
        <v>1527</v>
      </c>
      <c r="E1130" s="1">
        <v>24</v>
      </c>
      <c r="F1130" s="1" t="s">
        <v>44</v>
      </c>
      <c r="G1130" s="1" t="s">
        <v>56</v>
      </c>
      <c r="H1130" s="1" t="s">
        <v>61</v>
      </c>
      <c r="I1130" s="1" t="s">
        <v>57</v>
      </c>
      <c r="J1130" s="7">
        <v>33163</v>
      </c>
      <c r="K1130" s="1">
        <v>542</v>
      </c>
      <c r="L1130" s="7">
        <v>47947</v>
      </c>
      <c r="M1130" s="1">
        <v>24</v>
      </c>
      <c r="N1130" s="6">
        <v>0.1948</v>
      </c>
      <c r="O1130" s="1" t="s">
        <v>63</v>
      </c>
      <c r="P1130" s="1" t="s">
        <v>30</v>
      </c>
      <c r="Q1130" s="1">
        <v>2</v>
      </c>
      <c r="R1130" s="1">
        <v>0</v>
      </c>
      <c r="S1130" s="1" t="s">
        <v>31</v>
      </c>
      <c r="T1130" s="1" t="s">
        <v>31</v>
      </c>
      <c r="U1130" s="1">
        <v>2</v>
      </c>
      <c r="V1130" s="1">
        <v>170350</v>
      </c>
      <c r="W1130" s="7">
        <v>1737.94</v>
      </c>
      <c r="X1130" s="1">
        <v>0.36</v>
      </c>
      <c r="Y1130" s="4">
        <v>44540</v>
      </c>
      <c r="Z1130" s="1" t="s">
        <v>38</v>
      </c>
      <c r="AA1130" s="1" t="s">
        <v>33</v>
      </c>
      <c r="AB1130" s="36" t="str" cm="1">
        <f t="array" ref="AB1130">_xlfn.IFS(K1130&gt;650,"LOW",K1130&gt;=550,"MEDIUM",K1130&lt;550,"HIGH")</f>
        <v>HIGH</v>
      </c>
    </row>
    <row r="1131" spans="3:28" x14ac:dyDescent="0.3">
      <c r="C1131" s="35" t="s">
        <v>3647</v>
      </c>
      <c r="D1131" s="1" t="s">
        <v>1659</v>
      </c>
      <c r="E1131" s="1">
        <v>54</v>
      </c>
      <c r="F1131" s="1" t="s">
        <v>26</v>
      </c>
      <c r="G1131" s="1" t="s">
        <v>56</v>
      </c>
      <c r="H1131" s="1" t="s">
        <v>54</v>
      </c>
      <c r="I1131" s="1" t="s">
        <v>40</v>
      </c>
      <c r="J1131" s="7">
        <v>28998</v>
      </c>
      <c r="K1131" s="1">
        <v>542</v>
      </c>
      <c r="L1131" s="7">
        <v>27118</v>
      </c>
      <c r="M1131" s="1">
        <v>36</v>
      </c>
      <c r="N1131" s="6">
        <v>8.2400000000000001E-2</v>
      </c>
      <c r="O1131" s="1" t="s">
        <v>52</v>
      </c>
      <c r="P1131" s="1" t="s">
        <v>30</v>
      </c>
      <c r="Q1131" s="1">
        <v>6</v>
      </c>
      <c r="R1131" s="1">
        <v>3</v>
      </c>
      <c r="S1131" s="1" t="s">
        <v>33</v>
      </c>
      <c r="T1131" s="1" t="s">
        <v>31</v>
      </c>
      <c r="U1131" s="1">
        <v>2</v>
      </c>
      <c r="V1131" s="1">
        <v>113417</v>
      </c>
      <c r="W1131" s="7">
        <v>1611.08</v>
      </c>
      <c r="X1131" s="1">
        <v>0.32</v>
      </c>
      <c r="Y1131" s="4">
        <v>45426</v>
      </c>
      <c r="Z1131" s="1" t="s">
        <v>38</v>
      </c>
      <c r="AA1131" s="1" t="s">
        <v>33</v>
      </c>
      <c r="AB1131" s="36" t="str" cm="1">
        <f t="array" ref="AB1131">_xlfn.IFS(K1131&gt;650,"LOW",K1131&gt;=550,"MEDIUM",K1131&lt;550,"HIGH")</f>
        <v>HIGH</v>
      </c>
    </row>
    <row r="1132" spans="3:28" x14ac:dyDescent="0.3">
      <c r="C1132" s="35" t="s">
        <v>3925</v>
      </c>
      <c r="D1132" s="1" t="s">
        <v>1929</v>
      </c>
      <c r="E1132" s="1">
        <v>35</v>
      </c>
      <c r="F1132" s="1" t="s">
        <v>26</v>
      </c>
      <c r="G1132" s="1" t="s">
        <v>27</v>
      </c>
      <c r="H1132" s="1" t="s">
        <v>36</v>
      </c>
      <c r="I1132" s="1" t="s">
        <v>29</v>
      </c>
      <c r="J1132" s="7">
        <v>88274</v>
      </c>
      <c r="K1132" s="1">
        <v>542</v>
      </c>
      <c r="L1132" s="7">
        <v>31105</v>
      </c>
      <c r="M1132" s="1">
        <v>36</v>
      </c>
      <c r="N1132" s="6">
        <v>0.16210000000000002</v>
      </c>
      <c r="O1132" s="1" t="s">
        <v>52</v>
      </c>
      <c r="P1132" s="1" t="s">
        <v>30</v>
      </c>
      <c r="Q1132" s="1">
        <v>2</v>
      </c>
      <c r="R1132" s="1">
        <v>2</v>
      </c>
      <c r="S1132" s="1" t="s">
        <v>33</v>
      </c>
      <c r="T1132" s="1" t="s">
        <v>31</v>
      </c>
      <c r="U1132" s="1">
        <v>4</v>
      </c>
      <c r="V1132" s="1">
        <v>114210</v>
      </c>
      <c r="W1132" s="7">
        <v>111.4</v>
      </c>
      <c r="X1132" s="1">
        <v>0.28999999999999998</v>
      </c>
      <c r="Y1132" s="4">
        <v>45715</v>
      </c>
      <c r="Z1132" s="1" t="s">
        <v>38</v>
      </c>
      <c r="AA1132" s="1" t="s">
        <v>33</v>
      </c>
      <c r="AB1132" s="36" t="str" cm="1">
        <f t="array" ref="AB1132">_xlfn.IFS(K1132&gt;650,"LOW",K1132&gt;=550,"MEDIUM",K1132&lt;550,"HIGH")</f>
        <v>HIGH</v>
      </c>
    </row>
    <row r="1133" spans="3:28" x14ac:dyDescent="0.3">
      <c r="C1133" s="35" t="s">
        <v>4001</v>
      </c>
      <c r="D1133" s="1" t="s">
        <v>2001</v>
      </c>
      <c r="E1133" s="1">
        <v>45</v>
      </c>
      <c r="F1133" s="1" t="s">
        <v>44</v>
      </c>
      <c r="G1133" s="1" t="s">
        <v>45</v>
      </c>
      <c r="H1133" s="1" t="s">
        <v>28</v>
      </c>
      <c r="I1133" s="1" t="s">
        <v>59</v>
      </c>
      <c r="J1133" s="7">
        <v>95956</v>
      </c>
      <c r="K1133" s="1">
        <v>542</v>
      </c>
      <c r="L1133" s="7">
        <v>17600</v>
      </c>
      <c r="M1133" s="1">
        <v>60</v>
      </c>
      <c r="N1133" s="6">
        <v>0.18440000000000001</v>
      </c>
      <c r="O1133" s="1" t="s">
        <v>52</v>
      </c>
      <c r="P1133" s="1" t="s">
        <v>47</v>
      </c>
      <c r="Q1133" s="1">
        <v>7</v>
      </c>
      <c r="R1133" s="1">
        <v>4</v>
      </c>
      <c r="S1133" s="1" t="s">
        <v>31</v>
      </c>
      <c r="T1133" s="1" t="s">
        <v>31</v>
      </c>
      <c r="U1133" s="1">
        <v>4</v>
      </c>
      <c r="V1133" s="1">
        <v>47595</v>
      </c>
      <c r="W1133" s="7">
        <v>473.92</v>
      </c>
      <c r="X1133" s="1">
        <v>0.43</v>
      </c>
      <c r="Y1133" s="4">
        <v>44236</v>
      </c>
      <c r="Z1133" s="1" t="s">
        <v>32</v>
      </c>
      <c r="AA1133" s="1" t="s">
        <v>33</v>
      </c>
      <c r="AB1133" s="36" t="str" cm="1">
        <f t="array" ref="AB1133">_xlfn.IFS(K1133&gt;650,"LOW",K1133&gt;=550,"MEDIUM",K1133&lt;550,"HIGH")</f>
        <v>HIGH</v>
      </c>
    </row>
    <row r="1134" spans="3:28" x14ac:dyDescent="0.3">
      <c r="C1134" s="35" t="s">
        <v>2961</v>
      </c>
      <c r="D1134" s="1" t="s">
        <v>989</v>
      </c>
      <c r="E1134" s="1">
        <v>29</v>
      </c>
      <c r="F1134" s="1" t="s">
        <v>26</v>
      </c>
      <c r="G1134" s="1" t="s">
        <v>56</v>
      </c>
      <c r="H1134" s="1" t="s">
        <v>61</v>
      </c>
      <c r="I1134" s="1" t="s">
        <v>59</v>
      </c>
      <c r="J1134" s="7">
        <v>100664</v>
      </c>
      <c r="K1134" s="1">
        <v>541</v>
      </c>
      <c r="L1134" s="7">
        <v>18488</v>
      </c>
      <c r="M1134" s="1">
        <v>36</v>
      </c>
      <c r="N1134" s="6">
        <v>6.0199999999999997E-2</v>
      </c>
      <c r="O1134" s="1" t="s">
        <v>52</v>
      </c>
      <c r="P1134" s="1" t="s">
        <v>30</v>
      </c>
      <c r="Q1134" s="1">
        <v>19</v>
      </c>
      <c r="R1134" s="1">
        <v>2</v>
      </c>
      <c r="S1134" s="1" t="s">
        <v>33</v>
      </c>
      <c r="T1134" s="1" t="s">
        <v>31</v>
      </c>
      <c r="U1134" s="1">
        <v>4</v>
      </c>
      <c r="V1134" s="1">
        <v>180207</v>
      </c>
      <c r="W1134" s="7">
        <v>827.06</v>
      </c>
      <c r="X1134" s="1">
        <v>0.61</v>
      </c>
      <c r="Y1134" s="4">
        <v>44342</v>
      </c>
      <c r="Z1134" s="1" t="s">
        <v>32</v>
      </c>
      <c r="AA1134" s="1" t="s">
        <v>33</v>
      </c>
      <c r="AB1134" s="36" t="str" cm="1">
        <f t="array" ref="AB1134">_xlfn.IFS(K1134&gt;650,"LOW",K1134&gt;=550,"MEDIUM",K1134&lt;550,"HIGH")</f>
        <v>HIGH</v>
      </c>
    </row>
    <row r="1135" spans="3:28" x14ac:dyDescent="0.3">
      <c r="C1135" s="35" t="s">
        <v>3996</v>
      </c>
      <c r="D1135" s="1" t="s">
        <v>1996</v>
      </c>
      <c r="E1135" s="1">
        <v>22</v>
      </c>
      <c r="F1135" s="1" t="s">
        <v>44</v>
      </c>
      <c r="G1135" s="1" t="s">
        <v>56</v>
      </c>
      <c r="H1135" s="1" t="s">
        <v>54</v>
      </c>
      <c r="I1135" s="1" t="s">
        <v>57</v>
      </c>
      <c r="J1135" s="7">
        <v>68340</v>
      </c>
      <c r="K1135" s="1">
        <v>541</v>
      </c>
      <c r="L1135" s="7">
        <v>14861</v>
      </c>
      <c r="M1135" s="1">
        <v>12</v>
      </c>
      <c r="N1135" s="6">
        <v>8.4499999999999992E-2</v>
      </c>
      <c r="O1135" s="1" t="s">
        <v>46</v>
      </c>
      <c r="P1135" s="1" t="s">
        <v>47</v>
      </c>
      <c r="Q1135" s="1">
        <v>2</v>
      </c>
      <c r="R1135" s="1">
        <v>3</v>
      </c>
      <c r="S1135" s="1" t="s">
        <v>31</v>
      </c>
      <c r="T1135" s="1" t="s">
        <v>31</v>
      </c>
      <c r="U1135" s="1">
        <v>4</v>
      </c>
      <c r="V1135" s="1">
        <v>125593</v>
      </c>
      <c r="W1135" s="7">
        <v>1933.96</v>
      </c>
      <c r="X1135" s="1">
        <v>0.81</v>
      </c>
      <c r="Y1135" s="4">
        <v>45833</v>
      </c>
      <c r="Z1135" s="1" t="s">
        <v>32</v>
      </c>
      <c r="AA1135" s="1" t="s">
        <v>31</v>
      </c>
      <c r="AB1135" s="36" t="str" cm="1">
        <f t="array" ref="AB1135">_xlfn.IFS(K1135&gt;650,"LOW",K1135&gt;=550,"MEDIUM",K1135&lt;550,"HIGH")</f>
        <v>HIGH</v>
      </c>
    </row>
    <row r="1136" spans="3:28" x14ac:dyDescent="0.3">
      <c r="C1136" s="35" t="s">
        <v>3016</v>
      </c>
      <c r="D1136" s="1" t="s">
        <v>1043</v>
      </c>
      <c r="E1136" s="1">
        <v>22</v>
      </c>
      <c r="F1136" s="1" t="s">
        <v>44</v>
      </c>
      <c r="G1136" s="1" t="s">
        <v>35</v>
      </c>
      <c r="H1136" s="1" t="s">
        <v>28</v>
      </c>
      <c r="I1136" s="1" t="s">
        <v>57</v>
      </c>
      <c r="J1136" s="7">
        <v>25796</v>
      </c>
      <c r="K1136" s="1">
        <v>540</v>
      </c>
      <c r="L1136" s="7">
        <v>11529</v>
      </c>
      <c r="M1136" s="1">
        <v>48</v>
      </c>
      <c r="N1136" s="6">
        <v>5.2199999999999996E-2</v>
      </c>
      <c r="O1136" s="1" t="s">
        <v>41</v>
      </c>
      <c r="P1136" s="1" t="s">
        <v>30</v>
      </c>
      <c r="Q1136" s="1">
        <v>24</v>
      </c>
      <c r="R1136" s="1">
        <v>0</v>
      </c>
      <c r="S1136" s="1" t="s">
        <v>31</v>
      </c>
      <c r="T1136" s="1" t="s">
        <v>31</v>
      </c>
      <c r="U1136" s="1">
        <v>2</v>
      </c>
      <c r="V1136" s="1">
        <v>13699</v>
      </c>
      <c r="W1136" s="7">
        <v>286.02999999999997</v>
      </c>
      <c r="X1136" s="1">
        <v>0.39</v>
      </c>
      <c r="Y1136" s="4">
        <v>44109</v>
      </c>
      <c r="Z1136" s="1" t="s">
        <v>32</v>
      </c>
      <c r="AA1136" s="1" t="s">
        <v>33</v>
      </c>
      <c r="AB1136" s="36" t="str" cm="1">
        <f t="array" ref="AB1136">_xlfn.IFS(K1136&gt;650,"LOW",K1136&gt;=550,"MEDIUM",K1136&lt;550,"HIGH")</f>
        <v>HIGH</v>
      </c>
    </row>
    <row r="1137" spans="3:28" x14ac:dyDescent="0.3">
      <c r="C1137" s="35" t="s">
        <v>3495</v>
      </c>
      <c r="D1137" s="1" t="s">
        <v>1512</v>
      </c>
      <c r="E1137" s="1">
        <v>29</v>
      </c>
      <c r="F1137" s="1" t="s">
        <v>26</v>
      </c>
      <c r="G1137" s="1" t="s">
        <v>56</v>
      </c>
      <c r="H1137" s="1" t="s">
        <v>28</v>
      </c>
      <c r="I1137" s="1" t="s">
        <v>59</v>
      </c>
      <c r="J1137" s="7">
        <v>29677</v>
      </c>
      <c r="K1137" s="1">
        <v>540</v>
      </c>
      <c r="L1137" s="7">
        <v>37355</v>
      </c>
      <c r="M1137" s="1">
        <v>36</v>
      </c>
      <c r="N1137" s="6">
        <v>0.14810000000000001</v>
      </c>
      <c r="O1137" s="1" t="s">
        <v>5</v>
      </c>
      <c r="P1137" s="1" t="s">
        <v>50</v>
      </c>
      <c r="Q1137" s="1">
        <v>26</v>
      </c>
      <c r="R1137" s="1">
        <v>2</v>
      </c>
      <c r="S1137" s="1" t="s">
        <v>31</v>
      </c>
      <c r="T1137" s="1" t="s">
        <v>31</v>
      </c>
      <c r="U1137" s="1">
        <v>0</v>
      </c>
      <c r="V1137" s="1">
        <v>23409</v>
      </c>
      <c r="W1137" s="7">
        <v>1979.64</v>
      </c>
      <c r="X1137" s="1">
        <v>0.39</v>
      </c>
      <c r="Y1137" s="4">
        <v>45553</v>
      </c>
      <c r="Z1137" s="1" t="s">
        <v>32</v>
      </c>
      <c r="AA1137" s="1" t="s">
        <v>33</v>
      </c>
      <c r="AB1137" s="36" t="str" cm="1">
        <f t="array" ref="AB1137">_xlfn.IFS(K1137&gt;650,"LOW",K1137&gt;=550,"MEDIUM",K1137&lt;550,"HIGH")</f>
        <v>HIGH</v>
      </c>
    </row>
    <row r="1138" spans="3:28" x14ac:dyDescent="0.3">
      <c r="C1138" s="35" t="s">
        <v>3626</v>
      </c>
      <c r="D1138" s="1" t="s">
        <v>1638</v>
      </c>
      <c r="E1138" s="1">
        <v>30</v>
      </c>
      <c r="F1138" s="1" t="s">
        <v>44</v>
      </c>
      <c r="G1138" s="1" t="s">
        <v>45</v>
      </c>
      <c r="H1138" s="1" t="s">
        <v>61</v>
      </c>
      <c r="I1138" s="1" t="s">
        <v>40</v>
      </c>
      <c r="J1138" s="7">
        <v>145014</v>
      </c>
      <c r="K1138" s="1">
        <v>540</v>
      </c>
      <c r="L1138" s="7">
        <v>48109</v>
      </c>
      <c r="M1138" s="1">
        <v>60</v>
      </c>
      <c r="N1138" s="6">
        <v>0.1668</v>
      </c>
      <c r="O1138" s="1" t="s">
        <v>5</v>
      </c>
      <c r="P1138" s="1" t="s">
        <v>47</v>
      </c>
      <c r="Q1138" s="1">
        <v>23</v>
      </c>
      <c r="R1138" s="1">
        <v>4</v>
      </c>
      <c r="S1138" s="1" t="s">
        <v>33</v>
      </c>
      <c r="T1138" s="1" t="s">
        <v>33</v>
      </c>
      <c r="U1138" s="1">
        <v>2</v>
      </c>
      <c r="V1138" s="1">
        <v>146977</v>
      </c>
      <c r="W1138" s="7">
        <v>1994.95</v>
      </c>
      <c r="X1138" s="1">
        <v>0.7</v>
      </c>
      <c r="Y1138" s="4">
        <v>44414</v>
      </c>
      <c r="Z1138" s="1" t="s">
        <v>38</v>
      </c>
      <c r="AA1138" s="1" t="s">
        <v>33</v>
      </c>
      <c r="AB1138" s="36" t="str" cm="1">
        <f t="array" ref="AB1138">_xlfn.IFS(K1138&gt;650,"LOW",K1138&gt;=550,"MEDIUM",K1138&lt;550,"HIGH")</f>
        <v>HIGH</v>
      </c>
    </row>
    <row r="1139" spans="3:28" x14ac:dyDescent="0.3">
      <c r="C1139" s="35" t="s">
        <v>2772</v>
      </c>
      <c r="D1139" s="1" t="s">
        <v>800</v>
      </c>
      <c r="E1139" s="1">
        <v>44</v>
      </c>
      <c r="F1139" s="1" t="s">
        <v>44</v>
      </c>
      <c r="G1139" s="1" t="s">
        <v>45</v>
      </c>
      <c r="H1139" s="1" t="s">
        <v>36</v>
      </c>
      <c r="I1139" s="1" t="s">
        <v>29</v>
      </c>
      <c r="J1139" s="7">
        <v>81991</v>
      </c>
      <c r="K1139" s="1">
        <v>539</v>
      </c>
      <c r="L1139" s="7">
        <v>45669</v>
      </c>
      <c r="M1139" s="1">
        <v>24</v>
      </c>
      <c r="N1139" s="6">
        <v>8.4499999999999992E-2</v>
      </c>
      <c r="O1139" s="1" t="s">
        <v>63</v>
      </c>
      <c r="P1139" s="1" t="s">
        <v>50</v>
      </c>
      <c r="Q1139" s="1">
        <v>10</v>
      </c>
      <c r="R1139" s="1">
        <v>0</v>
      </c>
      <c r="S1139" s="1" t="s">
        <v>31</v>
      </c>
      <c r="T1139" s="1" t="s">
        <v>31</v>
      </c>
      <c r="U1139" s="1">
        <v>1</v>
      </c>
      <c r="V1139" s="1">
        <v>85066</v>
      </c>
      <c r="W1139" s="7">
        <v>138.44</v>
      </c>
      <c r="X1139" s="1">
        <v>0.63</v>
      </c>
      <c r="Y1139" s="4">
        <v>44336</v>
      </c>
      <c r="Z1139" s="1" t="s">
        <v>38</v>
      </c>
      <c r="AA1139" s="1" t="s">
        <v>33</v>
      </c>
      <c r="AB1139" s="36" t="str" cm="1">
        <f t="array" ref="AB1139">_xlfn.IFS(K1139&gt;650,"LOW",K1139&gt;=550,"MEDIUM",K1139&lt;550,"HIGH")</f>
        <v>HIGH</v>
      </c>
    </row>
    <row r="1140" spans="3:28" x14ac:dyDescent="0.3">
      <c r="C1140" s="35" t="s">
        <v>2833</v>
      </c>
      <c r="D1140" s="1" t="s">
        <v>861</v>
      </c>
      <c r="E1140" s="1">
        <v>37</v>
      </c>
      <c r="F1140" s="1" t="s">
        <v>44</v>
      </c>
      <c r="G1140" s="1" t="s">
        <v>56</v>
      </c>
      <c r="H1140" s="1" t="s">
        <v>54</v>
      </c>
      <c r="I1140" s="1" t="s">
        <v>40</v>
      </c>
      <c r="J1140" s="7">
        <v>34385</v>
      </c>
      <c r="K1140" s="1">
        <v>539</v>
      </c>
      <c r="L1140" s="7">
        <v>27974</v>
      </c>
      <c r="M1140" s="1">
        <v>48</v>
      </c>
      <c r="N1140" s="6">
        <v>0.17710000000000001</v>
      </c>
      <c r="O1140" s="1" t="s">
        <v>63</v>
      </c>
      <c r="P1140" s="1" t="s">
        <v>30</v>
      </c>
      <c r="Q1140" s="1">
        <v>14</v>
      </c>
      <c r="R1140" s="1">
        <v>3</v>
      </c>
      <c r="S1140" s="1" t="s">
        <v>33</v>
      </c>
      <c r="T1140" s="1" t="s">
        <v>31</v>
      </c>
      <c r="U1140" s="1">
        <v>4</v>
      </c>
      <c r="V1140" s="1">
        <v>14388</v>
      </c>
      <c r="W1140" s="7">
        <v>1675.58</v>
      </c>
      <c r="X1140" s="1">
        <v>0.64</v>
      </c>
      <c r="Y1140" s="4">
        <v>44221</v>
      </c>
      <c r="Z1140" s="1" t="s">
        <v>38</v>
      </c>
      <c r="AA1140" s="1" t="s">
        <v>31</v>
      </c>
      <c r="AB1140" s="36" t="str" cm="1">
        <f t="array" ref="AB1140">_xlfn.IFS(K1140&gt;650,"LOW",K1140&gt;=550,"MEDIUM",K1140&lt;550,"HIGH")</f>
        <v>HIGH</v>
      </c>
    </row>
    <row r="1141" spans="3:28" x14ac:dyDescent="0.3">
      <c r="C1141" s="35" t="s">
        <v>3549</v>
      </c>
      <c r="D1141" s="1" t="s">
        <v>1566</v>
      </c>
      <c r="E1141" s="1">
        <v>23</v>
      </c>
      <c r="F1141" s="1" t="s">
        <v>44</v>
      </c>
      <c r="G1141" s="1" t="s">
        <v>35</v>
      </c>
      <c r="H1141" s="1" t="s">
        <v>28</v>
      </c>
      <c r="I1141" s="1" t="s">
        <v>40</v>
      </c>
      <c r="J1141" s="7">
        <v>78703</v>
      </c>
      <c r="K1141" s="1">
        <v>539</v>
      </c>
      <c r="L1141" s="7">
        <v>1763</v>
      </c>
      <c r="M1141" s="1">
        <v>60</v>
      </c>
      <c r="N1141" s="6">
        <v>0.1103</v>
      </c>
      <c r="O1141" s="1" t="s">
        <v>41</v>
      </c>
      <c r="P1141" s="1" t="s">
        <v>30</v>
      </c>
      <c r="Q1141" s="1">
        <v>22</v>
      </c>
      <c r="R1141" s="1">
        <v>4</v>
      </c>
      <c r="S1141" s="1" t="s">
        <v>31</v>
      </c>
      <c r="T1141" s="1" t="s">
        <v>31</v>
      </c>
      <c r="U1141" s="1">
        <v>1</v>
      </c>
      <c r="V1141" s="1">
        <v>130596</v>
      </c>
      <c r="W1141" s="7">
        <v>450.93</v>
      </c>
      <c r="X1141" s="1">
        <v>0.13</v>
      </c>
      <c r="Y1141" s="4">
        <v>44487</v>
      </c>
      <c r="Z1141" s="1" t="s">
        <v>38</v>
      </c>
      <c r="AA1141" s="1" t="s">
        <v>33</v>
      </c>
      <c r="AB1141" s="36" t="str" cm="1">
        <f t="array" ref="AB1141">_xlfn.IFS(K1141&gt;650,"LOW",K1141&gt;=550,"MEDIUM",K1141&lt;550,"HIGH")</f>
        <v>HIGH</v>
      </c>
    </row>
    <row r="1142" spans="3:28" x14ac:dyDescent="0.3">
      <c r="C1142" s="35" t="s">
        <v>2256</v>
      </c>
      <c r="D1142" s="1" t="s">
        <v>287</v>
      </c>
      <c r="E1142" s="1">
        <v>61</v>
      </c>
      <c r="F1142" s="1" t="s">
        <v>44</v>
      </c>
      <c r="G1142" s="1" t="s">
        <v>56</v>
      </c>
      <c r="H1142" s="1" t="s">
        <v>61</v>
      </c>
      <c r="I1142" s="1" t="s">
        <v>29</v>
      </c>
      <c r="J1142" s="7">
        <v>23052</v>
      </c>
      <c r="K1142" s="1">
        <v>538</v>
      </c>
      <c r="L1142" s="7">
        <v>38097</v>
      </c>
      <c r="M1142" s="1">
        <v>48</v>
      </c>
      <c r="N1142" s="6">
        <v>9.4E-2</v>
      </c>
      <c r="O1142" s="1" t="s">
        <v>52</v>
      </c>
      <c r="P1142" s="1" t="s">
        <v>47</v>
      </c>
      <c r="Q1142" s="1">
        <v>10</v>
      </c>
      <c r="R1142" s="1">
        <v>2</v>
      </c>
      <c r="S1142" s="1" t="s">
        <v>31</v>
      </c>
      <c r="T1142" s="1" t="s">
        <v>33</v>
      </c>
      <c r="U1142" s="1">
        <v>0</v>
      </c>
      <c r="V1142" s="1">
        <v>32137</v>
      </c>
      <c r="W1142" s="7">
        <v>661.85</v>
      </c>
      <c r="X1142" s="1">
        <v>0.83</v>
      </c>
      <c r="Y1142" s="4">
        <v>45274</v>
      </c>
      <c r="Z1142" s="1" t="s">
        <v>32</v>
      </c>
      <c r="AA1142" s="1" t="s">
        <v>33</v>
      </c>
      <c r="AB1142" s="36" t="str" cm="1">
        <f t="array" ref="AB1142">_xlfn.IFS(K1142&gt;650,"LOW",K1142&gt;=550,"MEDIUM",K1142&lt;550,"HIGH")</f>
        <v>HIGH</v>
      </c>
    </row>
    <row r="1143" spans="3:28" x14ac:dyDescent="0.3">
      <c r="C1143" s="35" t="s">
        <v>2271</v>
      </c>
      <c r="D1143" s="1" t="s">
        <v>302</v>
      </c>
      <c r="E1143" s="1">
        <v>27</v>
      </c>
      <c r="F1143" s="1" t="s">
        <v>26</v>
      </c>
      <c r="G1143" s="1" t="s">
        <v>27</v>
      </c>
      <c r="H1143" s="1" t="s">
        <v>61</v>
      </c>
      <c r="I1143" s="1" t="s">
        <v>57</v>
      </c>
      <c r="J1143" s="7">
        <v>77602</v>
      </c>
      <c r="K1143" s="1">
        <v>538</v>
      </c>
      <c r="L1143" s="7">
        <v>7057</v>
      </c>
      <c r="M1143" s="1">
        <v>48</v>
      </c>
      <c r="N1143" s="6">
        <v>5.3399999999999996E-2</v>
      </c>
      <c r="O1143" s="1" t="s">
        <v>5</v>
      </c>
      <c r="P1143" s="1" t="s">
        <v>30</v>
      </c>
      <c r="Q1143" s="1">
        <v>10</v>
      </c>
      <c r="R1143" s="1">
        <v>0</v>
      </c>
      <c r="S1143" s="1" t="s">
        <v>31</v>
      </c>
      <c r="T1143" s="1" t="s">
        <v>33</v>
      </c>
      <c r="U1143" s="1">
        <v>1</v>
      </c>
      <c r="V1143" s="1">
        <v>164653</v>
      </c>
      <c r="W1143" s="7">
        <v>1478.13</v>
      </c>
      <c r="X1143" s="1">
        <v>0.32</v>
      </c>
      <c r="Y1143" s="4">
        <v>45611</v>
      </c>
      <c r="Z1143" s="1" t="s">
        <v>38</v>
      </c>
      <c r="AA1143" s="1" t="s">
        <v>31</v>
      </c>
      <c r="AB1143" s="36" t="str" cm="1">
        <f t="array" ref="AB1143">_xlfn.IFS(K1143&gt;650,"LOW",K1143&gt;=550,"MEDIUM",K1143&lt;550,"HIGH")</f>
        <v>HIGH</v>
      </c>
    </row>
    <row r="1144" spans="3:28" x14ac:dyDescent="0.3">
      <c r="C1144" s="35" t="s">
        <v>2443</v>
      </c>
      <c r="D1144" s="1" t="s">
        <v>473</v>
      </c>
      <c r="E1144" s="1">
        <v>59</v>
      </c>
      <c r="F1144" s="1" t="s">
        <v>44</v>
      </c>
      <c r="G1144" s="1" t="s">
        <v>35</v>
      </c>
      <c r="H1144" s="1" t="s">
        <v>61</v>
      </c>
      <c r="I1144" s="1" t="s">
        <v>29</v>
      </c>
      <c r="J1144" s="7">
        <v>100632</v>
      </c>
      <c r="K1144" s="1">
        <v>538</v>
      </c>
      <c r="L1144" s="7">
        <v>28567</v>
      </c>
      <c r="M1144" s="1">
        <v>12</v>
      </c>
      <c r="N1144" s="6">
        <v>7.4099999999999999E-2</v>
      </c>
      <c r="O1144" s="1" t="s">
        <v>52</v>
      </c>
      <c r="P1144" s="1" t="s">
        <v>50</v>
      </c>
      <c r="Q1144" s="1">
        <v>5</v>
      </c>
      <c r="R1144" s="1">
        <v>1</v>
      </c>
      <c r="S1144" s="1" t="s">
        <v>31</v>
      </c>
      <c r="T1144" s="1" t="s">
        <v>33</v>
      </c>
      <c r="U1144" s="1">
        <v>2</v>
      </c>
      <c r="V1144" s="1">
        <v>133009</v>
      </c>
      <c r="W1144" s="7">
        <v>160.65</v>
      </c>
      <c r="X1144" s="1">
        <v>0.14000000000000001</v>
      </c>
      <c r="Y1144" s="4">
        <v>45732</v>
      </c>
      <c r="Z1144" s="1" t="s">
        <v>32</v>
      </c>
      <c r="AA1144" s="1" t="s">
        <v>33</v>
      </c>
      <c r="AB1144" s="36" t="str" cm="1">
        <f t="array" ref="AB1144">_xlfn.IFS(K1144&gt;650,"LOW",K1144&gt;=550,"MEDIUM",K1144&lt;550,"HIGH")</f>
        <v>HIGH</v>
      </c>
    </row>
    <row r="1145" spans="3:28" x14ac:dyDescent="0.3">
      <c r="C1145" s="35" t="s">
        <v>2853</v>
      </c>
      <c r="D1145" s="1" t="s">
        <v>881</v>
      </c>
      <c r="E1145" s="1">
        <v>63</v>
      </c>
      <c r="F1145" s="1" t="s">
        <v>44</v>
      </c>
      <c r="G1145" s="1" t="s">
        <v>27</v>
      </c>
      <c r="H1145" s="1" t="s">
        <v>28</v>
      </c>
      <c r="I1145" s="1" t="s">
        <v>57</v>
      </c>
      <c r="J1145" s="7">
        <v>70713</v>
      </c>
      <c r="K1145" s="1">
        <v>538</v>
      </c>
      <c r="L1145" s="7">
        <v>42723</v>
      </c>
      <c r="M1145" s="1">
        <v>24</v>
      </c>
      <c r="N1145" s="6">
        <v>5.0700000000000002E-2</v>
      </c>
      <c r="O1145" s="1" t="s">
        <v>46</v>
      </c>
      <c r="P1145" s="1" t="s">
        <v>50</v>
      </c>
      <c r="Q1145" s="1">
        <v>15</v>
      </c>
      <c r="R1145" s="1">
        <v>3</v>
      </c>
      <c r="S1145" s="1" t="s">
        <v>31</v>
      </c>
      <c r="T1145" s="1" t="s">
        <v>31</v>
      </c>
      <c r="U1145" s="1">
        <v>0</v>
      </c>
      <c r="V1145" s="1">
        <v>96895</v>
      </c>
      <c r="W1145" s="7">
        <v>948.83</v>
      </c>
      <c r="X1145" s="1">
        <v>0.41</v>
      </c>
      <c r="Y1145" s="4">
        <v>45658</v>
      </c>
      <c r="Z1145" s="1" t="s">
        <v>38</v>
      </c>
      <c r="AA1145" s="1" t="s">
        <v>33</v>
      </c>
      <c r="AB1145" s="36" t="str" cm="1">
        <f t="array" ref="AB1145">_xlfn.IFS(K1145&gt;650,"LOW",K1145&gt;=550,"MEDIUM",K1145&lt;550,"HIGH")</f>
        <v>HIGH</v>
      </c>
    </row>
    <row r="1146" spans="3:28" x14ac:dyDescent="0.3">
      <c r="C1146" s="35" t="s">
        <v>2752</v>
      </c>
      <c r="D1146" s="1" t="s">
        <v>782</v>
      </c>
      <c r="E1146" s="1">
        <v>37</v>
      </c>
      <c r="F1146" s="1" t="s">
        <v>44</v>
      </c>
      <c r="G1146" s="1" t="s">
        <v>45</v>
      </c>
      <c r="H1146" s="1" t="s">
        <v>54</v>
      </c>
      <c r="I1146" s="1" t="s">
        <v>57</v>
      </c>
      <c r="J1146" s="7">
        <v>57755</v>
      </c>
      <c r="K1146" s="1">
        <v>537</v>
      </c>
      <c r="L1146" s="7">
        <v>9933</v>
      </c>
      <c r="M1146" s="1">
        <v>48</v>
      </c>
      <c r="N1146" s="6">
        <v>0.1018</v>
      </c>
      <c r="O1146" s="1" t="s">
        <v>41</v>
      </c>
      <c r="P1146" s="1" t="s">
        <v>50</v>
      </c>
      <c r="Q1146" s="1">
        <v>10</v>
      </c>
      <c r="R1146" s="1">
        <v>2</v>
      </c>
      <c r="S1146" s="1" t="s">
        <v>33</v>
      </c>
      <c r="T1146" s="1" t="s">
        <v>31</v>
      </c>
      <c r="U1146" s="1">
        <v>4</v>
      </c>
      <c r="V1146" s="1">
        <v>106342</v>
      </c>
      <c r="W1146" s="7">
        <v>610.20000000000005</v>
      </c>
      <c r="X1146" s="1">
        <v>0.68</v>
      </c>
      <c r="Y1146" s="4">
        <v>44896</v>
      </c>
      <c r="Z1146" s="1" t="s">
        <v>38</v>
      </c>
      <c r="AA1146" s="1" t="s">
        <v>31</v>
      </c>
      <c r="AB1146" s="36" t="str" cm="1">
        <f t="array" ref="AB1146">_xlfn.IFS(K1146&gt;650,"LOW",K1146&gt;=550,"MEDIUM",K1146&lt;550,"HIGH")</f>
        <v>HIGH</v>
      </c>
    </row>
    <row r="1147" spans="3:28" x14ac:dyDescent="0.3">
      <c r="C1147" s="35" t="s">
        <v>4014</v>
      </c>
      <c r="D1147" s="1" t="s">
        <v>2014</v>
      </c>
      <c r="E1147" s="1">
        <v>26</v>
      </c>
      <c r="F1147" s="1" t="s">
        <v>26</v>
      </c>
      <c r="G1147" s="1" t="s">
        <v>45</v>
      </c>
      <c r="H1147" s="1" t="s">
        <v>61</v>
      </c>
      <c r="I1147" s="1" t="s">
        <v>57</v>
      </c>
      <c r="J1147" s="7">
        <v>127814</v>
      </c>
      <c r="K1147" s="1">
        <v>537</v>
      </c>
      <c r="L1147" s="7">
        <v>5427</v>
      </c>
      <c r="M1147" s="1">
        <v>24</v>
      </c>
      <c r="N1147" s="6">
        <v>0.17199999999999999</v>
      </c>
      <c r="O1147" s="1" t="s">
        <v>46</v>
      </c>
      <c r="P1147" s="1" t="s">
        <v>50</v>
      </c>
      <c r="Q1147" s="1">
        <v>2</v>
      </c>
      <c r="R1147" s="1">
        <v>3</v>
      </c>
      <c r="S1147" s="1" t="s">
        <v>33</v>
      </c>
      <c r="T1147" s="1" t="s">
        <v>33</v>
      </c>
      <c r="U1147" s="1">
        <v>1</v>
      </c>
      <c r="V1147" s="1">
        <v>96940</v>
      </c>
      <c r="W1147" s="7">
        <v>1210.22</v>
      </c>
      <c r="X1147" s="1">
        <v>0.62</v>
      </c>
      <c r="Y1147" s="4">
        <v>45045</v>
      </c>
      <c r="Z1147" s="1" t="s">
        <v>38</v>
      </c>
      <c r="AA1147" s="1" t="s">
        <v>33</v>
      </c>
      <c r="AB1147" s="36" t="str" cm="1">
        <f t="array" ref="AB1147">_xlfn.IFS(K1147&gt;650,"LOW",K1147&gt;=550,"MEDIUM",K1147&lt;550,"HIGH")</f>
        <v>HIGH</v>
      </c>
    </row>
    <row r="1148" spans="3:28" x14ac:dyDescent="0.3">
      <c r="C1148" s="35" t="s">
        <v>2912</v>
      </c>
      <c r="D1148" s="1" t="s">
        <v>940</v>
      </c>
      <c r="E1148" s="1">
        <v>26</v>
      </c>
      <c r="F1148" s="1" t="s">
        <v>44</v>
      </c>
      <c r="G1148" s="1" t="s">
        <v>56</v>
      </c>
      <c r="H1148" s="1" t="s">
        <v>61</v>
      </c>
      <c r="I1148" s="1" t="s">
        <v>29</v>
      </c>
      <c r="J1148" s="7">
        <v>103996</v>
      </c>
      <c r="K1148" s="1">
        <v>536</v>
      </c>
      <c r="L1148" s="7">
        <v>2614</v>
      </c>
      <c r="M1148" s="1">
        <v>36</v>
      </c>
      <c r="N1148" s="6">
        <v>0.1827</v>
      </c>
      <c r="O1148" s="1" t="s">
        <v>46</v>
      </c>
      <c r="P1148" s="1" t="s">
        <v>50</v>
      </c>
      <c r="Q1148" s="1">
        <v>1</v>
      </c>
      <c r="R1148" s="1">
        <v>1</v>
      </c>
      <c r="S1148" s="1" t="s">
        <v>31</v>
      </c>
      <c r="T1148" s="1" t="s">
        <v>33</v>
      </c>
      <c r="U1148" s="1">
        <v>4</v>
      </c>
      <c r="V1148" s="1">
        <v>142377</v>
      </c>
      <c r="W1148" s="7">
        <v>1234.54</v>
      </c>
      <c r="X1148" s="1">
        <v>0.4</v>
      </c>
      <c r="Y1148" s="4">
        <v>44542</v>
      </c>
      <c r="Z1148" s="1" t="s">
        <v>38</v>
      </c>
      <c r="AA1148" s="1" t="s">
        <v>33</v>
      </c>
      <c r="AB1148" s="36" t="str" cm="1">
        <f t="array" ref="AB1148">_xlfn.IFS(K1148&gt;650,"LOW",K1148&gt;=550,"MEDIUM",K1148&lt;550,"HIGH")</f>
        <v>HIGH</v>
      </c>
    </row>
    <row r="1149" spans="3:28" x14ac:dyDescent="0.3">
      <c r="C1149" s="35" t="s">
        <v>3221</v>
      </c>
      <c r="D1149" s="1" t="s">
        <v>1245</v>
      </c>
      <c r="E1149" s="1">
        <v>53</v>
      </c>
      <c r="F1149" s="1" t="s">
        <v>26</v>
      </c>
      <c r="G1149" s="1" t="s">
        <v>56</v>
      </c>
      <c r="H1149" s="1" t="s">
        <v>28</v>
      </c>
      <c r="I1149" s="1" t="s">
        <v>59</v>
      </c>
      <c r="J1149" s="7">
        <v>58170</v>
      </c>
      <c r="K1149" s="1">
        <v>536</v>
      </c>
      <c r="L1149" s="7">
        <v>15690</v>
      </c>
      <c r="M1149" s="1">
        <v>60</v>
      </c>
      <c r="N1149" s="6">
        <v>6.08E-2</v>
      </c>
      <c r="O1149" s="1" t="s">
        <v>37</v>
      </c>
      <c r="P1149" s="1" t="s">
        <v>30</v>
      </c>
      <c r="Q1149" s="1">
        <v>18</v>
      </c>
      <c r="R1149" s="1">
        <v>1</v>
      </c>
      <c r="S1149" s="1" t="s">
        <v>31</v>
      </c>
      <c r="T1149" s="1" t="s">
        <v>33</v>
      </c>
      <c r="U1149" s="1">
        <v>4</v>
      </c>
      <c r="V1149" s="1">
        <v>135574</v>
      </c>
      <c r="W1149" s="7">
        <v>535.74</v>
      </c>
      <c r="X1149" s="1">
        <v>0.99</v>
      </c>
      <c r="Y1149" s="4">
        <v>44593</v>
      </c>
      <c r="Z1149" s="1" t="s">
        <v>32</v>
      </c>
      <c r="AA1149" s="1" t="s">
        <v>31</v>
      </c>
      <c r="AB1149" s="36" t="str" cm="1">
        <f t="array" ref="AB1149">_xlfn.IFS(K1149&gt;650,"LOW",K1149&gt;=550,"MEDIUM",K1149&lt;550,"HIGH")</f>
        <v>HIGH</v>
      </c>
    </row>
    <row r="1150" spans="3:28" x14ac:dyDescent="0.3">
      <c r="C1150" s="35" t="s">
        <v>2294</v>
      </c>
      <c r="D1150" s="1" t="s">
        <v>325</v>
      </c>
      <c r="E1150" s="1">
        <v>60</v>
      </c>
      <c r="F1150" s="1" t="s">
        <v>26</v>
      </c>
      <c r="G1150" s="1" t="s">
        <v>27</v>
      </c>
      <c r="H1150" s="1" t="s">
        <v>36</v>
      </c>
      <c r="I1150" s="1" t="s">
        <v>57</v>
      </c>
      <c r="J1150" s="7">
        <v>88359</v>
      </c>
      <c r="K1150" s="1">
        <v>535</v>
      </c>
      <c r="L1150" s="7">
        <v>24880</v>
      </c>
      <c r="M1150" s="1">
        <v>24</v>
      </c>
      <c r="N1150" s="6">
        <v>0.11840000000000001</v>
      </c>
      <c r="O1150" s="1" t="s">
        <v>63</v>
      </c>
      <c r="P1150" s="1" t="s">
        <v>47</v>
      </c>
      <c r="Q1150" s="1">
        <v>26</v>
      </c>
      <c r="R1150" s="1">
        <v>1</v>
      </c>
      <c r="S1150" s="1" t="s">
        <v>33</v>
      </c>
      <c r="T1150" s="1" t="s">
        <v>31</v>
      </c>
      <c r="U1150" s="1">
        <v>0</v>
      </c>
      <c r="V1150" s="1">
        <v>154412</v>
      </c>
      <c r="W1150" s="7">
        <v>406.31</v>
      </c>
      <c r="X1150" s="1">
        <v>0.44</v>
      </c>
      <c r="Y1150" s="4">
        <v>45002</v>
      </c>
      <c r="Z1150" s="1" t="s">
        <v>38</v>
      </c>
      <c r="AA1150" s="1" t="s">
        <v>33</v>
      </c>
      <c r="AB1150" s="36" t="str" cm="1">
        <f t="array" ref="AB1150">_xlfn.IFS(K1150&gt;650,"LOW",K1150&gt;=550,"MEDIUM",K1150&lt;550,"HIGH")</f>
        <v>HIGH</v>
      </c>
    </row>
    <row r="1151" spans="3:28" x14ac:dyDescent="0.3">
      <c r="C1151" s="35" t="s">
        <v>2459</v>
      </c>
      <c r="D1151" s="1" t="s">
        <v>489</v>
      </c>
      <c r="E1151" s="1">
        <v>32</v>
      </c>
      <c r="F1151" s="1" t="s">
        <v>26</v>
      </c>
      <c r="G1151" s="1" t="s">
        <v>35</v>
      </c>
      <c r="H1151" s="1" t="s">
        <v>61</v>
      </c>
      <c r="I1151" s="1" t="s">
        <v>59</v>
      </c>
      <c r="J1151" s="7">
        <v>94854</v>
      </c>
      <c r="K1151" s="1">
        <v>535</v>
      </c>
      <c r="L1151" s="7">
        <v>49257</v>
      </c>
      <c r="M1151" s="1">
        <v>36</v>
      </c>
      <c r="N1151" s="6">
        <v>0.18640000000000001</v>
      </c>
      <c r="O1151" s="1" t="s">
        <v>63</v>
      </c>
      <c r="P1151" s="1" t="s">
        <v>30</v>
      </c>
      <c r="Q1151" s="1">
        <v>28</v>
      </c>
      <c r="R1151" s="1">
        <v>3</v>
      </c>
      <c r="S1151" s="1" t="s">
        <v>33</v>
      </c>
      <c r="T1151" s="1" t="s">
        <v>31</v>
      </c>
      <c r="U1151" s="1">
        <v>0</v>
      </c>
      <c r="V1151" s="1">
        <v>110423</v>
      </c>
      <c r="W1151" s="7">
        <v>140.51</v>
      </c>
      <c r="X1151" s="1">
        <v>0.45</v>
      </c>
      <c r="Y1151" s="4">
        <v>45505</v>
      </c>
      <c r="Z1151" s="1" t="s">
        <v>32</v>
      </c>
      <c r="AA1151" s="1" t="s">
        <v>33</v>
      </c>
      <c r="AB1151" s="36" t="str" cm="1">
        <f t="array" ref="AB1151">_xlfn.IFS(K1151&gt;650,"LOW",K1151&gt;=550,"MEDIUM",K1151&lt;550,"HIGH")</f>
        <v>HIGH</v>
      </c>
    </row>
    <row r="1152" spans="3:28" x14ac:dyDescent="0.3">
      <c r="C1152" s="35" t="s">
        <v>3627</v>
      </c>
      <c r="D1152" s="1" t="s">
        <v>1639</v>
      </c>
      <c r="E1152" s="1">
        <v>21</v>
      </c>
      <c r="F1152" s="1" t="s">
        <v>44</v>
      </c>
      <c r="G1152" s="1" t="s">
        <v>27</v>
      </c>
      <c r="H1152" s="1" t="s">
        <v>28</v>
      </c>
      <c r="I1152" s="1" t="s">
        <v>29</v>
      </c>
      <c r="J1152" s="7">
        <v>87313</v>
      </c>
      <c r="K1152" s="1">
        <v>535</v>
      </c>
      <c r="L1152" s="7">
        <v>20675</v>
      </c>
      <c r="M1152" s="1">
        <v>12</v>
      </c>
      <c r="N1152" s="6">
        <v>0.13150000000000001</v>
      </c>
      <c r="O1152" s="1" t="s">
        <v>63</v>
      </c>
      <c r="P1152" s="1" t="s">
        <v>50</v>
      </c>
      <c r="Q1152" s="1">
        <v>27</v>
      </c>
      <c r="R1152" s="1">
        <v>4</v>
      </c>
      <c r="S1152" s="1" t="s">
        <v>31</v>
      </c>
      <c r="T1152" s="1" t="s">
        <v>31</v>
      </c>
      <c r="U1152" s="1">
        <v>0</v>
      </c>
      <c r="V1152" s="1">
        <v>1591</v>
      </c>
      <c r="W1152" s="7">
        <v>1537.18</v>
      </c>
      <c r="X1152" s="1">
        <v>0.44</v>
      </c>
      <c r="Y1152" s="4">
        <v>44162</v>
      </c>
      <c r="Z1152" s="1" t="s">
        <v>32</v>
      </c>
      <c r="AA1152" s="1" t="s">
        <v>33</v>
      </c>
      <c r="AB1152" s="36" t="str" cm="1">
        <f t="array" ref="AB1152">_xlfn.IFS(K1152&gt;650,"LOW",K1152&gt;=550,"MEDIUM",K1152&lt;550,"HIGH")</f>
        <v>HIGH</v>
      </c>
    </row>
    <row r="1153" spans="3:28" x14ac:dyDescent="0.3">
      <c r="C1153" s="35" t="s">
        <v>2979</v>
      </c>
      <c r="D1153" s="1" t="s">
        <v>1007</v>
      </c>
      <c r="E1153" s="1">
        <v>55</v>
      </c>
      <c r="F1153" s="1" t="s">
        <v>44</v>
      </c>
      <c r="G1153" s="1" t="s">
        <v>45</v>
      </c>
      <c r="H1153" s="1" t="s">
        <v>61</v>
      </c>
      <c r="I1153" s="1" t="s">
        <v>29</v>
      </c>
      <c r="J1153" s="7">
        <v>147173</v>
      </c>
      <c r="K1153" s="1">
        <v>534</v>
      </c>
      <c r="L1153" s="7">
        <v>44271</v>
      </c>
      <c r="M1153" s="1">
        <v>12</v>
      </c>
      <c r="N1153" s="6">
        <v>0.1918</v>
      </c>
      <c r="O1153" s="1" t="s">
        <v>5</v>
      </c>
      <c r="P1153" s="1" t="s">
        <v>30</v>
      </c>
      <c r="Q1153" s="1">
        <v>13</v>
      </c>
      <c r="R1153" s="1">
        <v>0</v>
      </c>
      <c r="S1153" s="1" t="s">
        <v>31</v>
      </c>
      <c r="T1153" s="1" t="s">
        <v>33</v>
      </c>
      <c r="U1153" s="1">
        <v>1</v>
      </c>
      <c r="V1153" s="1">
        <v>69384</v>
      </c>
      <c r="W1153" s="7">
        <v>1118.48</v>
      </c>
      <c r="X1153" s="1">
        <v>0.3</v>
      </c>
      <c r="Y1153" s="4">
        <v>45393</v>
      </c>
      <c r="Z1153" s="1" t="s">
        <v>38</v>
      </c>
      <c r="AA1153" s="1" t="s">
        <v>33</v>
      </c>
      <c r="AB1153" s="36" t="str" cm="1">
        <f t="array" ref="AB1153">_xlfn.IFS(K1153&gt;650,"LOW",K1153&gt;=550,"MEDIUM",K1153&lt;550,"HIGH")</f>
        <v>HIGH</v>
      </c>
    </row>
    <row r="1154" spans="3:28" x14ac:dyDescent="0.3">
      <c r="C1154" s="35" t="s">
        <v>3419</v>
      </c>
      <c r="D1154" s="1" t="s">
        <v>1439</v>
      </c>
      <c r="E1154" s="1">
        <v>59</v>
      </c>
      <c r="F1154" s="1" t="s">
        <v>44</v>
      </c>
      <c r="G1154" s="1" t="s">
        <v>56</v>
      </c>
      <c r="H1154" s="1" t="s">
        <v>36</v>
      </c>
      <c r="I1154" s="1" t="s">
        <v>40</v>
      </c>
      <c r="J1154" s="7">
        <v>117605</v>
      </c>
      <c r="K1154" s="1">
        <v>534</v>
      </c>
      <c r="L1154" s="7">
        <v>29214</v>
      </c>
      <c r="M1154" s="1">
        <v>60</v>
      </c>
      <c r="N1154" s="6">
        <v>0.05</v>
      </c>
      <c r="O1154" s="1" t="s">
        <v>46</v>
      </c>
      <c r="P1154" s="1" t="s">
        <v>30</v>
      </c>
      <c r="Q1154" s="1">
        <v>23</v>
      </c>
      <c r="R1154" s="1">
        <v>0</v>
      </c>
      <c r="S1154" s="1" t="s">
        <v>31</v>
      </c>
      <c r="T1154" s="1" t="s">
        <v>31</v>
      </c>
      <c r="U1154" s="1">
        <v>4</v>
      </c>
      <c r="V1154" s="1">
        <v>99689</v>
      </c>
      <c r="W1154" s="7">
        <v>322.95</v>
      </c>
      <c r="X1154" s="1">
        <v>0.6</v>
      </c>
      <c r="Y1154" s="4">
        <v>45384</v>
      </c>
      <c r="Z1154" s="1" t="s">
        <v>32</v>
      </c>
      <c r="AA1154" s="1" t="s">
        <v>31</v>
      </c>
      <c r="AB1154" s="36" t="str" cm="1">
        <f t="array" ref="AB1154">_xlfn.IFS(K1154&gt;650,"LOW",K1154&gt;=550,"MEDIUM",K1154&lt;550,"HIGH")</f>
        <v>HIGH</v>
      </c>
    </row>
    <row r="1155" spans="3:28" x14ac:dyDescent="0.3">
      <c r="C1155" s="35" t="s">
        <v>3455</v>
      </c>
      <c r="D1155" s="1" t="s">
        <v>1473</v>
      </c>
      <c r="E1155" s="1">
        <v>50</v>
      </c>
      <c r="F1155" s="1" t="s">
        <v>44</v>
      </c>
      <c r="G1155" s="1" t="s">
        <v>35</v>
      </c>
      <c r="H1155" s="1" t="s">
        <v>36</v>
      </c>
      <c r="I1155" s="1" t="s">
        <v>29</v>
      </c>
      <c r="J1155" s="7">
        <v>46739</v>
      </c>
      <c r="K1155" s="1">
        <v>534</v>
      </c>
      <c r="L1155" s="7">
        <v>31823</v>
      </c>
      <c r="M1155" s="1">
        <v>24</v>
      </c>
      <c r="N1155" s="6">
        <v>0.08</v>
      </c>
      <c r="O1155" s="1" t="s">
        <v>37</v>
      </c>
      <c r="P1155" s="1" t="s">
        <v>50</v>
      </c>
      <c r="Q1155" s="1">
        <v>26</v>
      </c>
      <c r="R1155" s="1">
        <v>4</v>
      </c>
      <c r="S1155" s="1" t="s">
        <v>31</v>
      </c>
      <c r="T1155" s="1" t="s">
        <v>31</v>
      </c>
      <c r="U1155" s="1">
        <v>4</v>
      </c>
      <c r="V1155" s="1">
        <v>85938</v>
      </c>
      <c r="W1155" s="7">
        <v>1692.18</v>
      </c>
      <c r="X1155" s="1">
        <v>0.85</v>
      </c>
      <c r="Y1155" s="4">
        <v>44549</v>
      </c>
      <c r="Z1155" s="1" t="s">
        <v>32</v>
      </c>
      <c r="AA1155" s="1" t="s">
        <v>33</v>
      </c>
      <c r="AB1155" s="36" t="str" cm="1">
        <f t="array" ref="AB1155">_xlfn.IFS(K1155&gt;650,"LOW",K1155&gt;=550,"MEDIUM",K1155&lt;550,"HIGH")</f>
        <v>HIGH</v>
      </c>
    </row>
    <row r="1156" spans="3:28" x14ac:dyDescent="0.3">
      <c r="C1156" s="35" t="s">
        <v>3515</v>
      </c>
      <c r="D1156" s="1" t="s">
        <v>1532</v>
      </c>
      <c r="E1156" s="1">
        <v>61</v>
      </c>
      <c r="F1156" s="1" t="s">
        <v>44</v>
      </c>
      <c r="G1156" s="1" t="s">
        <v>45</v>
      </c>
      <c r="H1156" s="1" t="s">
        <v>61</v>
      </c>
      <c r="I1156" s="1" t="s">
        <v>59</v>
      </c>
      <c r="J1156" s="7">
        <v>42419</v>
      </c>
      <c r="K1156" s="1">
        <v>534</v>
      </c>
      <c r="L1156" s="7">
        <v>47639</v>
      </c>
      <c r="M1156" s="1">
        <v>60</v>
      </c>
      <c r="N1156" s="6">
        <v>9.5399999999999985E-2</v>
      </c>
      <c r="O1156" s="1" t="s">
        <v>37</v>
      </c>
      <c r="P1156" s="1" t="s">
        <v>50</v>
      </c>
      <c r="Q1156" s="1">
        <v>28</v>
      </c>
      <c r="R1156" s="1">
        <v>3</v>
      </c>
      <c r="S1156" s="1" t="s">
        <v>33</v>
      </c>
      <c r="T1156" s="1" t="s">
        <v>33</v>
      </c>
      <c r="U1156" s="1">
        <v>2</v>
      </c>
      <c r="V1156" s="1">
        <v>180275</v>
      </c>
      <c r="W1156" s="7">
        <v>167.83</v>
      </c>
      <c r="X1156" s="1">
        <v>0.55000000000000004</v>
      </c>
      <c r="Y1156" s="4">
        <v>44913</v>
      </c>
      <c r="Z1156" s="1" t="s">
        <v>32</v>
      </c>
      <c r="AA1156" s="1" t="s">
        <v>33</v>
      </c>
      <c r="AB1156" s="36" t="str" cm="1">
        <f t="array" ref="AB1156">_xlfn.IFS(K1156&gt;650,"LOW",K1156&gt;=550,"MEDIUM",K1156&lt;550,"HIGH")</f>
        <v>HIGH</v>
      </c>
    </row>
    <row r="1157" spans="3:28" x14ac:dyDescent="0.3">
      <c r="C1157" s="35" t="s">
        <v>3525</v>
      </c>
      <c r="D1157" s="1" t="s">
        <v>1542</v>
      </c>
      <c r="E1157" s="1">
        <v>29</v>
      </c>
      <c r="F1157" s="1" t="s">
        <v>26</v>
      </c>
      <c r="G1157" s="1" t="s">
        <v>56</v>
      </c>
      <c r="H1157" s="1" t="s">
        <v>54</v>
      </c>
      <c r="I1157" s="1" t="s">
        <v>57</v>
      </c>
      <c r="J1157" s="7">
        <v>120028</v>
      </c>
      <c r="K1157" s="1">
        <v>534</v>
      </c>
      <c r="L1157" s="7">
        <v>48046</v>
      </c>
      <c r="M1157" s="1">
        <v>12</v>
      </c>
      <c r="N1157" s="6">
        <v>7.1099999999999997E-2</v>
      </c>
      <c r="O1157" s="1" t="s">
        <v>46</v>
      </c>
      <c r="P1157" s="1" t="s">
        <v>50</v>
      </c>
      <c r="Q1157" s="1">
        <v>25</v>
      </c>
      <c r="R1157" s="1">
        <v>0</v>
      </c>
      <c r="S1157" s="1" t="s">
        <v>33</v>
      </c>
      <c r="T1157" s="1" t="s">
        <v>31</v>
      </c>
      <c r="U1157" s="1">
        <v>4</v>
      </c>
      <c r="V1157" s="1">
        <v>146336</v>
      </c>
      <c r="W1157" s="7">
        <v>419.67</v>
      </c>
      <c r="X1157" s="1">
        <v>0.86</v>
      </c>
      <c r="Y1157" s="4">
        <v>44028</v>
      </c>
      <c r="Z1157" s="1" t="s">
        <v>38</v>
      </c>
      <c r="AA1157" s="1" t="s">
        <v>33</v>
      </c>
      <c r="AB1157" s="36" t="str" cm="1">
        <f t="array" ref="AB1157">_xlfn.IFS(K1157&gt;650,"LOW",K1157&gt;=550,"MEDIUM",K1157&lt;550,"HIGH")</f>
        <v>HIGH</v>
      </c>
    </row>
    <row r="1158" spans="3:28" x14ac:dyDescent="0.3">
      <c r="C1158" s="35" t="s">
        <v>3804</v>
      </c>
      <c r="D1158" s="1" t="s">
        <v>1810</v>
      </c>
      <c r="E1158" s="1">
        <v>38</v>
      </c>
      <c r="F1158" s="1" t="s">
        <v>44</v>
      </c>
      <c r="G1158" s="1" t="s">
        <v>35</v>
      </c>
      <c r="H1158" s="1" t="s">
        <v>61</v>
      </c>
      <c r="I1158" s="1" t="s">
        <v>29</v>
      </c>
      <c r="J1158" s="7">
        <v>118971</v>
      </c>
      <c r="K1158" s="1">
        <v>534</v>
      </c>
      <c r="L1158" s="7">
        <v>26968</v>
      </c>
      <c r="M1158" s="1">
        <v>36</v>
      </c>
      <c r="N1158" s="6">
        <v>5.8799999999999998E-2</v>
      </c>
      <c r="O1158" s="1" t="s">
        <v>41</v>
      </c>
      <c r="P1158" s="1" t="s">
        <v>47</v>
      </c>
      <c r="Q1158" s="1">
        <v>25</v>
      </c>
      <c r="R1158" s="1">
        <v>4</v>
      </c>
      <c r="S1158" s="1" t="s">
        <v>33</v>
      </c>
      <c r="T1158" s="1" t="s">
        <v>33</v>
      </c>
      <c r="U1158" s="1">
        <v>3</v>
      </c>
      <c r="V1158" s="1">
        <v>122155</v>
      </c>
      <c r="W1158" s="7">
        <v>1371.43</v>
      </c>
      <c r="X1158" s="1">
        <v>0.63</v>
      </c>
      <c r="Y1158" s="4">
        <v>44094</v>
      </c>
      <c r="Z1158" s="1" t="s">
        <v>32</v>
      </c>
      <c r="AA1158" s="1" t="s">
        <v>33</v>
      </c>
      <c r="AB1158" s="36" t="str" cm="1">
        <f t="array" ref="AB1158">_xlfn.IFS(K1158&gt;650,"LOW",K1158&gt;=550,"MEDIUM",K1158&lt;550,"HIGH")</f>
        <v>HIGH</v>
      </c>
    </row>
    <row r="1159" spans="3:28" x14ac:dyDescent="0.3">
      <c r="C1159" s="35" t="s">
        <v>3976</v>
      </c>
      <c r="D1159" s="1" t="s">
        <v>1976</v>
      </c>
      <c r="E1159" s="1">
        <v>38</v>
      </c>
      <c r="F1159" s="1" t="s">
        <v>26</v>
      </c>
      <c r="G1159" s="1" t="s">
        <v>27</v>
      </c>
      <c r="H1159" s="1" t="s">
        <v>28</v>
      </c>
      <c r="I1159" s="1" t="s">
        <v>57</v>
      </c>
      <c r="J1159" s="7">
        <v>38608</v>
      </c>
      <c r="K1159" s="1">
        <v>534</v>
      </c>
      <c r="L1159" s="7">
        <v>34541</v>
      </c>
      <c r="M1159" s="1">
        <v>60</v>
      </c>
      <c r="N1159" s="6">
        <v>8.72E-2</v>
      </c>
      <c r="O1159" s="1" t="s">
        <v>5</v>
      </c>
      <c r="P1159" s="1" t="s">
        <v>50</v>
      </c>
      <c r="Q1159" s="1">
        <v>27</v>
      </c>
      <c r="R1159" s="1">
        <v>4</v>
      </c>
      <c r="S1159" s="1" t="s">
        <v>31</v>
      </c>
      <c r="T1159" s="1" t="s">
        <v>31</v>
      </c>
      <c r="U1159" s="1">
        <v>0</v>
      </c>
      <c r="V1159" s="1">
        <v>53176</v>
      </c>
      <c r="W1159" s="7">
        <v>1361.94</v>
      </c>
      <c r="X1159" s="1">
        <v>0.48</v>
      </c>
      <c r="Y1159" s="4">
        <v>45462</v>
      </c>
      <c r="Z1159" s="1" t="s">
        <v>32</v>
      </c>
      <c r="AA1159" s="1" t="s">
        <v>33</v>
      </c>
      <c r="AB1159" s="36" t="str" cm="1">
        <f t="array" ref="AB1159">_xlfn.IFS(K1159&gt;650,"LOW",K1159&gt;=550,"MEDIUM",K1159&lt;550,"HIGH")</f>
        <v>HIGH</v>
      </c>
    </row>
    <row r="1160" spans="3:28" x14ac:dyDescent="0.3">
      <c r="C1160" s="35" t="s">
        <v>2027</v>
      </c>
      <c r="D1160" s="1" t="s">
        <v>51</v>
      </c>
      <c r="E1160" s="1">
        <v>39</v>
      </c>
      <c r="F1160" s="1" t="s">
        <v>26</v>
      </c>
      <c r="G1160" s="1" t="s">
        <v>45</v>
      </c>
      <c r="H1160" s="1" t="s">
        <v>28</v>
      </c>
      <c r="I1160" s="1" t="s">
        <v>29</v>
      </c>
      <c r="J1160" s="7">
        <v>104363</v>
      </c>
      <c r="K1160" s="1">
        <v>533</v>
      </c>
      <c r="L1160" s="7">
        <v>25879</v>
      </c>
      <c r="M1160" s="1">
        <v>12</v>
      </c>
      <c r="N1160" s="6">
        <v>0.1421</v>
      </c>
      <c r="O1160" s="1" t="s">
        <v>52</v>
      </c>
      <c r="P1160" s="1" t="s">
        <v>50</v>
      </c>
      <c r="Q1160" s="1">
        <v>10</v>
      </c>
      <c r="R1160" s="1">
        <v>2</v>
      </c>
      <c r="S1160" s="1" t="s">
        <v>31</v>
      </c>
      <c r="T1160" s="1" t="s">
        <v>31</v>
      </c>
      <c r="U1160" s="1">
        <v>1</v>
      </c>
      <c r="V1160" s="1">
        <v>57970</v>
      </c>
      <c r="W1160" s="7">
        <v>338.85</v>
      </c>
      <c r="X1160" s="1">
        <v>0.71</v>
      </c>
      <c r="Y1160" s="4">
        <v>44692</v>
      </c>
      <c r="Z1160" s="1" t="s">
        <v>38</v>
      </c>
      <c r="AA1160" s="1" t="s">
        <v>33</v>
      </c>
      <c r="AB1160" s="36" t="str" cm="1">
        <f t="array" ref="AB1160">_xlfn.IFS(K1160&gt;650,"LOW",K1160&gt;=550,"MEDIUM",K1160&lt;550,"HIGH")</f>
        <v>HIGH</v>
      </c>
    </row>
    <row r="1161" spans="3:28" x14ac:dyDescent="0.3">
      <c r="C1161" s="35" t="s">
        <v>2711</v>
      </c>
      <c r="D1161" s="1" t="s">
        <v>741</v>
      </c>
      <c r="E1161" s="1">
        <v>55</v>
      </c>
      <c r="F1161" s="1" t="s">
        <v>26</v>
      </c>
      <c r="G1161" s="1" t="s">
        <v>35</v>
      </c>
      <c r="H1161" s="1" t="s">
        <v>36</v>
      </c>
      <c r="I1161" s="1" t="s">
        <v>57</v>
      </c>
      <c r="J1161" s="7">
        <v>96870</v>
      </c>
      <c r="K1161" s="1">
        <v>533</v>
      </c>
      <c r="L1161" s="7">
        <v>22224</v>
      </c>
      <c r="M1161" s="1">
        <v>24</v>
      </c>
      <c r="N1161" s="6">
        <v>0.18809999999999999</v>
      </c>
      <c r="O1161" s="1" t="s">
        <v>5</v>
      </c>
      <c r="P1161" s="1" t="s">
        <v>30</v>
      </c>
      <c r="Q1161" s="1">
        <v>5</v>
      </c>
      <c r="R1161" s="1">
        <v>0</v>
      </c>
      <c r="S1161" s="1" t="s">
        <v>33</v>
      </c>
      <c r="T1161" s="1" t="s">
        <v>31</v>
      </c>
      <c r="U1161" s="1">
        <v>4</v>
      </c>
      <c r="V1161" s="1">
        <v>147227</v>
      </c>
      <c r="W1161" s="7">
        <v>184.34</v>
      </c>
      <c r="X1161" s="1">
        <v>0.57999999999999996</v>
      </c>
      <c r="Y1161" s="4">
        <v>45364</v>
      </c>
      <c r="Z1161" s="1" t="s">
        <v>38</v>
      </c>
      <c r="AA1161" s="1" t="s">
        <v>31</v>
      </c>
      <c r="AB1161" s="36" t="str" cm="1">
        <f t="array" ref="AB1161">_xlfn.IFS(K1161&gt;650,"LOW",K1161&gt;=550,"MEDIUM",K1161&lt;550,"HIGH")</f>
        <v>HIGH</v>
      </c>
    </row>
    <row r="1162" spans="3:28" x14ac:dyDescent="0.3">
      <c r="C1162" s="35" t="s">
        <v>3394</v>
      </c>
      <c r="D1162" s="1" t="s">
        <v>1414</v>
      </c>
      <c r="E1162" s="1">
        <v>28</v>
      </c>
      <c r="F1162" s="1" t="s">
        <v>26</v>
      </c>
      <c r="G1162" s="1" t="s">
        <v>35</v>
      </c>
      <c r="H1162" s="1" t="s">
        <v>36</v>
      </c>
      <c r="I1162" s="1" t="s">
        <v>57</v>
      </c>
      <c r="J1162" s="7">
        <v>46849</v>
      </c>
      <c r="K1162" s="1">
        <v>533</v>
      </c>
      <c r="L1162" s="7">
        <v>4188</v>
      </c>
      <c r="M1162" s="1">
        <v>60</v>
      </c>
      <c r="N1162" s="6">
        <v>0.15010000000000001</v>
      </c>
      <c r="O1162" s="1" t="s">
        <v>63</v>
      </c>
      <c r="P1162" s="1" t="s">
        <v>30</v>
      </c>
      <c r="Q1162" s="1">
        <v>4</v>
      </c>
      <c r="R1162" s="1">
        <v>4</v>
      </c>
      <c r="S1162" s="1" t="s">
        <v>33</v>
      </c>
      <c r="T1162" s="1" t="s">
        <v>31</v>
      </c>
      <c r="U1162" s="1">
        <v>3</v>
      </c>
      <c r="V1162" s="1">
        <v>76695</v>
      </c>
      <c r="W1162" s="7">
        <v>668.55</v>
      </c>
      <c r="X1162" s="1">
        <v>0.78</v>
      </c>
      <c r="Y1162" s="4">
        <v>44805</v>
      </c>
      <c r="Z1162" s="1" t="s">
        <v>32</v>
      </c>
      <c r="AA1162" s="1" t="s">
        <v>33</v>
      </c>
      <c r="AB1162" s="36" t="str" cm="1">
        <f t="array" ref="AB1162">_xlfn.IFS(K1162&gt;650,"LOW",K1162&gt;=550,"MEDIUM",K1162&lt;550,"HIGH")</f>
        <v>HIGH</v>
      </c>
    </row>
    <row r="1163" spans="3:28" x14ac:dyDescent="0.3">
      <c r="C1163" s="35" t="s">
        <v>3456</v>
      </c>
      <c r="D1163" s="1" t="s">
        <v>1474</v>
      </c>
      <c r="E1163" s="1">
        <v>23</v>
      </c>
      <c r="F1163" s="1" t="s">
        <v>44</v>
      </c>
      <c r="G1163" s="1" t="s">
        <v>27</v>
      </c>
      <c r="H1163" s="1" t="s">
        <v>28</v>
      </c>
      <c r="I1163" s="1" t="s">
        <v>40</v>
      </c>
      <c r="J1163" s="7">
        <v>67708</v>
      </c>
      <c r="K1163" s="1">
        <v>533</v>
      </c>
      <c r="L1163" s="7">
        <v>31540</v>
      </c>
      <c r="M1163" s="1">
        <v>48</v>
      </c>
      <c r="N1163" s="6">
        <v>0.11210000000000001</v>
      </c>
      <c r="O1163" s="1" t="s">
        <v>52</v>
      </c>
      <c r="P1163" s="1" t="s">
        <v>47</v>
      </c>
      <c r="Q1163" s="1">
        <v>27</v>
      </c>
      <c r="R1163" s="1">
        <v>3</v>
      </c>
      <c r="S1163" s="1" t="s">
        <v>33</v>
      </c>
      <c r="T1163" s="1" t="s">
        <v>33</v>
      </c>
      <c r="U1163" s="1">
        <v>0</v>
      </c>
      <c r="V1163" s="1">
        <v>177866</v>
      </c>
      <c r="W1163" s="7">
        <v>121.96</v>
      </c>
      <c r="X1163" s="1">
        <v>0.35</v>
      </c>
      <c r="Y1163" s="4">
        <v>45191</v>
      </c>
      <c r="Z1163" s="1" t="s">
        <v>38</v>
      </c>
      <c r="AA1163" s="1" t="s">
        <v>33</v>
      </c>
      <c r="AB1163" s="36" t="str" cm="1">
        <f t="array" ref="AB1163">_xlfn.IFS(K1163&gt;650,"LOW",K1163&gt;=550,"MEDIUM",K1163&lt;550,"HIGH")</f>
        <v>HIGH</v>
      </c>
    </row>
    <row r="1164" spans="3:28" x14ac:dyDescent="0.3">
      <c r="C1164" s="35" t="s">
        <v>3635</v>
      </c>
      <c r="D1164" s="1" t="s">
        <v>1647</v>
      </c>
      <c r="E1164" s="1">
        <v>55</v>
      </c>
      <c r="F1164" s="1" t="s">
        <v>26</v>
      </c>
      <c r="G1164" s="1" t="s">
        <v>27</v>
      </c>
      <c r="H1164" s="1" t="s">
        <v>36</v>
      </c>
      <c r="I1164" s="1" t="s">
        <v>57</v>
      </c>
      <c r="J1164" s="7">
        <v>27490</v>
      </c>
      <c r="K1164" s="1">
        <v>533</v>
      </c>
      <c r="L1164" s="7">
        <v>49807</v>
      </c>
      <c r="M1164" s="1">
        <v>24</v>
      </c>
      <c r="N1164" s="6">
        <v>0.12230000000000001</v>
      </c>
      <c r="O1164" s="1" t="s">
        <v>63</v>
      </c>
      <c r="P1164" s="1" t="s">
        <v>30</v>
      </c>
      <c r="Q1164" s="1">
        <v>23</v>
      </c>
      <c r="R1164" s="1">
        <v>3</v>
      </c>
      <c r="S1164" s="1" t="s">
        <v>31</v>
      </c>
      <c r="T1164" s="1" t="s">
        <v>31</v>
      </c>
      <c r="U1164" s="1">
        <v>1</v>
      </c>
      <c r="V1164" s="1">
        <v>33061</v>
      </c>
      <c r="W1164" s="7">
        <v>637.58000000000004</v>
      </c>
      <c r="X1164" s="1">
        <v>0.82</v>
      </c>
      <c r="Y1164" s="4">
        <v>44754</v>
      </c>
      <c r="Z1164" s="1" t="s">
        <v>32</v>
      </c>
      <c r="AA1164" s="1" t="s">
        <v>31</v>
      </c>
      <c r="AB1164" s="36" t="str" cm="1">
        <f t="array" ref="AB1164">_xlfn.IFS(K1164&gt;650,"LOW",K1164&gt;=550,"MEDIUM",K1164&lt;550,"HIGH")</f>
        <v>HIGH</v>
      </c>
    </row>
    <row r="1165" spans="3:28" x14ac:dyDescent="0.3">
      <c r="C1165" s="35" t="s">
        <v>3854</v>
      </c>
      <c r="D1165" s="1" t="s">
        <v>1860</v>
      </c>
      <c r="E1165" s="1">
        <v>59</v>
      </c>
      <c r="F1165" s="1" t="s">
        <v>44</v>
      </c>
      <c r="G1165" s="1" t="s">
        <v>45</v>
      </c>
      <c r="H1165" s="1" t="s">
        <v>54</v>
      </c>
      <c r="I1165" s="1" t="s">
        <v>59</v>
      </c>
      <c r="J1165" s="7">
        <v>28071</v>
      </c>
      <c r="K1165" s="1">
        <v>533</v>
      </c>
      <c r="L1165" s="7">
        <v>18601</v>
      </c>
      <c r="M1165" s="1">
        <v>60</v>
      </c>
      <c r="N1165" s="6">
        <v>0.19109999999999999</v>
      </c>
      <c r="O1165" s="1" t="s">
        <v>5</v>
      </c>
      <c r="P1165" s="1" t="s">
        <v>50</v>
      </c>
      <c r="Q1165" s="1">
        <v>25</v>
      </c>
      <c r="R1165" s="1">
        <v>3</v>
      </c>
      <c r="S1165" s="1" t="s">
        <v>31</v>
      </c>
      <c r="T1165" s="1" t="s">
        <v>33</v>
      </c>
      <c r="U1165" s="1">
        <v>3</v>
      </c>
      <c r="V1165" s="1">
        <v>69201</v>
      </c>
      <c r="W1165" s="7">
        <v>795.43</v>
      </c>
      <c r="X1165" s="1">
        <v>0.97</v>
      </c>
      <c r="Y1165" s="4">
        <v>45491</v>
      </c>
      <c r="Z1165" s="1" t="s">
        <v>32</v>
      </c>
      <c r="AA1165" s="1" t="s">
        <v>33</v>
      </c>
      <c r="AB1165" s="36" t="str" cm="1">
        <f t="array" ref="AB1165">_xlfn.IFS(K1165&gt;650,"LOW",K1165&gt;=550,"MEDIUM",K1165&lt;550,"HIGH")</f>
        <v>HIGH</v>
      </c>
    </row>
    <row r="1166" spans="3:28" x14ac:dyDescent="0.3">
      <c r="C1166" s="35" t="s">
        <v>3021</v>
      </c>
      <c r="D1166" s="1" t="s">
        <v>1048</v>
      </c>
      <c r="E1166" s="1">
        <v>26</v>
      </c>
      <c r="F1166" s="1" t="s">
        <v>44</v>
      </c>
      <c r="G1166" s="1" t="s">
        <v>45</v>
      </c>
      <c r="H1166" s="1" t="s">
        <v>36</v>
      </c>
      <c r="I1166" s="1" t="s">
        <v>59</v>
      </c>
      <c r="J1166" s="7">
        <v>44074</v>
      </c>
      <c r="K1166" s="1">
        <v>532</v>
      </c>
      <c r="L1166" s="7">
        <v>6374</v>
      </c>
      <c r="M1166" s="1">
        <v>36</v>
      </c>
      <c r="N1166" s="6">
        <v>0.11779999999999999</v>
      </c>
      <c r="O1166" s="1" t="s">
        <v>46</v>
      </c>
      <c r="P1166" s="1" t="s">
        <v>50</v>
      </c>
      <c r="Q1166" s="1">
        <v>19</v>
      </c>
      <c r="R1166" s="1">
        <v>2</v>
      </c>
      <c r="S1166" s="1" t="s">
        <v>31</v>
      </c>
      <c r="T1166" s="1" t="s">
        <v>31</v>
      </c>
      <c r="U1166" s="1">
        <v>0</v>
      </c>
      <c r="V1166" s="1">
        <v>195438</v>
      </c>
      <c r="W1166" s="7">
        <v>1176.6099999999999</v>
      </c>
      <c r="X1166" s="1">
        <v>0.75</v>
      </c>
      <c r="Y1166" s="4">
        <v>44290</v>
      </c>
      <c r="Z1166" s="1" t="s">
        <v>32</v>
      </c>
      <c r="AA1166" s="1" t="s">
        <v>33</v>
      </c>
      <c r="AB1166" s="36" t="str" cm="1">
        <f t="array" ref="AB1166">_xlfn.IFS(K1166&gt;650,"LOW",K1166&gt;=550,"MEDIUM",K1166&lt;550,"HIGH")</f>
        <v>HIGH</v>
      </c>
    </row>
    <row r="1167" spans="3:28" x14ac:dyDescent="0.3">
      <c r="C1167" s="35" t="s">
        <v>3450</v>
      </c>
      <c r="D1167" s="1" t="s">
        <v>1468</v>
      </c>
      <c r="E1167" s="1">
        <v>45</v>
      </c>
      <c r="F1167" s="1" t="s">
        <v>26</v>
      </c>
      <c r="G1167" s="1" t="s">
        <v>45</v>
      </c>
      <c r="H1167" s="1" t="s">
        <v>36</v>
      </c>
      <c r="I1167" s="1" t="s">
        <v>59</v>
      </c>
      <c r="J1167" s="7">
        <v>134337</v>
      </c>
      <c r="K1167" s="1">
        <v>532</v>
      </c>
      <c r="L1167" s="7">
        <v>37527</v>
      </c>
      <c r="M1167" s="1">
        <v>48</v>
      </c>
      <c r="N1167" s="6">
        <v>0.12609999999999999</v>
      </c>
      <c r="O1167" s="1" t="s">
        <v>5</v>
      </c>
      <c r="P1167" s="1" t="s">
        <v>47</v>
      </c>
      <c r="Q1167" s="1">
        <v>18</v>
      </c>
      <c r="R1167" s="1">
        <v>3</v>
      </c>
      <c r="S1167" s="1" t="s">
        <v>33</v>
      </c>
      <c r="T1167" s="1" t="s">
        <v>33</v>
      </c>
      <c r="U1167" s="1">
        <v>3</v>
      </c>
      <c r="V1167" s="1">
        <v>51305</v>
      </c>
      <c r="W1167" s="7">
        <v>897.09</v>
      </c>
      <c r="X1167" s="1">
        <v>0.76</v>
      </c>
      <c r="Y1167" s="4">
        <v>44959</v>
      </c>
      <c r="Z1167" s="1" t="s">
        <v>32</v>
      </c>
      <c r="AA1167" s="1" t="s">
        <v>33</v>
      </c>
      <c r="AB1167" s="36" t="str" cm="1">
        <f t="array" ref="AB1167">_xlfn.IFS(K1167&gt;650,"LOW",K1167&gt;=550,"MEDIUM",K1167&lt;550,"HIGH")</f>
        <v>HIGH</v>
      </c>
    </row>
    <row r="1168" spans="3:28" x14ac:dyDescent="0.3">
      <c r="C1168" s="35" t="s">
        <v>3896</v>
      </c>
      <c r="D1168" s="1" t="s">
        <v>1900</v>
      </c>
      <c r="E1168" s="1">
        <v>43</v>
      </c>
      <c r="F1168" s="1" t="s">
        <v>26</v>
      </c>
      <c r="G1168" s="1" t="s">
        <v>35</v>
      </c>
      <c r="H1168" s="1" t="s">
        <v>54</v>
      </c>
      <c r="I1168" s="1" t="s">
        <v>40</v>
      </c>
      <c r="J1168" s="7">
        <v>50815</v>
      </c>
      <c r="K1168" s="1">
        <v>532</v>
      </c>
      <c r="L1168" s="7">
        <v>32971</v>
      </c>
      <c r="M1168" s="1">
        <v>24</v>
      </c>
      <c r="N1168" s="6">
        <v>5.5199999999999999E-2</v>
      </c>
      <c r="O1168" s="1" t="s">
        <v>63</v>
      </c>
      <c r="P1168" s="1" t="s">
        <v>47</v>
      </c>
      <c r="Q1168" s="1">
        <v>16</v>
      </c>
      <c r="R1168" s="1">
        <v>3</v>
      </c>
      <c r="S1168" s="1" t="s">
        <v>33</v>
      </c>
      <c r="T1168" s="1" t="s">
        <v>33</v>
      </c>
      <c r="U1168" s="1">
        <v>2</v>
      </c>
      <c r="V1168" s="1">
        <v>99176</v>
      </c>
      <c r="W1168" s="7">
        <v>515.69000000000005</v>
      </c>
      <c r="X1168" s="1">
        <v>0.33</v>
      </c>
      <c r="Y1168" s="4">
        <v>44125</v>
      </c>
      <c r="Z1168" s="1" t="s">
        <v>38</v>
      </c>
      <c r="AA1168" s="1" t="s">
        <v>33</v>
      </c>
      <c r="AB1168" s="36" t="str" cm="1">
        <f t="array" ref="AB1168">_xlfn.IFS(K1168&gt;650,"LOW",K1168&gt;=550,"MEDIUM",K1168&lt;550,"HIGH")</f>
        <v>HIGH</v>
      </c>
    </row>
    <row r="1169" spans="3:28" x14ac:dyDescent="0.3">
      <c r="C1169" s="35" t="s">
        <v>2994</v>
      </c>
      <c r="D1169" s="1" t="s">
        <v>1021</v>
      </c>
      <c r="E1169" s="1">
        <v>39</v>
      </c>
      <c r="F1169" s="1" t="s">
        <v>26</v>
      </c>
      <c r="G1169" s="1" t="s">
        <v>35</v>
      </c>
      <c r="H1169" s="1" t="s">
        <v>61</v>
      </c>
      <c r="I1169" s="1" t="s">
        <v>57</v>
      </c>
      <c r="J1169" s="7">
        <v>106246</v>
      </c>
      <c r="K1169" s="1">
        <v>531</v>
      </c>
      <c r="L1169" s="7">
        <v>2934</v>
      </c>
      <c r="M1169" s="1">
        <v>36</v>
      </c>
      <c r="N1169" s="6">
        <v>0.16850000000000001</v>
      </c>
      <c r="O1169" s="1" t="s">
        <v>37</v>
      </c>
      <c r="P1169" s="1" t="s">
        <v>30</v>
      </c>
      <c r="Q1169" s="1">
        <v>26</v>
      </c>
      <c r="R1169" s="1">
        <v>3</v>
      </c>
      <c r="S1169" s="1" t="s">
        <v>33</v>
      </c>
      <c r="T1169" s="1" t="s">
        <v>31</v>
      </c>
      <c r="U1169" s="1">
        <v>1</v>
      </c>
      <c r="V1169" s="1">
        <v>176849</v>
      </c>
      <c r="W1169" s="7">
        <v>995.98</v>
      </c>
      <c r="X1169" s="1">
        <v>0.28000000000000003</v>
      </c>
      <c r="Y1169" s="4">
        <v>45791</v>
      </c>
      <c r="Z1169" s="1" t="s">
        <v>32</v>
      </c>
      <c r="AA1169" s="1" t="s">
        <v>33</v>
      </c>
      <c r="AB1169" s="36" t="str" cm="1">
        <f t="array" ref="AB1169">_xlfn.IFS(K1169&gt;650,"LOW",K1169&gt;=550,"MEDIUM",K1169&lt;550,"HIGH")</f>
        <v>HIGH</v>
      </c>
    </row>
    <row r="1170" spans="3:28" x14ac:dyDescent="0.3">
      <c r="C1170" s="35" t="s">
        <v>3274</v>
      </c>
      <c r="D1170" s="1" t="s">
        <v>1297</v>
      </c>
      <c r="E1170" s="1">
        <v>26</v>
      </c>
      <c r="F1170" s="1" t="s">
        <v>26</v>
      </c>
      <c r="G1170" s="1" t="s">
        <v>27</v>
      </c>
      <c r="H1170" s="1" t="s">
        <v>28</v>
      </c>
      <c r="I1170" s="1" t="s">
        <v>57</v>
      </c>
      <c r="J1170" s="7">
        <v>76947</v>
      </c>
      <c r="K1170" s="1">
        <v>531</v>
      </c>
      <c r="L1170" s="7">
        <v>7574</v>
      </c>
      <c r="M1170" s="1">
        <v>60</v>
      </c>
      <c r="N1170" s="6">
        <v>9.2600000000000002E-2</v>
      </c>
      <c r="O1170" s="1" t="s">
        <v>5</v>
      </c>
      <c r="P1170" s="1" t="s">
        <v>47</v>
      </c>
      <c r="Q1170" s="1">
        <v>13</v>
      </c>
      <c r="R1170" s="1">
        <v>4</v>
      </c>
      <c r="S1170" s="1" t="s">
        <v>33</v>
      </c>
      <c r="T1170" s="1" t="s">
        <v>33</v>
      </c>
      <c r="U1170" s="1">
        <v>0</v>
      </c>
      <c r="V1170" s="1">
        <v>60574</v>
      </c>
      <c r="W1170" s="7">
        <v>650.99</v>
      </c>
      <c r="X1170" s="1">
        <v>0.7</v>
      </c>
      <c r="Y1170" s="4">
        <v>45083</v>
      </c>
      <c r="Z1170" s="1" t="s">
        <v>32</v>
      </c>
      <c r="AA1170" s="1" t="s">
        <v>33</v>
      </c>
      <c r="AB1170" s="36" t="str" cm="1">
        <f t="array" ref="AB1170">_xlfn.IFS(K1170&gt;650,"LOW",K1170&gt;=550,"MEDIUM",K1170&lt;550,"HIGH")</f>
        <v>HIGH</v>
      </c>
    </row>
    <row r="1171" spans="3:28" x14ac:dyDescent="0.3">
      <c r="C1171" s="35" t="s">
        <v>3458</v>
      </c>
      <c r="D1171" s="1" t="s">
        <v>1476</v>
      </c>
      <c r="E1171" s="1">
        <v>50</v>
      </c>
      <c r="F1171" s="1" t="s">
        <v>44</v>
      </c>
      <c r="G1171" s="1" t="s">
        <v>27</v>
      </c>
      <c r="H1171" s="1" t="s">
        <v>54</v>
      </c>
      <c r="I1171" s="1" t="s">
        <v>29</v>
      </c>
      <c r="J1171" s="7">
        <v>73019</v>
      </c>
      <c r="K1171" s="1">
        <v>531</v>
      </c>
      <c r="L1171" s="7">
        <v>11190</v>
      </c>
      <c r="M1171" s="1">
        <v>24</v>
      </c>
      <c r="N1171" s="6">
        <v>8.199999999999999E-2</v>
      </c>
      <c r="O1171" s="1" t="s">
        <v>37</v>
      </c>
      <c r="P1171" s="1" t="s">
        <v>47</v>
      </c>
      <c r="Q1171" s="1">
        <v>7</v>
      </c>
      <c r="R1171" s="1">
        <v>1</v>
      </c>
      <c r="S1171" s="1" t="s">
        <v>31</v>
      </c>
      <c r="T1171" s="1" t="s">
        <v>31</v>
      </c>
      <c r="U1171" s="1">
        <v>2</v>
      </c>
      <c r="V1171" s="1">
        <v>72610</v>
      </c>
      <c r="W1171" s="7">
        <v>524.73</v>
      </c>
      <c r="X1171" s="1">
        <v>0.65</v>
      </c>
      <c r="Y1171" s="4">
        <v>44212</v>
      </c>
      <c r="Z1171" s="1" t="s">
        <v>38</v>
      </c>
      <c r="AA1171" s="1" t="s">
        <v>31</v>
      </c>
      <c r="AB1171" s="36" t="str" cm="1">
        <f t="array" ref="AB1171">_xlfn.IFS(K1171&gt;650,"LOW",K1171&gt;=550,"MEDIUM",K1171&lt;550,"HIGH")</f>
        <v>HIGH</v>
      </c>
    </row>
    <row r="1172" spans="3:28" x14ac:dyDescent="0.3">
      <c r="C1172" s="35" t="s">
        <v>3190</v>
      </c>
      <c r="D1172" s="1" t="s">
        <v>1214</v>
      </c>
      <c r="E1172" s="1">
        <v>52</v>
      </c>
      <c r="F1172" s="1" t="s">
        <v>44</v>
      </c>
      <c r="G1172" s="1" t="s">
        <v>56</v>
      </c>
      <c r="H1172" s="1" t="s">
        <v>54</v>
      </c>
      <c r="I1172" s="1" t="s">
        <v>59</v>
      </c>
      <c r="J1172" s="7">
        <v>25972</v>
      </c>
      <c r="K1172" s="1">
        <v>530</v>
      </c>
      <c r="L1172" s="7">
        <v>37491</v>
      </c>
      <c r="M1172" s="1">
        <v>24</v>
      </c>
      <c r="N1172" s="6">
        <v>0.19879999999999998</v>
      </c>
      <c r="O1172" s="1" t="s">
        <v>41</v>
      </c>
      <c r="P1172" s="1" t="s">
        <v>50</v>
      </c>
      <c r="Q1172" s="1">
        <v>26</v>
      </c>
      <c r="R1172" s="1">
        <v>2</v>
      </c>
      <c r="S1172" s="1" t="s">
        <v>33</v>
      </c>
      <c r="T1172" s="1" t="s">
        <v>31</v>
      </c>
      <c r="U1172" s="1">
        <v>1</v>
      </c>
      <c r="V1172" s="1">
        <v>64989</v>
      </c>
      <c r="W1172" s="7">
        <v>1381.42</v>
      </c>
      <c r="X1172" s="1">
        <v>0.64</v>
      </c>
      <c r="Y1172" s="4">
        <v>45603</v>
      </c>
      <c r="Z1172" s="1" t="s">
        <v>32</v>
      </c>
      <c r="AA1172" s="1" t="s">
        <v>33</v>
      </c>
      <c r="AB1172" s="36" t="str" cm="1">
        <f t="array" ref="AB1172">_xlfn.IFS(K1172&gt;650,"LOW",K1172&gt;=550,"MEDIUM",K1172&lt;550,"HIGH")</f>
        <v>HIGH</v>
      </c>
    </row>
    <row r="1173" spans="3:28" x14ac:dyDescent="0.3">
      <c r="C1173" s="35" t="s">
        <v>2175</v>
      </c>
      <c r="D1173" s="1" t="s">
        <v>206</v>
      </c>
      <c r="E1173" s="1">
        <v>22</v>
      </c>
      <c r="F1173" s="1" t="s">
        <v>44</v>
      </c>
      <c r="G1173" s="1" t="s">
        <v>45</v>
      </c>
      <c r="H1173" s="1" t="s">
        <v>54</v>
      </c>
      <c r="I1173" s="1" t="s">
        <v>29</v>
      </c>
      <c r="J1173" s="7">
        <v>44127</v>
      </c>
      <c r="K1173" s="1">
        <v>529</v>
      </c>
      <c r="L1173" s="7">
        <v>37843</v>
      </c>
      <c r="M1173" s="1">
        <v>24</v>
      </c>
      <c r="N1173" s="6">
        <v>0.16149999999999998</v>
      </c>
      <c r="O1173" s="1" t="s">
        <v>37</v>
      </c>
      <c r="P1173" s="1" t="s">
        <v>50</v>
      </c>
      <c r="Q1173" s="1">
        <v>10</v>
      </c>
      <c r="R1173" s="1">
        <v>4</v>
      </c>
      <c r="S1173" s="1" t="s">
        <v>33</v>
      </c>
      <c r="T1173" s="1" t="s">
        <v>33</v>
      </c>
      <c r="U1173" s="1">
        <v>4</v>
      </c>
      <c r="V1173" s="1">
        <v>95039</v>
      </c>
      <c r="W1173" s="7">
        <v>493.77</v>
      </c>
      <c r="X1173" s="1">
        <v>0.88</v>
      </c>
      <c r="Y1173" s="4">
        <v>45806</v>
      </c>
      <c r="Z1173" s="1" t="s">
        <v>38</v>
      </c>
      <c r="AA1173" s="1" t="s">
        <v>33</v>
      </c>
      <c r="AB1173" s="36" t="str" cm="1">
        <f t="array" ref="AB1173">_xlfn.IFS(K1173&gt;650,"LOW",K1173&gt;=550,"MEDIUM",K1173&lt;550,"HIGH")</f>
        <v>HIGH</v>
      </c>
    </row>
    <row r="1174" spans="3:28" x14ac:dyDescent="0.3">
      <c r="C1174" s="35" t="s">
        <v>2422</v>
      </c>
      <c r="D1174" s="1" t="s">
        <v>452</v>
      </c>
      <c r="E1174" s="1">
        <v>33</v>
      </c>
      <c r="F1174" s="1" t="s">
        <v>44</v>
      </c>
      <c r="G1174" s="1" t="s">
        <v>35</v>
      </c>
      <c r="H1174" s="1" t="s">
        <v>61</v>
      </c>
      <c r="I1174" s="1" t="s">
        <v>57</v>
      </c>
      <c r="J1174" s="7">
        <v>79180</v>
      </c>
      <c r="K1174" s="1">
        <v>529</v>
      </c>
      <c r="L1174" s="7">
        <v>45498</v>
      </c>
      <c r="M1174" s="1">
        <v>36</v>
      </c>
      <c r="N1174" s="6">
        <v>0.1598</v>
      </c>
      <c r="O1174" s="1" t="s">
        <v>63</v>
      </c>
      <c r="P1174" s="1" t="s">
        <v>47</v>
      </c>
      <c r="Q1174" s="1">
        <v>11</v>
      </c>
      <c r="R1174" s="1">
        <v>1</v>
      </c>
      <c r="S1174" s="1" t="s">
        <v>31</v>
      </c>
      <c r="T1174" s="1" t="s">
        <v>31</v>
      </c>
      <c r="U1174" s="1">
        <v>4</v>
      </c>
      <c r="V1174" s="1">
        <v>11366</v>
      </c>
      <c r="W1174" s="7">
        <v>494.18</v>
      </c>
      <c r="X1174" s="1">
        <v>0.33</v>
      </c>
      <c r="Y1174" s="4">
        <v>44091</v>
      </c>
      <c r="Z1174" s="1" t="s">
        <v>38</v>
      </c>
      <c r="AA1174" s="1" t="s">
        <v>33</v>
      </c>
      <c r="AB1174" s="36" t="str" cm="1">
        <f t="array" ref="AB1174">_xlfn.IFS(K1174&gt;650,"LOW",K1174&gt;=550,"MEDIUM",K1174&lt;550,"HIGH")</f>
        <v>HIGH</v>
      </c>
    </row>
    <row r="1175" spans="3:28" x14ac:dyDescent="0.3">
      <c r="C1175" s="35" t="s">
        <v>2525</v>
      </c>
      <c r="D1175" s="1" t="s">
        <v>555</v>
      </c>
      <c r="E1175" s="1">
        <v>45</v>
      </c>
      <c r="F1175" s="1" t="s">
        <v>44</v>
      </c>
      <c r="G1175" s="1" t="s">
        <v>35</v>
      </c>
      <c r="H1175" s="1" t="s">
        <v>36</v>
      </c>
      <c r="I1175" s="1" t="s">
        <v>40</v>
      </c>
      <c r="J1175" s="7">
        <v>120417</v>
      </c>
      <c r="K1175" s="1">
        <v>529</v>
      </c>
      <c r="L1175" s="7">
        <v>37295</v>
      </c>
      <c r="M1175" s="1">
        <v>12</v>
      </c>
      <c r="N1175" s="6">
        <v>0.1467</v>
      </c>
      <c r="O1175" s="1" t="s">
        <v>46</v>
      </c>
      <c r="P1175" s="1" t="s">
        <v>47</v>
      </c>
      <c r="Q1175" s="1">
        <v>10</v>
      </c>
      <c r="R1175" s="1">
        <v>0</v>
      </c>
      <c r="S1175" s="1" t="s">
        <v>33</v>
      </c>
      <c r="T1175" s="1" t="s">
        <v>33</v>
      </c>
      <c r="U1175" s="1">
        <v>4</v>
      </c>
      <c r="V1175" s="1">
        <v>157010</v>
      </c>
      <c r="W1175" s="7">
        <v>1719.34</v>
      </c>
      <c r="X1175" s="1">
        <v>0.76</v>
      </c>
      <c r="Y1175" s="4">
        <v>45757</v>
      </c>
      <c r="Z1175" s="1" t="s">
        <v>32</v>
      </c>
      <c r="AA1175" s="1" t="s">
        <v>33</v>
      </c>
      <c r="AB1175" s="36" t="str" cm="1">
        <f t="array" ref="AB1175">_xlfn.IFS(K1175&gt;650,"LOW",K1175&gt;=550,"MEDIUM",K1175&lt;550,"HIGH")</f>
        <v>HIGH</v>
      </c>
    </row>
    <row r="1176" spans="3:28" x14ac:dyDescent="0.3">
      <c r="C1176" s="35" t="s">
        <v>2893</v>
      </c>
      <c r="D1176" s="1" t="s">
        <v>921</v>
      </c>
      <c r="E1176" s="1">
        <v>53</v>
      </c>
      <c r="F1176" s="1" t="s">
        <v>44</v>
      </c>
      <c r="G1176" s="1" t="s">
        <v>35</v>
      </c>
      <c r="H1176" s="1" t="s">
        <v>36</v>
      </c>
      <c r="I1176" s="1" t="s">
        <v>40</v>
      </c>
      <c r="J1176" s="7">
        <v>120848</v>
      </c>
      <c r="K1176" s="1">
        <v>529</v>
      </c>
      <c r="L1176" s="7">
        <v>4679</v>
      </c>
      <c r="M1176" s="1">
        <v>12</v>
      </c>
      <c r="N1176" s="6">
        <v>0.13570000000000002</v>
      </c>
      <c r="O1176" s="1" t="s">
        <v>52</v>
      </c>
      <c r="P1176" s="1" t="s">
        <v>30</v>
      </c>
      <c r="Q1176" s="1">
        <v>11</v>
      </c>
      <c r="R1176" s="1">
        <v>4</v>
      </c>
      <c r="S1176" s="1" t="s">
        <v>31</v>
      </c>
      <c r="T1176" s="1" t="s">
        <v>31</v>
      </c>
      <c r="U1176" s="1">
        <v>3</v>
      </c>
      <c r="V1176" s="1">
        <v>147712</v>
      </c>
      <c r="W1176" s="7">
        <v>1935.08</v>
      </c>
      <c r="X1176" s="1">
        <v>0.68</v>
      </c>
      <c r="Y1176" s="4">
        <v>44667</v>
      </c>
      <c r="Z1176" s="1" t="s">
        <v>38</v>
      </c>
      <c r="AA1176" s="1" t="s">
        <v>33</v>
      </c>
      <c r="AB1176" s="36" t="str" cm="1">
        <f t="array" ref="AB1176">_xlfn.IFS(K1176&gt;650,"LOW",K1176&gt;=550,"MEDIUM",K1176&lt;550,"HIGH")</f>
        <v>HIGH</v>
      </c>
    </row>
    <row r="1177" spans="3:28" x14ac:dyDescent="0.3">
      <c r="C1177" s="35" t="s">
        <v>2041</v>
      </c>
      <c r="D1177" s="1" t="s">
        <v>72</v>
      </c>
      <c r="E1177" s="1">
        <v>58</v>
      </c>
      <c r="F1177" s="1" t="s">
        <v>26</v>
      </c>
      <c r="G1177" s="1" t="s">
        <v>35</v>
      </c>
      <c r="H1177" s="1" t="s">
        <v>28</v>
      </c>
      <c r="I1177" s="1" t="s">
        <v>29</v>
      </c>
      <c r="J1177" s="7">
        <v>90601</v>
      </c>
      <c r="K1177" s="1">
        <v>528</v>
      </c>
      <c r="L1177" s="7">
        <v>33442</v>
      </c>
      <c r="M1177" s="1">
        <v>48</v>
      </c>
      <c r="N1177" s="6">
        <v>0.17710000000000001</v>
      </c>
      <c r="O1177" s="1" t="s">
        <v>52</v>
      </c>
      <c r="P1177" s="1" t="s">
        <v>30</v>
      </c>
      <c r="Q1177" s="1">
        <v>18</v>
      </c>
      <c r="R1177" s="1">
        <v>3</v>
      </c>
      <c r="S1177" s="1" t="s">
        <v>31</v>
      </c>
      <c r="T1177" s="1" t="s">
        <v>33</v>
      </c>
      <c r="U1177" s="1">
        <v>4</v>
      </c>
      <c r="V1177" s="1">
        <v>47767</v>
      </c>
      <c r="W1177" s="7">
        <v>1374.2</v>
      </c>
      <c r="X1177" s="1">
        <v>0.38</v>
      </c>
      <c r="Y1177" s="4">
        <v>44528</v>
      </c>
      <c r="Z1177" s="1" t="s">
        <v>38</v>
      </c>
      <c r="AA1177" s="1" t="s">
        <v>33</v>
      </c>
      <c r="AB1177" s="36" t="str" cm="1">
        <f t="array" ref="AB1177">_xlfn.IFS(K1177&gt;650,"LOW",K1177&gt;=550,"MEDIUM",K1177&lt;550,"HIGH")</f>
        <v>HIGH</v>
      </c>
    </row>
    <row r="1178" spans="3:28" x14ac:dyDescent="0.3">
      <c r="C1178" s="35" t="s">
        <v>2062</v>
      </c>
      <c r="D1178" s="1" t="s">
        <v>93</v>
      </c>
      <c r="E1178" s="1">
        <v>24</v>
      </c>
      <c r="F1178" s="1" t="s">
        <v>44</v>
      </c>
      <c r="G1178" s="1" t="s">
        <v>56</v>
      </c>
      <c r="H1178" s="1" t="s">
        <v>54</v>
      </c>
      <c r="I1178" s="1" t="s">
        <v>40</v>
      </c>
      <c r="J1178" s="7">
        <v>93282</v>
      </c>
      <c r="K1178" s="1">
        <v>528</v>
      </c>
      <c r="L1178" s="7">
        <v>1634</v>
      </c>
      <c r="M1178" s="1">
        <v>48</v>
      </c>
      <c r="N1178" s="6">
        <v>0.13919999999999999</v>
      </c>
      <c r="O1178" s="1" t="s">
        <v>37</v>
      </c>
      <c r="P1178" s="1" t="s">
        <v>47</v>
      </c>
      <c r="Q1178" s="1">
        <v>16</v>
      </c>
      <c r="R1178" s="1">
        <v>0</v>
      </c>
      <c r="S1178" s="1" t="s">
        <v>31</v>
      </c>
      <c r="T1178" s="1" t="s">
        <v>33</v>
      </c>
      <c r="U1178" s="1">
        <v>3</v>
      </c>
      <c r="V1178" s="1">
        <v>116909</v>
      </c>
      <c r="W1178" s="7">
        <v>1188.1500000000001</v>
      </c>
      <c r="X1178" s="1">
        <v>0.99</v>
      </c>
      <c r="Y1178" s="4">
        <v>44033</v>
      </c>
      <c r="Z1178" s="1" t="s">
        <v>32</v>
      </c>
      <c r="AA1178" s="1" t="s">
        <v>33</v>
      </c>
      <c r="AB1178" s="36" t="str" cm="1">
        <f t="array" ref="AB1178">_xlfn.IFS(K1178&gt;650,"LOW",K1178&gt;=550,"MEDIUM",K1178&lt;550,"HIGH")</f>
        <v>HIGH</v>
      </c>
    </row>
    <row r="1179" spans="3:28" x14ac:dyDescent="0.3">
      <c r="C1179" s="35" t="s">
        <v>2594</v>
      </c>
      <c r="D1179" s="1" t="s">
        <v>624</v>
      </c>
      <c r="E1179" s="1">
        <v>33</v>
      </c>
      <c r="F1179" s="1" t="s">
        <v>44</v>
      </c>
      <c r="G1179" s="1" t="s">
        <v>56</v>
      </c>
      <c r="H1179" s="1" t="s">
        <v>54</v>
      </c>
      <c r="I1179" s="1" t="s">
        <v>57</v>
      </c>
      <c r="J1179" s="7">
        <v>116264</v>
      </c>
      <c r="K1179" s="1">
        <v>528</v>
      </c>
      <c r="L1179" s="7">
        <v>11355</v>
      </c>
      <c r="M1179" s="1">
        <v>24</v>
      </c>
      <c r="N1179" s="6">
        <v>0.15570000000000001</v>
      </c>
      <c r="O1179" s="1" t="s">
        <v>46</v>
      </c>
      <c r="P1179" s="1" t="s">
        <v>50</v>
      </c>
      <c r="Q1179" s="1">
        <v>20</v>
      </c>
      <c r="R1179" s="1">
        <v>2</v>
      </c>
      <c r="S1179" s="1" t="s">
        <v>31</v>
      </c>
      <c r="T1179" s="1" t="s">
        <v>33</v>
      </c>
      <c r="U1179" s="1">
        <v>2</v>
      </c>
      <c r="V1179" s="1">
        <v>101701</v>
      </c>
      <c r="W1179" s="7">
        <v>136.77000000000001</v>
      </c>
      <c r="X1179" s="1">
        <v>0.35</v>
      </c>
      <c r="Y1179" s="4">
        <v>45116</v>
      </c>
      <c r="Z1179" s="1" t="s">
        <v>32</v>
      </c>
      <c r="AA1179" s="1" t="s">
        <v>33</v>
      </c>
      <c r="AB1179" s="36" t="str" cm="1">
        <f t="array" ref="AB1179">_xlfn.IFS(K1179&gt;650,"LOW",K1179&gt;=550,"MEDIUM",K1179&lt;550,"HIGH")</f>
        <v>HIGH</v>
      </c>
    </row>
    <row r="1180" spans="3:28" x14ac:dyDescent="0.3">
      <c r="C1180" s="35" t="s">
        <v>2665</v>
      </c>
      <c r="D1180" s="1" t="s">
        <v>695</v>
      </c>
      <c r="E1180" s="1">
        <v>58</v>
      </c>
      <c r="F1180" s="1" t="s">
        <v>44</v>
      </c>
      <c r="G1180" s="1" t="s">
        <v>27</v>
      </c>
      <c r="H1180" s="1" t="s">
        <v>36</v>
      </c>
      <c r="I1180" s="1" t="s">
        <v>59</v>
      </c>
      <c r="J1180" s="7">
        <v>104664</v>
      </c>
      <c r="K1180" s="1">
        <v>528</v>
      </c>
      <c r="L1180" s="7">
        <v>22175</v>
      </c>
      <c r="M1180" s="1">
        <v>60</v>
      </c>
      <c r="N1180" s="6">
        <v>0.15439999999999998</v>
      </c>
      <c r="O1180" s="1" t="s">
        <v>63</v>
      </c>
      <c r="P1180" s="1" t="s">
        <v>50</v>
      </c>
      <c r="Q1180" s="1">
        <v>22</v>
      </c>
      <c r="R1180" s="1">
        <v>4</v>
      </c>
      <c r="S1180" s="1" t="s">
        <v>33</v>
      </c>
      <c r="T1180" s="1" t="s">
        <v>33</v>
      </c>
      <c r="U1180" s="1">
        <v>3</v>
      </c>
      <c r="V1180" s="1">
        <v>5243</v>
      </c>
      <c r="W1180" s="7">
        <v>382.28</v>
      </c>
      <c r="X1180" s="1">
        <v>0.7</v>
      </c>
      <c r="Y1180" s="4">
        <v>44185</v>
      </c>
      <c r="Z1180" s="1" t="s">
        <v>32</v>
      </c>
      <c r="AA1180" s="1" t="s">
        <v>33</v>
      </c>
      <c r="AB1180" s="36" t="str" cm="1">
        <f t="array" ref="AB1180">_xlfn.IFS(K1180&gt;650,"LOW",K1180&gt;=550,"MEDIUM",K1180&lt;550,"HIGH")</f>
        <v>HIGH</v>
      </c>
    </row>
    <row r="1181" spans="3:28" x14ac:dyDescent="0.3">
      <c r="C1181" s="35" t="s">
        <v>3024</v>
      </c>
      <c r="D1181" s="1" t="s">
        <v>1051</v>
      </c>
      <c r="E1181" s="1">
        <v>27</v>
      </c>
      <c r="F1181" s="1" t="s">
        <v>26</v>
      </c>
      <c r="G1181" s="1" t="s">
        <v>35</v>
      </c>
      <c r="H1181" s="1" t="s">
        <v>36</v>
      </c>
      <c r="I1181" s="1" t="s">
        <v>29</v>
      </c>
      <c r="J1181" s="7">
        <v>49825</v>
      </c>
      <c r="K1181" s="1">
        <v>528</v>
      </c>
      <c r="L1181" s="7">
        <v>13204</v>
      </c>
      <c r="M1181" s="1">
        <v>60</v>
      </c>
      <c r="N1181" s="6">
        <v>0.18179999999999999</v>
      </c>
      <c r="O1181" s="1" t="s">
        <v>63</v>
      </c>
      <c r="P1181" s="1" t="s">
        <v>47</v>
      </c>
      <c r="Q1181" s="1">
        <v>2</v>
      </c>
      <c r="R1181" s="1">
        <v>1</v>
      </c>
      <c r="S1181" s="1" t="s">
        <v>33</v>
      </c>
      <c r="T1181" s="1" t="s">
        <v>33</v>
      </c>
      <c r="U1181" s="1">
        <v>0</v>
      </c>
      <c r="V1181" s="1">
        <v>108985</v>
      </c>
      <c r="W1181" s="7">
        <v>376.24</v>
      </c>
      <c r="X1181" s="1">
        <v>0.55000000000000004</v>
      </c>
      <c r="Y1181" s="4">
        <v>45780</v>
      </c>
      <c r="Z1181" s="1" t="s">
        <v>38</v>
      </c>
      <c r="AA1181" s="1" t="s">
        <v>31</v>
      </c>
      <c r="AB1181" s="36" t="str" cm="1">
        <f t="array" ref="AB1181">_xlfn.IFS(K1181&gt;650,"LOW",K1181&gt;=550,"MEDIUM",K1181&lt;550,"HIGH")</f>
        <v>HIGH</v>
      </c>
    </row>
    <row r="1182" spans="3:28" x14ac:dyDescent="0.3">
      <c r="C1182" s="35" t="s">
        <v>3224</v>
      </c>
      <c r="D1182" s="1" t="s">
        <v>1248</v>
      </c>
      <c r="E1182" s="1">
        <v>39</v>
      </c>
      <c r="F1182" s="1" t="s">
        <v>26</v>
      </c>
      <c r="G1182" s="1" t="s">
        <v>35</v>
      </c>
      <c r="H1182" s="1" t="s">
        <v>54</v>
      </c>
      <c r="I1182" s="1" t="s">
        <v>40</v>
      </c>
      <c r="J1182" s="7">
        <v>127585</v>
      </c>
      <c r="K1182" s="1">
        <v>528</v>
      </c>
      <c r="L1182" s="7">
        <v>22303</v>
      </c>
      <c r="M1182" s="1">
        <v>36</v>
      </c>
      <c r="N1182" s="6">
        <v>0.13009999999999999</v>
      </c>
      <c r="O1182" s="1" t="s">
        <v>41</v>
      </c>
      <c r="P1182" s="1" t="s">
        <v>30</v>
      </c>
      <c r="Q1182" s="1">
        <v>23</v>
      </c>
      <c r="R1182" s="1">
        <v>1</v>
      </c>
      <c r="S1182" s="1" t="s">
        <v>31</v>
      </c>
      <c r="T1182" s="1" t="s">
        <v>33</v>
      </c>
      <c r="U1182" s="1">
        <v>3</v>
      </c>
      <c r="V1182" s="1">
        <v>89543</v>
      </c>
      <c r="W1182" s="7">
        <v>947.86</v>
      </c>
      <c r="X1182" s="1">
        <v>0.7</v>
      </c>
      <c r="Y1182" s="4">
        <v>44507</v>
      </c>
      <c r="Z1182" s="1" t="s">
        <v>38</v>
      </c>
      <c r="AA1182" s="1" t="s">
        <v>31</v>
      </c>
      <c r="AB1182" s="36" t="str" cm="1">
        <f t="array" ref="AB1182">_xlfn.IFS(K1182&gt;650,"LOW",K1182&gt;=550,"MEDIUM",K1182&lt;550,"HIGH")</f>
        <v>HIGH</v>
      </c>
    </row>
    <row r="1183" spans="3:28" x14ac:dyDescent="0.3">
      <c r="C1183" s="35" t="s">
        <v>3665</v>
      </c>
      <c r="D1183" s="1" t="s">
        <v>1677</v>
      </c>
      <c r="E1183" s="1">
        <v>31</v>
      </c>
      <c r="F1183" s="1" t="s">
        <v>44</v>
      </c>
      <c r="G1183" s="1" t="s">
        <v>27</v>
      </c>
      <c r="H1183" s="1" t="s">
        <v>28</v>
      </c>
      <c r="I1183" s="1" t="s">
        <v>40</v>
      </c>
      <c r="J1183" s="7">
        <v>23232</v>
      </c>
      <c r="K1183" s="1">
        <v>528</v>
      </c>
      <c r="L1183" s="7">
        <v>24580</v>
      </c>
      <c r="M1183" s="1">
        <v>60</v>
      </c>
      <c r="N1183" s="6">
        <v>6.6900000000000001E-2</v>
      </c>
      <c r="O1183" s="1" t="s">
        <v>5</v>
      </c>
      <c r="P1183" s="1" t="s">
        <v>30</v>
      </c>
      <c r="Q1183" s="1">
        <v>28</v>
      </c>
      <c r="R1183" s="1">
        <v>3</v>
      </c>
      <c r="S1183" s="1" t="s">
        <v>33</v>
      </c>
      <c r="T1183" s="1" t="s">
        <v>33</v>
      </c>
      <c r="U1183" s="1">
        <v>2</v>
      </c>
      <c r="V1183" s="1">
        <v>184658</v>
      </c>
      <c r="W1183" s="7">
        <v>1440.05</v>
      </c>
      <c r="X1183" s="1">
        <v>0.54</v>
      </c>
      <c r="Y1183" s="4">
        <v>44888</v>
      </c>
      <c r="Z1183" s="1" t="s">
        <v>38</v>
      </c>
      <c r="AA1183" s="1" t="s">
        <v>33</v>
      </c>
      <c r="AB1183" s="36" t="str" cm="1">
        <f t="array" ref="AB1183">_xlfn.IFS(K1183&gt;650,"LOW",K1183&gt;=550,"MEDIUM",K1183&lt;550,"HIGH")</f>
        <v>HIGH</v>
      </c>
    </row>
    <row r="1184" spans="3:28" x14ac:dyDescent="0.3">
      <c r="C1184" s="35" t="s">
        <v>2101</v>
      </c>
      <c r="D1184" s="1" t="s">
        <v>132</v>
      </c>
      <c r="E1184" s="1">
        <v>46</v>
      </c>
      <c r="F1184" s="1" t="s">
        <v>26</v>
      </c>
      <c r="G1184" s="1" t="s">
        <v>56</v>
      </c>
      <c r="H1184" s="1" t="s">
        <v>28</v>
      </c>
      <c r="I1184" s="1" t="s">
        <v>40</v>
      </c>
      <c r="J1184" s="7">
        <v>40316</v>
      </c>
      <c r="K1184" s="1">
        <v>527</v>
      </c>
      <c r="L1184" s="7">
        <v>30263</v>
      </c>
      <c r="M1184" s="1">
        <v>24</v>
      </c>
      <c r="N1184" s="6">
        <v>0.18969999999999998</v>
      </c>
      <c r="O1184" s="1" t="s">
        <v>46</v>
      </c>
      <c r="P1184" s="1" t="s">
        <v>50</v>
      </c>
      <c r="Q1184" s="1">
        <v>6</v>
      </c>
      <c r="R1184" s="1">
        <v>2</v>
      </c>
      <c r="S1184" s="1" t="s">
        <v>33</v>
      </c>
      <c r="T1184" s="1" t="s">
        <v>31</v>
      </c>
      <c r="U1184" s="1">
        <v>1</v>
      </c>
      <c r="V1184" s="1">
        <v>167647</v>
      </c>
      <c r="W1184" s="7">
        <v>704.91</v>
      </c>
      <c r="X1184" s="1">
        <v>0.77</v>
      </c>
      <c r="Y1184" s="4">
        <v>45088</v>
      </c>
      <c r="Z1184" s="1" t="s">
        <v>38</v>
      </c>
      <c r="AA1184" s="1" t="s">
        <v>33</v>
      </c>
      <c r="AB1184" s="36" t="str" cm="1">
        <f t="array" ref="AB1184">_xlfn.IFS(K1184&gt;650,"LOW",K1184&gt;=550,"MEDIUM",K1184&lt;550,"HIGH")</f>
        <v>HIGH</v>
      </c>
    </row>
    <row r="1185" spans="3:28" x14ac:dyDescent="0.3">
      <c r="C1185" s="35" t="s">
        <v>2461</v>
      </c>
      <c r="D1185" s="1" t="s">
        <v>491</v>
      </c>
      <c r="E1185" s="1">
        <v>46</v>
      </c>
      <c r="F1185" s="1" t="s">
        <v>44</v>
      </c>
      <c r="G1185" s="1" t="s">
        <v>27</v>
      </c>
      <c r="H1185" s="1" t="s">
        <v>61</v>
      </c>
      <c r="I1185" s="1" t="s">
        <v>29</v>
      </c>
      <c r="J1185" s="7">
        <v>129545</v>
      </c>
      <c r="K1185" s="1">
        <v>527</v>
      </c>
      <c r="L1185" s="7">
        <v>18563</v>
      </c>
      <c r="M1185" s="1">
        <v>12</v>
      </c>
      <c r="N1185" s="6">
        <v>0.1709</v>
      </c>
      <c r="O1185" s="1" t="s">
        <v>52</v>
      </c>
      <c r="P1185" s="1" t="s">
        <v>30</v>
      </c>
      <c r="Q1185" s="1">
        <v>26</v>
      </c>
      <c r="R1185" s="1">
        <v>2</v>
      </c>
      <c r="S1185" s="1" t="s">
        <v>33</v>
      </c>
      <c r="T1185" s="1" t="s">
        <v>33</v>
      </c>
      <c r="U1185" s="1">
        <v>4</v>
      </c>
      <c r="V1185" s="1">
        <v>107041</v>
      </c>
      <c r="W1185" s="7">
        <v>1286.31</v>
      </c>
      <c r="X1185" s="1">
        <v>0.87</v>
      </c>
      <c r="Y1185" s="4">
        <v>44526</v>
      </c>
      <c r="Z1185" s="1" t="s">
        <v>38</v>
      </c>
      <c r="AA1185" s="1" t="s">
        <v>33</v>
      </c>
      <c r="AB1185" s="36" t="str" cm="1">
        <f t="array" ref="AB1185">_xlfn.IFS(K1185&gt;650,"LOW",K1185&gt;=550,"MEDIUM",K1185&lt;550,"HIGH")</f>
        <v>HIGH</v>
      </c>
    </row>
    <row r="1186" spans="3:28" x14ac:dyDescent="0.3">
      <c r="C1186" s="35" t="s">
        <v>3379</v>
      </c>
      <c r="D1186" s="1" t="s">
        <v>1400</v>
      </c>
      <c r="E1186" s="1">
        <v>46</v>
      </c>
      <c r="F1186" s="1" t="s">
        <v>44</v>
      </c>
      <c r="G1186" s="1" t="s">
        <v>56</v>
      </c>
      <c r="H1186" s="1" t="s">
        <v>54</v>
      </c>
      <c r="I1186" s="1" t="s">
        <v>57</v>
      </c>
      <c r="J1186" s="7">
        <v>112103</v>
      </c>
      <c r="K1186" s="1">
        <v>527</v>
      </c>
      <c r="L1186" s="7">
        <v>7406</v>
      </c>
      <c r="M1186" s="1">
        <v>12</v>
      </c>
      <c r="N1186" s="6">
        <v>0.16440000000000002</v>
      </c>
      <c r="O1186" s="1" t="s">
        <v>63</v>
      </c>
      <c r="P1186" s="1" t="s">
        <v>30</v>
      </c>
      <c r="Q1186" s="1">
        <v>24</v>
      </c>
      <c r="R1186" s="1">
        <v>4</v>
      </c>
      <c r="S1186" s="1" t="s">
        <v>31</v>
      </c>
      <c r="T1186" s="1" t="s">
        <v>31</v>
      </c>
      <c r="U1186" s="1">
        <v>3</v>
      </c>
      <c r="V1186" s="1">
        <v>157968</v>
      </c>
      <c r="W1186" s="7">
        <v>263.45</v>
      </c>
      <c r="X1186" s="1">
        <v>0.64</v>
      </c>
      <c r="Y1186" s="4">
        <v>44318</v>
      </c>
      <c r="Z1186" s="1" t="s">
        <v>38</v>
      </c>
      <c r="AA1186" s="1" t="s">
        <v>33</v>
      </c>
      <c r="AB1186" s="36" t="str" cm="1">
        <f t="array" ref="AB1186">_xlfn.IFS(K1186&gt;650,"LOW",K1186&gt;=550,"MEDIUM",K1186&lt;550,"HIGH")</f>
        <v>HIGH</v>
      </c>
    </row>
    <row r="1187" spans="3:28" x14ac:dyDescent="0.3">
      <c r="C1187" s="35" t="s">
        <v>3723</v>
      </c>
      <c r="D1187" s="1" t="s">
        <v>1732</v>
      </c>
      <c r="E1187" s="1">
        <v>33</v>
      </c>
      <c r="F1187" s="1" t="s">
        <v>26</v>
      </c>
      <c r="G1187" s="1" t="s">
        <v>35</v>
      </c>
      <c r="H1187" s="1" t="s">
        <v>61</v>
      </c>
      <c r="I1187" s="1" t="s">
        <v>57</v>
      </c>
      <c r="J1187" s="7">
        <v>129346</v>
      </c>
      <c r="K1187" s="1">
        <v>527</v>
      </c>
      <c r="L1187" s="7">
        <v>38981</v>
      </c>
      <c r="M1187" s="1">
        <v>24</v>
      </c>
      <c r="N1187" s="6">
        <v>6.4899999999999999E-2</v>
      </c>
      <c r="O1187" s="1" t="s">
        <v>46</v>
      </c>
      <c r="P1187" s="1" t="s">
        <v>30</v>
      </c>
      <c r="Q1187" s="1">
        <v>4</v>
      </c>
      <c r="R1187" s="1">
        <v>3</v>
      </c>
      <c r="S1187" s="1" t="s">
        <v>31</v>
      </c>
      <c r="T1187" s="1" t="s">
        <v>31</v>
      </c>
      <c r="U1187" s="1">
        <v>2</v>
      </c>
      <c r="V1187" s="1">
        <v>52464</v>
      </c>
      <c r="W1187" s="7">
        <v>1309.6199999999999</v>
      </c>
      <c r="X1187" s="1">
        <v>0.3</v>
      </c>
      <c r="Y1187" s="4">
        <v>44681</v>
      </c>
      <c r="Z1187" s="1" t="s">
        <v>38</v>
      </c>
      <c r="AA1187" s="1" t="s">
        <v>33</v>
      </c>
      <c r="AB1187" s="36" t="str" cm="1">
        <f t="array" ref="AB1187">_xlfn.IFS(K1187&gt;650,"LOW",K1187&gt;=550,"MEDIUM",K1187&lt;550,"HIGH")</f>
        <v>HIGH</v>
      </c>
    </row>
    <row r="1188" spans="3:28" x14ac:dyDescent="0.3">
      <c r="C1188" s="35" t="s">
        <v>3030</v>
      </c>
      <c r="D1188" s="1" t="s">
        <v>1057</v>
      </c>
      <c r="E1188" s="1">
        <v>50</v>
      </c>
      <c r="F1188" s="1" t="s">
        <v>44</v>
      </c>
      <c r="G1188" s="1" t="s">
        <v>27</v>
      </c>
      <c r="H1188" s="1" t="s">
        <v>36</v>
      </c>
      <c r="I1188" s="1" t="s">
        <v>57</v>
      </c>
      <c r="J1188" s="7">
        <v>119174</v>
      </c>
      <c r="K1188" s="1">
        <v>526</v>
      </c>
      <c r="L1188" s="7">
        <v>45036</v>
      </c>
      <c r="M1188" s="1">
        <v>48</v>
      </c>
      <c r="N1188" s="6">
        <v>6.93E-2</v>
      </c>
      <c r="O1188" s="1" t="s">
        <v>41</v>
      </c>
      <c r="P1188" s="1" t="s">
        <v>50</v>
      </c>
      <c r="Q1188" s="1">
        <v>20</v>
      </c>
      <c r="R1188" s="1">
        <v>0</v>
      </c>
      <c r="S1188" s="1" t="s">
        <v>33</v>
      </c>
      <c r="T1188" s="1" t="s">
        <v>31</v>
      </c>
      <c r="U1188" s="1">
        <v>1</v>
      </c>
      <c r="V1188" s="1">
        <v>130025</v>
      </c>
      <c r="W1188" s="7">
        <v>453.8</v>
      </c>
      <c r="X1188" s="1">
        <v>0.53</v>
      </c>
      <c r="Y1188" s="4">
        <v>44643</v>
      </c>
      <c r="Z1188" s="1" t="s">
        <v>38</v>
      </c>
      <c r="AA1188" s="1" t="s">
        <v>33</v>
      </c>
      <c r="AB1188" s="36" t="str" cm="1">
        <f t="array" ref="AB1188">_xlfn.IFS(K1188&gt;650,"LOW",K1188&gt;=550,"MEDIUM",K1188&lt;550,"HIGH")</f>
        <v>HIGH</v>
      </c>
    </row>
    <row r="1189" spans="3:28" x14ac:dyDescent="0.3">
      <c r="C1189" s="35" t="s">
        <v>3869</v>
      </c>
      <c r="D1189" s="1" t="s">
        <v>1875</v>
      </c>
      <c r="E1189" s="1">
        <v>62</v>
      </c>
      <c r="F1189" s="1" t="s">
        <v>26</v>
      </c>
      <c r="G1189" s="1" t="s">
        <v>27</v>
      </c>
      <c r="H1189" s="1" t="s">
        <v>61</v>
      </c>
      <c r="I1189" s="1" t="s">
        <v>59</v>
      </c>
      <c r="J1189" s="7">
        <v>147560</v>
      </c>
      <c r="K1189" s="1">
        <v>526</v>
      </c>
      <c r="L1189" s="7">
        <v>40028</v>
      </c>
      <c r="M1189" s="1">
        <v>12</v>
      </c>
      <c r="N1189" s="6">
        <v>0.159</v>
      </c>
      <c r="O1189" s="1" t="s">
        <v>63</v>
      </c>
      <c r="P1189" s="1" t="s">
        <v>30</v>
      </c>
      <c r="Q1189" s="1">
        <v>18</v>
      </c>
      <c r="R1189" s="1">
        <v>1</v>
      </c>
      <c r="S1189" s="1" t="s">
        <v>33</v>
      </c>
      <c r="T1189" s="1" t="s">
        <v>33</v>
      </c>
      <c r="U1189" s="1">
        <v>4</v>
      </c>
      <c r="V1189" s="1">
        <v>50737</v>
      </c>
      <c r="W1189" s="7">
        <v>1394.8</v>
      </c>
      <c r="X1189" s="1">
        <v>0.37</v>
      </c>
      <c r="Y1189" s="4">
        <v>45182</v>
      </c>
      <c r="Z1189" s="1" t="s">
        <v>32</v>
      </c>
      <c r="AA1189" s="1" t="s">
        <v>33</v>
      </c>
      <c r="AB1189" s="36" t="str" cm="1">
        <f t="array" ref="AB1189">_xlfn.IFS(K1189&gt;650,"LOW",K1189&gt;=550,"MEDIUM",K1189&lt;550,"HIGH")</f>
        <v>HIGH</v>
      </c>
    </row>
    <row r="1190" spans="3:28" x14ac:dyDescent="0.3">
      <c r="C1190" s="35" t="s">
        <v>3998</v>
      </c>
      <c r="D1190" s="1" t="s">
        <v>1998</v>
      </c>
      <c r="E1190" s="1">
        <v>29</v>
      </c>
      <c r="F1190" s="1" t="s">
        <v>26</v>
      </c>
      <c r="G1190" s="1" t="s">
        <v>27</v>
      </c>
      <c r="H1190" s="1" t="s">
        <v>61</v>
      </c>
      <c r="I1190" s="1" t="s">
        <v>59</v>
      </c>
      <c r="J1190" s="7">
        <v>128306</v>
      </c>
      <c r="K1190" s="1">
        <v>526</v>
      </c>
      <c r="L1190" s="7">
        <v>14515</v>
      </c>
      <c r="M1190" s="1">
        <v>24</v>
      </c>
      <c r="N1190" s="6">
        <v>0.1109</v>
      </c>
      <c r="O1190" s="1" t="s">
        <v>37</v>
      </c>
      <c r="P1190" s="1" t="s">
        <v>30</v>
      </c>
      <c r="Q1190" s="1">
        <v>3</v>
      </c>
      <c r="R1190" s="1">
        <v>0</v>
      </c>
      <c r="S1190" s="1" t="s">
        <v>31</v>
      </c>
      <c r="T1190" s="1" t="s">
        <v>31</v>
      </c>
      <c r="U1190" s="1">
        <v>4</v>
      </c>
      <c r="V1190" s="1">
        <v>157525</v>
      </c>
      <c r="W1190" s="7">
        <v>1236.9100000000001</v>
      </c>
      <c r="X1190" s="1">
        <v>0.38</v>
      </c>
      <c r="Y1190" s="4">
        <v>44783</v>
      </c>
      <c r="Z1190" s="1" t="s">
        <v>32</v>
      </c>
      <c r="AA1190" s="1" t="s">
        <v>31</v>
      </c>
      <c r="AB1190" s="36" t="str" cm="1">
        <f t="array" ref="AB1190">_xlfn.IFS(K1190&gt;650,"LOW",K1190&gt;=550,"MEDIUM",K1190&lt;550,"HIGH")</f>
        <v>HIGH</v>
      </c>
    </row>
    <row r="1191" spans="3:28" x14ac:dyDescent="0.3">
      <c r="C1191" s="35" t="s">
        <v>2847</v>
      </c>
      <c r="D1191" s="1" t="s">
        <v>875</v>
      </c>
      <c r="E1191" s="1">
        <v>22</v>
      </c>
      <c r="F1191" s="1" t="s">
        <v>44</v>
      </c>
      <c r="G1191" s="1" t="s">
        <v>35</v>
      </c>
      <c r="H1191" s="1" t="s">
        <v>36</v>
      </c>
      <c r="I1191" s="1" t="s">
        <v>57</v>
      </c>
      <c r="J1191" s="7">
        <v>39641</v>
      </c>
      <c r="K1191" s="1">
        <v>525</v>
      </c>
      <c r="L1191" s="7">
        <v>39057</v>
      </c>
      <c r="M1191" s="1">
        <v>60</v>
      </c>
      <c r="N1191" s="6">
        <v>8.9700000000000002E-2</v>
      </c>
      <c r="O1191" s="1" t="s">
        <v>5</v>
      </c>
      <c r="P1191" s="1" t="s">
        <v>50</v>
      </c>
      <c r="Q1191" s="1">
        <v>10</v>
      </c>
      <c r="R1191" s="1">
        <v>1</v>
      </c>
      <c r="S1191" s="1" t="s">
        <v>31</v>
      </c>
      <c r="T1191" s="1" t="s">
        <v>31</v>
      </c>
      <c r="U1191" s="1">
        <v>3</v>
      </c>
      <c r="V1191" s="1">
        <v>73917</v>
      </c>
      <c r="W1191" s="7">
        <v>1420.35</v>
      </c>
      <c r="X1191" s="1">
        <v>0.97</v>
      </c>
      <c r="Y1191" s="4">
        <v>44674</v>
      </c>
      <c r="Z1191" s="1" t="s">
        <v>32</v>
      </c>
      <c r="AA1191" s="1" t="s">
        <v>33</v>
      </c>
      <c r="AB1191" s="36" t="str" cm="1">
        <f t="array" ref="AB1191">_xlfn.IFS(K1191&gt;650,"LOW",K1191&gt;=550,"MEDIUM",K1191&lt;550,"HIGH")</f>
        <v>HIGH</v>
      </c>
    </row>
    <row r="1192" spans="3:28" x14ac:dyDescent="0.3">
      <c r="C1192" s="35" t="s">
        <v>3101</v>
      </c>
      <c r="D1192" s="1" t="s">
        <v>1126</v>
      </c>
      <c r="E1192" s="1">
        <v>61</v>
      </c>
      <c r="F1192" s="1" t="s">
        <v>26</v>
      </c>
      <c r="G1192" s="1" t="s">
        <v>27</v>
      </c>
      <c r="H1192" s="1" t="s">
        <v>61</v>
      </c>
      <c r="I1192" s="1" t="s">
        <v>59</v>
      </c>
      <c r="J1192" s="7">
        <v>68893</v>
      </c>
      <c r="K1192" s="1">
        <v>525</v>
      </c>
      <c r="L1192" s="7">
        <v>3459</v>
      </c>
      <c r="M1192" s="1">
        <v>36</v>
      </c>
      <c r="N1192" s="6">
        <v>0.1148</v>
      </c>
      <c r="O1192" s="1" t="s">
        <v>5</v>
      </c>
      <c r="P1192" s="1" t="s">
        <v>30</v>
      </c>
      <c r="Q1192" s="1">
        <v>17</v>
      </c>
      <c r="R1192" s="1">
        <v>0</v>
      </c>
      <c r="S1192" s="1" t="s">
        <v>31</v>
      </c>
      <c r="T1192" s="1" t="s">
        <v>33</v>
      </c>
      <c r="U1192" s="1">
        <v>4</v>
      </c>
      <c r="V1192" s="1">
        <v>54929</v>
      </c>
      <c r="W1192" s="7">
        <v>147.94999999999999</v>
      </c>
      <c r="X1192" s="1">
        <v>0.3</v>
      </c>
      <c r="Y1192" s="4">
        <v>44319</v>
      </c>
      <c r="Z1192" s="1" t="s">
        <v>32</v>
      </c>
      <c r="AA1192" s="1" t="s">
        <v>31</v>
      </c>
      <c r="AB1192" s="36" t="str" cm="1">
        <f t="array" ref="AB1192">_xlfn.IFS(K1192&gt;650,"LOW",K1192&gt;=550,"MEDIUM",K1192&lt;550,"HIGH")</f>
        <v>HIGH</v>
      </c>
    </row>
    <row r="1193" spans="3:28" x14ac:dyDescent="0.3">
      <c r="C1193" s="35" t="s">
        <v>3217</v>
      </c>
      <c r="D1193" s="1" t="s">
        <v>1241</v>
      </c>
      <c r="E1193" s="1">
        <v>38</v>
      </c>
      <c r="F1193" s="1" t="s">
        <v>44</v>
      </c>
      <c r="G1193" s="1" t="s">
        <v>27</v>
      </c>
      <c r="H1193" s="1" t="s">
        <v>54</v>
      </c>
      <c r="I1193" s="1" t="s">
        <v>29</v>
      </c>
      <c r="J1193" s="7">
        <v>95039</v>
      </c>
      <c r="K1193" s="1">
        <v>525</v>
      </c>
      <c r="L1193" s="7">
        <v>43607</v>
      </c>
      <c r="M1193" s="1">
        <v>24</v>
      </c>
      <c r="N1193" s="6">
        <v>6.2800000000000009E-2</v>
      </c>
      <c r="O1193" s="1" t="s">
        <v>52</v>
      </c>
      <c r="P1193" s="1" t="s">
        <v>47</v>
      </c>
      <c r="Q1193" s="1">
        <v>13</v>
      </c>
      <c r="R1193" s="1">
        <v>2</v>
      </c>
      <c r="S1193" s="1" t="s">
        <v>31</v>
      </c>
      <c r="T1193" s="1" t="s">
        <v>31</v>
      </c>
      <c r="U1193" s="1">
        <v>3</v>
      </c>
      <c r="V1193" s="1">
        <v>160412</v>
      </c>
      <c r="W1193" s="7">
        <v>1399.35</v>
      </c>
      <c r="X1193" s="1">
        <v>0.99</v>
      </c>
      <c r="Y1193" s="4">
        <v>45492</v>
      </c>
      <c r="Z1193" s="1" t="s">
        <v>38</v>
      </c>
      <c r="AA1193" s="1" t="s">
        <v>31</v>
      </c>
      <c r="AB1193" s="36" t="str" cm="1">
        <f t="array" ref="AB1193">_xlfn.IFS(K1193&gt;650,"LOW",K1193&gt;=550,"MEDIUM",K1193&lt;550,"HIGH")</f>
        <v>HIGH</v>
      </c>
    </row>
    <row r="1194" spans="3:28" x14ac:dyDescent="0.3">
      <c r="C1194" s="35" t="s">
        <v>3785</v>
      </c>
      <c r="D1194" s="1" t="s">
        <v>1791</v>
      </c>
      <c r="E1194" s="1">
        <v>61</v>
      </c>
      <c r="F1194" s="1" t="s">
        <v>44</v>
      </c>
      <c r="G1194" s="1" t="s">
        <v>45</v>
      </c>
      <c r="H1194" s="1" t="s">
        <v>36</v>
      </c>
      <c r="I1194" s="1" t="s">
        <v>57</v>
      </c>
      <c r="J1194" s="7">
        <v>33334</v>
      </c>
      <c r="K1194" s="1">
        <v>525</v>
      </c>
      <c r="L1194" s="7">
        <v>36191</v>
      </c>
      <c r="M1194" s="1">
        <v>24</v>
      </c>
      <c r="N1194" s="6">
        <v>0.15090000000000001</v>
      </c>
      <c r="O1194" s="1" t="s">
        <v>63</v>
      </c>
      <c r="P1194" s="1" t="s">
        <v>50</v>
      </c>
      <c r="Q1194" s="1">
        <v>1</v>
      </c>
      <c r="R1194" s="1">
        <v>0</v>
      </c>
      <c r="S1194" s="1" t="s">
        <v>33</v>
      </c>
      <c r="T1194" s="1" t="s">
        <v>33</v>
      </c>
      <c r="U1194" s="1">
        <v>1</v>
      </c>
      <c r="V1194" s="1">
        <v>72853</v>
      </c>
      <c r="W1194" s="7">
        <v>424.11</v>
      </c>
      <c r="X1194" s="1">
        <v>0.68</v>
      </c>
      <c r="Y1194" s="4">
        <v>45397</v>
      </c>
      <c r="Z1194" s="1" t="s">
        <v>38</v>
      </c>
      <c r="AA1194" s="1" t="s">
        <v>33</v>
      </c>
      <c r="AB1194" s="36" t="str" cm="1">
        <f t="array" ref="AB1194">_xlfn.IFS(K1194&gt;650,"LOW",K1194&gt;=550,"MEDIUM",K1194&lt;550,"HIGH")</f>
        <v>HIGH</v>
      </c>
    </row>
    <row r="1195" spans="3:28" x14ac:dyDescent="0.3">
      <c r="C1195" s="35" t="s">
        <v>2031</v>
      </c>
      <c r="D1195" s="1" t="s">
        <v>60</v>
      </c>
      <c r="E1195" s="1">
        <v>44</v>
      </c>
      <c r="F1195" s="1" t="s">
        <v>26</v>
      </c>
      <c r="G1195" s="1" t="s">
        <v>45</v>
      </c>
      <c r="H1195" s="1" t="s">
        <v>61</v>
      </c>
      <c r="I1195" s="1" t="s">
        <v>57</v>
      </c>
      <c r="J1195" s="7">
        <v>81030</v>
      </c>
      <c r="K1195" s="1">
        <v>524</v>
      </c>
      <c r="L1195" s="7">
        <v>21012</v>
      </c>
      <c r="M1195" s="1">
        <v>60</v>
      </c>
      <c r="N1195" s="6">
        <v>0.14510000000000001</v>
      </c>
      <c r="O1195" s="1" t="s">
        <v>52</v>
      </c>
      <c r="P1195" s="1" t="s">
        <v>50</v>
      </c>
      <c r="Q1195" s="1">
        <v>10</v>
      </c>
      <c r="R1195" s="1">
        <v>2</v>
      </c>
      <c r="S1195" s="1" t="s">
        <v>31</v>
      </c>
      <c r="T1195" s="1" t="s">
        <v>33</v>
      </c>
      <c r="U1195" s="1">
        <v>0</v>
      </c>
      <c r="V1195" s="1">
        <v>17740</v>
      </c>
      <c r="W1195" s="7">
        <v>1513.68</v>
      </c>
      <c r="X1195" s="1">
        <v>0.41</v>
      </c>
      <c r="Y1195" s="4">
        <v>45505</v>
      </c>
      <c r="Z1195" s="1" t="s">
        <v>38</v>
      </c>
      <c r="AA1195" s="1" t="s">
        <v>33</v>
      </c>
      <c r="AB1195" s="36" t="str" cm="1">
        <f t="array" ref="AB1195">_xlfn.IFS(K1195&gt;650,"LOW",K1195&gt;=550,"MEDIUM",K1195&lt;550,"HIGH")</f>
        <v>HIGH</v>
      </c>
    </row>
    <row r="1196" spans="3:28" x14ac:dyDescent="0.3">
      <c r="C1196" s="35" t="s">
        <v>2300</v>
      </c>
      <c r="D1196" s="1" t="s">
        <v>331</v>
      </c>
      <c r="E1196" s="1">
        <v>49</v>
      </c>
      <c r="F1196" s="1" t="s">
        <v>44</v>
      </c>
      <c r="G1196" s="1" t="s">
        <v>35</v>
      </c>
      <c r="H1196" s="1" t="s">
        <v>28</v>
      </c>
      <c r="I1196" s="1" t="s">
        <v>40</v>
      </c>
      <c r="J1196" s="7">
        <v>67636</v>
      </c>
      <c r="K1196" s="1">
        <v>524</v>
      </c>
      <c r="L1196" s="7">
        <v>6430</v>
      </c>
      <c r="M1196" s="1">
        <v>36</v>
      </c>
      <c r="N1196" s="6">
        <v>8.2400000000000001E-2</v>
      </c>
      <c r="O1196" s="1" t="s">
        <v>52</v>
      </c>
      <c r="P1196" s="1" t="s">
        <v>47</v>
      </c>
      <c r="Q1196" s="1">
        <v>22</v>
      </c>
      <c r="R1196" s="1">
        <v>4</v>
      </c>
      <c r="S1196" s="1" t="s">
        <v>31</v>
      </c>
      <c r="T1196" s="1" t="s">
        <v>31</v>
      </c>
      <c r="U1196" s="1">
        <v>1</v>
      </c>
      <c r="V1196" s="1">
        <v>61110</v>
      </c>
      <c r="W1196" s="7">
        <v>145.81</v>
      </c>
      <c r="X1196" s="1">
        <v>0.59</v>
      </c>
      <c r="Y1196" s="4">
        <v>45261</v>
      </c>
      <c r="Z1196" s="1" t="s">
        <v>38</v>
      </c>
      <c r="AA1196" s="1" t="s">
        <v>31</v>
      </c>
      <c r="AB1196" s="36" t="str" cm="1">
        <f t="array" ref="AB1196">_xlfn.IFS(K1196&gt;650,"LOW",K1196&gt;=550,"MEDIUM",K1196&lt;550,"HIGH")</f>
        <v>HIGH</v>
      </c>
    </row>
    <row r="1197" spans="3:28" x14ac:dyDescent="0.3">
      <c r="C1197" s="35" t="s">
        <v>2726</v>
      </c>
      <c r="D1197" s="1" t="s">
        <v>756</v>
      </c>
      <c r="E1197" s="1">
        <v>30</v>
      </c>
      <c r="F1197" s="1" t="s">
        <v>26</v>
      </c>
      <c r="G1197" s="1" t="s">
        <v>45</v>
      </c>
      <c r="H1197" s="1" t="s">
        <v>28</v>
      </c>
      <c r="I1197" s="1" t="s">
        <v>57</v>
      </c>
      <c r="J1197" s="7">
        <v>46811</v>
      </c>
      <c r="K1197" s="1">
        <v>524</v>
      </c>
      <c r="L1197" s="7">
        <v>10596</v>
      </c>
      <c r="M1197" s="1">
        <v>60</v>
      </c>
      <c r="N1197" s="6">
        <v>0.1618</v>
      </c>
      <c r="O1197" s="1" t="s">
        <v>37</v>
      </c>
      <c r="P1197" s="1" t="s">
        <v>50</v>
      </c>
      <c r="Q1197" s="1">
        <v>7</v>
      </c>
      <c r="R1197" s="1">
        <v>3</v>
      </c>
      <c r="S1197" s="1" t="s">
        <v>31</v>
      </c>
      <c r="T1197" s="1" t="s">
        <v>31</v>
      </c>
      <c r="U1197" s="1">
        <v>4</v>
      </c>
      <c r="V1197" s="1">
        <v>16347</v>
      </c>
      <c r="W1197" s="7">
        <v>1789.6</v>
      </c>
      <c r="X1197" s="1">
        <v>0.85</v>
      </c>
      <c r="Y1197" s="4">
        <v>45525</v>
      </c>
      <c r="Z1197" s="1" t="s">
        <v>32</v>
      </c>
      <c r="AA1197" s="1" t="s">
        <v>33</v>
      </c>
      <c r="AB1197" s="36" t="str" cm="1">
        <f t="array" ref="AB1197">_xlfn.IFS(K1197&gt;650,"LOW",K1197&gt;=550,"MEDIUM",K1197&lt;550,"HIGH")</f>
        <v>HIGH</v>
      </c>
    </row>
    <row r="1198" spans="3:28" x14ac:dyDescent="0.3">
      <c r="C1198" s="35" t="s">
        <v>3413</v>
      </c>
      <c r="D1198" s="1" t="s">
        <v>1433</v>
      </c>
      <c r="E1198" s="1">
        <v>57</v>
      </c>
      <c r="F1198" s="1" t="s">
        <v>26</v>
      </c>
      <c r="G1198" s="1" t="s">
        <v>35</v>
      </c>
      <c r="H1198" s="1" t="s">
        <v>54</v>
      </c>
      <c r="I1198" s="1" t="s">
        <v>57</v>
      </c>
      <c r="J1198" s="7">
        <v>106669</v>
      </c>
      <c r="K1198" s="1">
        <v>524</v>
      </c>
      <c r="L1198" s="7">
        <v>40986</v>
      </c>
      <c r="M1198" s="1">
        <v>48</v>
      </c>
      <c r="N1198" s="6">
        <v>0.15990000000000001</v>
      </c>
      <c r="O1198" s="1" t="s">
        <v>37</v>
      </c>
      <c r="P1198" s="1" t="s">
        <v>30</v>
      </c>
      <c r="Q1198" s="1">
        <v>5</v>
      </c>
      <c r="R1198" s="1">
        <v>3</v>
      </c>
      <c r="S1198" s="1" t="s">
        <v>31</v>
      </c>
      <c r="T1198" s="1" t="s">
        <v>31</v>
      </c>
      <c r="U1198" s="1">
        <v>0</v>
      </c>
      <c r="V1198" s="1">
        <v>52754</v>
      </c>
      <c r="W1198" s="7">
        <v>735.49</v>
      </c>
      <c r="X1198" s="1">
        <v>0.2</v>
      </c>
      <c r="Y1198" s="4">
        <v>44105</v>
      </c>
      <c r="Z1198" s="1" t="s">
        <v>32</v>
      </c>
      <c r="AA1198" s="1" t="s">
        <v>33</v>
      </c>
      <c r="AB1198" s="36" t="str" cm="1">
        <f t="array" ref="AB1198">_xlfn.IFS(K1198&gt;650,"LOW",K1198&gt;=550,"MEDIUM",K1198&lt;550,"HIGH")</f>
        <v>HIGH</v>
      </c>
    </row>
    <row r="1199" spans="3:28" x14ac:dyDescent="0.3">
      <c r="C1199" s="35" t="s">
        <v>2503</v>
      </c>
      <c r="D1199" s="1" t="s">
        <v>533</v>
      </c>
      <c r="E1199" s="1">
        <v>64</v>
      </c>
      <c r="F1199" s="1" t="s">
        <v>26</v>
      </c>
      <c r="G1199" s="1" t="s">
        <v>35</v>
      </c>
      <c r="H1199" s="1" t="s">
        <v>54</v>
      </c>
      <c r="I1199" s="1" t="s">
        <v>29</v>
      </c>
      <c r="J1199" s="7">
        <v>80740</v>
      </c>
      <c r="K1199" s="1">
        <v>523</v>
      </c>
      <c r="L1199" s="7">
        <v>14136</v>
      </c>
      <c r="M1199" s="1">
        <v>60</v>
      </c>
      <c r="N1199" s="6">
        <v>0.1678</v>
      </c>
      <c r="O1199" s="1" t="s">
        <v>63</v>
      </c>
      <c r="P1199" s="1" t="s">
        <v>50</v>
      </c>
      <c r="Q1199" s="1">
        <v>18</v>
      </c>
      <c r="R1199" s="1">
        <v>3</v>
      </c>
      <c r="S1199" s="1" t="s">
        <v>33</v>
      </c>
      <c r="T1199" s="1" t="s">
        <v>33</v>
      </c>
      <c r="U1199" s="1">
        <v>0</v>
      </c>
      <c r="V1199" s="1">
        <v>98235</v>
      </c>
      <c r="W1199" s="7">
        <v>191.52</v>
      </c>
      <c r="X1199" s="1">
        <v>0.91</v>
      </c>
      <c r="Y1199" s="4">
        <v>44871</v>
      </c>
      <c r="Z1199" s="1" t="s">
        <v>32</v>
      </c>
      <c r="AA1199" s="1" t="s">
        <v>33</v>
      </c>
      <c r="AB1199" s="36" t="str" cm="1">
        <f t="array" ref="AB1199">_xlfn.IFS(K1199&gt;650,"LOW",K1199&gt;=550,"MEDIUM",K1199&lt;550,"HIGH")</f>
        <v>HIGH</v>
      </c>
    </row>
    <row r="1200" spans="3:28" x14ac:dyDescent="0.3">
      <c r="C1200" s="35" t="s">
        <v>2457</v>
      </c>
      <c r="D1200" s="1" t="s">
        <v>487</v>
      </c>
      <c r="E1200" s="1">
        <v>50</v>
      </c>
      <c r="F1200" s="1" t="s">
        <v>26</v>
      </c>
      <c r="G1200" s="1" t="s">
        <v>56</v>
      </c>
      <c r="H1200" s="1" t="s">
        <v>54</v>
      </c>
      <c r="I1200" s="1" t="s">
        <v>40</v>
      </c>
      <c r="J1200" s="7">
        <v>74225</v>
      </c>
      <c r="K1200" s="1">
        <v>522</v>
      </c>
      <c r="L1200" s="7">
        <v>19727</v>
      </c>
      <c r="M1200" s="1">
        <v>12</v>
      </c>
      <c r="N1200" s="6">
        <v>0.11449999999999999</v>
      </c>
      <c r="O1200" s="1" t="s">
        <v>52</v>
      </c>
      <c r="P1200" s="1" t="s">
        <v>50</v>
      </c>
      <c r="Q1200" s="1">
        <v>18</v>
      </c>
      <c r="R1200" s="1">
        <v>0</v>
      </c>
      <c r="S1200" s="1" t="s">
        <v>33</v>
      </c>
      <c r="T1200" s="1" t="s">
        <v>33</v>
      </c>
      <c r="U1200" s="1">
        <v>1</v>
      </c>
      <c r="V1200" s="1">
        <v>190672</v>
      </c>
      <c r="W1200" s="7">
        <v>1204.8800000000001</v>
      </c>
      <c r="X1200" s="1">
        <v>0.94</v>
      </c>
      <c r="Y1200" s="4">
        <v>45542</v>
      </c>
      <c r="Z1200" s="1" t="s">
        <v>38</v>
      </c>
      <c r="AA1200" s="1" t="s">
        <v>33</v>
      </c>
      <c r="AB1200" s="36" t="str" cm="1">
        <f t="array" ref="AB1200">_xlfn.IFS(K1200&gt;650,"LOW",K1200&gt;=550,"MEDIUM",K1200&lt;550,"HIGH")</f>
        <v>HIGH</v>
      </c>
    </row>
    <row r="1201" spans="3:28" x14ac:dyDescent="0.3">
      <c r="C1201" s="35" t="s">
        <v>3302</v>
      </c>
      <c r="D1201" s="1" t="s">
        <v>1325</v>
      </c>
      <c r="E1201" s="1">
        <v>41</v>
      </c>
      <c r="F1201" s="1" t="s">
        <v>44</v>
      </c>
      <c r="G1201" s="1" t="s">
        <v>27</v>
      </c>
      <c r="H1201" s="1" t="s">
        <v>54</v>
      </c>
      <c r="I1201" s="1" t="s">
        <v>40</v>
      </c>
      <c r="J1201" s="7">
        <v>139773</v>
      </c>
      <c r="K1201" s="1">
        <v>522</v>
      </c>
      <c r="L1201" s="7">
        <v>3019</v>
      </c>
      <c r="M1201" s="1">
        <v>60</v>
      </c>
      <c r="N1201" s="6">
        <v>6.6100000000000006E-2</v>
      </c>
      <c r="O1201" s="1" t="s">
        <v>52</v>
      </c>
      <c r="P1201" s="1" t="s">
        <v>30</v>
      </c>
      <c r="Q1201" s="1">
        <v>23</v>
      </c>
      <c r="R1201" s="1">
        <v>0</v>
      </c>
      <c r="S1201" s="1" t="s">
        <v>31</v>
      </c>
      <c r="T1201" s="1" t="s">
        <v>31</v>
      </c>
      <c r="U1201" s="1">
        <v>2</v>
      </c>
      <c r="V1201" s="1">
        <v>1921</v>
      </c>
      <c r="W1201" s="7">
        <v>179.54</v>
      </c>
      <c r="X1201" s="1">
        <v>0.6</v>
      </c>
      <c r="Y1201" s="4">
        <v>45083</v>
      </c>
      <c r="Z1201" s="1" t="s">
        <v>32</v>
      </c>
      <c r="AA1201" s="1" t="s">
        <v>31</v>
      </c>
      <c r="AB1201" s="36" t="str" cm="1">
        <f t="array" ref="AB1201">_xlfn.IFS(K1201&gt;650,"LOW",K1201&gt;=550,"MEDIUM",K1201&lt;550,"HIGH")</f>
        <v>HIGH</v>
      </c>
    </row>
    <row r="1202" spans="3:28" x14ac:dyDescent="0.3">
      <c r="C1202" s="35" t="s">
        <v>3338</v>
      </c>
      <c r="D1202" s="1" t="s">
        <v>1360</v>
      </c>
      <c r="E1202" s="1">
        <v>21</v>
      </c>
      <c r="F1202" s="1" t="s">
        <v>26</v>
      </c>
      <c r="G1202" s="1" t="s">
        <v>45</v>
      </c>
      <c r="H1202" s="1" t="s">
        <v>36</v>
      </c>
      <c r="I1202" s="1" t="s">
        <v>40</v>
      </c>
      <c r="J1202" s="7">
        <v>56113</v>
      </c>
      <c r="K1202" s="1">
        <v>522</v>
      </c>
      <c r="L1202" s="7">
        <v>36399</v>
      </c>
      <c r="M1202" s="1">
        <v>48</v>
      </c>
      <c r="N1202" s="6">
        <v>0.1628</v>
      </c>
      <c r="O1202" s="1" t="s">
        <v>52</v>
      </c>
      <c r="P1202" s="1" t="s">
        <v>30</v>
      </c>
      <c r="Q1202" s="1">
        <v>1</v>
      </c>
      <c r="R1202" s="1">
        <v>3</v>
      </c>
      <c r="S1202" s="1" t="s">
        <v>31</v>
      </c>
      <c r="T1202" s="1" t="s">
        <v>33</v>
      </c>
      <c r="U1202" s="1">
        <v>1</v>
      </c>
      <c r="V1202" s="1">
        <v>70264</v>
      </c>
      <c r="W1202" s="7">
        <v>1395.01</v>
      </c>
      <c r="X1202" s="1">
        <v>0.79</v>
      </c>
      <c r="Y1202" s="4">
        <v>44506</v>
      </c>
      <c r="Z1202" s="1" t="s">
        <v>38</v>
      </c>
      <c r="AA1202" s="1" t="s">
        <v>33</v>
      </c>
      <c r="AB1202" s="36" t="str" cm="1">
        <f t="array" ref="AB1202">_xlfn.IFS(K1202&gt;650,"LOW",K1202&gt;=550,"MEDIUM",K1202&lt;550,"HIGH")</f>
        <v>HIGH</v>
      </c>
    </row>
    <row r="1203" spans="3:28" x14ac:dyDescent="0.3">
      <c r="C1203" s="35" t="s">
        <v>2703</v>
      </c>
      <c r="D1203" s="1" t="s">
        <v>733</v>
      </c>
      <c r="E1203" s="1">
        <v>46</v>
      </c>
      <c r="F1203" s="1" t="s">
        <v>26</v>
      </c>
      <c r="G1203" s="1" t="s">
        <v>35</v>
      </c>
      <c r="H1203" s="1" t="s">
        <v>54</v>
      </c>
      <c r="I1203" s="1" t="s">
        <v>57</v>
      </c>
      <c r="J1203" s="7">
        <v>20767</v>
      </c>
      <c r="K1203" s="1">
        <v>521</v>
      </c>
      <c r="L1203" s="7">
        <v>8432</v>
      </c>
      <c r="M1203" s="1">
        <v>24</v>
      </c>
      <c r="N1203" s="6">
        <v>0.11019999999999999</v>
      </c>
      <c r="O1203" s="1" t="s">
        <v>37</v>
      </c>
      <c r="P1203" s="1" t="s">
        <v>50</v>
      </c>
      <c r="Q1203" s="1">
        <v>10</v>
      </c>
      <c r="R1203" s="1">
        <v>3</v>
      </c>
      <c r="S1203" s="1" t="s">
        <v>33</v>
      </c>
      <c r="T1203" s="1" t="s">
        <v>33</v>
      </c>
      <c r="U1203" s="1">
        <v>2</v>
      </c>
      <c r="V1203" s="1">
        <v>169623</v>
      </c>
      <c r="W1203" s="7">
        <v>1524.86</v>
      </c>
      <c r="X1203" s="1">
        <v>0.37</v>
      </c>
      <c r="Y1203" s="4">
        <v>45495</v>
      </c>
      <c r="Z1203" s="1" t="s">
        <v>32</v>
      </c>
      <c r="AA1203" s="1" t="s">
        <v>33</v>
      </c>
      <c r="AB1203" s="36" t="str" cm="1">
        <f t="array" ref="AB1203">_xlfn.IFS(K1203&gt;650,"LOW",K1203&gt;=550,"MEDIUM",K1203&lt;550,"HIGH")</f>
        <v>HIGH</v>
      </c>
    </row>
    <row r="1204" spans="3:28" x14ac:dyDescent="0.3">
      <c r="C1204" s="35" t="s">
        <v>3790</v>
      </c>
      <c r="D1204" s="1" t="s">
        <v>1796</v>
      </c>
      <c r="E1204" s="1">
        <v>40</v>
      </c>
      <c r="F1204" s="1" t="s">
        <v>26</v>
      </c>
      <c r="G1204" s="1" t="s">
        <v>45</v>
      </c>
      <c r="H1204" s="1" t="s">
        <v>28</v>
      </c>
      <c r="I1204" s="1" t="s">
        <v>59</v>
      </c>
      <c r="J1204" s="7">
        <v>141690</v>
      </c>
      <c r="K1204" s="1">
        <v>521</v>
      </c>
      <c r="L1204" s="7">
        <v>40107</v>
      </c>
      <c r="M1204" s="1">
        <v>48</v>
      </c>
      <c r="N1204" s="6">
        <v>6.2400000000000004E-2</v>
      </c>
      <c r="O1204" s="1" t="s">
        <v>52</v>
      </c>
      <c r="P1204" s="1" t="s">
        <v>47</v>
      </c>
      <c r="Q1204" s="1">
        <v>24</v>
      </c>
      <c r="R1204" s="1">
        <v>4</v>
      </c>
      <c r="S1204" s="1" t="s">
        <v>31</v>
      </c>
      <c r="T1204" s="1" t="s">
        <v>31</v>
      </c>
      <c r="U1204" s="1">
        <v>4</v>
      </c>
      <c r="V1204" s="1">
        <v>60521</v>
      </c>
      <c r="W1204" s="7">
        <v>164.13</v>
      </c>
      <c r="X1204" s="1">
        <v>0.85</v>
      </c>
      <c r="Y1204" s="4">
        <v>45384</v>
      </c>
      <c r="Z1204" s="1" t="s">
        <v>38</v>
      </c>
      <c r="AA1204" s="1" t="s">
        <v>33</v>
      </c>
      <c r="AB1204" s="36" t="str" cm="1">
        <f t="array" ref="AB1204">_xlfn.IFS(K1204&gt;650,"LOW",K1204&gt;=550,"MEDIUM",K1204&lt;550,"HIGH")</f>
        <v>HIGH</v>
      </c>
    </row>
    <row r="1205" spans="3:28" x14ac:dyDescent="0.3">
      <c r="C1205" s="35" t="s">
        <v>2629</v>
      </c>
      <c r="D1205" s="1" t="s">
        <v>659</v>
      </c>
      <c r="E1205" s="1">
        <v>61</v>
      </c>
      <c r="F1205" s="1" t="s">
        <v>26</v>
      </c>
      <c r="G1205" s="1" t="s">
        <v>45</v>
      </c>
      <c r="H1205" s="1" t="s">
        <v>61</v>
      </c>
      <c r="I1205" s="1" t="s">
        <v>57</v>
      </c>
      <c r="J1205" s="7">
        <v>50974</v>
      </c>
      <c r="K1205" s="1">
        <v>520</v>
      </c>
      <c r="L1205" s="7">
        <v>35948</v>
      </c>
      <c r="M1205" s="1">
        <v>60</v>
      </c>
      <c r="N1205" s="6">
        <v>0.15620000000000001</v>
      </c>
      <c r="O1205" s="1" t="s">
        <v>52</v>
      </c>
      <c r="P1205" s="1" t="s">
        <v>30</v>
      </c>
      <c r="Q1205" s="1">
        <v>1</v>
      </c>
      <c r="R1205" s="1">
        <v>2</v>
      </c>
      <c r="S1205" s="1" t="s">
        <v>31</v>
      </c>
      <c r="T1205" s="1" t="s">
        <v>31</v>
      </c>
      <c r="U1205" s="1">
        <v>2</v>
      </c>
      <c r="V1205" s="1">
        <v>8292</v>
      </c>
      <c r="W1205" s="7">
        <v>740.05</v>
      </c>
      <c r="X1205" s="1">
        <v>0.28000000000000003</v>
      </c>
      <c r="Y1205" s="4">
        <v>44509</v>
      </c>
      <c r="Z1205" s="1" t="s">
        <v>32</v>
      </c>
      <c r="AA1205" s="1" t="s">
        <v>31</v>
      </c>
      <c r="AB1205" s="36" t="str" cm="1">
        <f t="array" ref="AB1205">_xlfn.IFS(K1205&gt;650,"LOW",K1205&gt;=550,"MEDIUM",K1205&lt;550,"HIGH")</f>
        <v>HIGH</v>
      </c>
    </row>
    <row r="1206" spans="3:28" x14ac:dyDescent="0.3">
      <c r="C1206" s="35" t="s">
        <v>2803</v>
      </c>
      <c r="D1206" s="1" t="s">
        <v>831</v>
      </c>
      <c r="E1206" s="1">
        <v>45</v>
      </c>
      <c r="F1206" s="1" t="s">
        <v>44</v>
      </c>
      <c r="G1206" s="1" t="s">
        <v>56</v>
      </c>
      <c r="H1206" s="1" t="s">
        <v>28</v>
      </c>
      <c r="I1206" s="1" t="s">
        <v>57</v>
      </c>
      <c r="J1206" s="7">
        <v>27856</v>
      </c>
      <c r="K1206" s="1">
        <v>520</v>
      </c>
      <c r="L1206" s="7">
        <v>43255</v>
      </c>
      <c r="M1206" s="1">
        <v>48</v>
      </c>
      <c r="N1206" s="6">
        <v>5.0199999999999995E-2</v>
      </c>
      <c r="O1206" s="1" t="s">
        <v>41</v>
      </c>
      <c r="P1206" s="1" t="s">
        <v>50</v>
      </c>
      <c r="Q1206" s="1">
        <v>4</v>
      </c>
      <c r="R1206" s="1">
        <v>1</v>
      </c>
      <c r="S1206" s="1" t="s">
        <v>31</v>
      </c>
      <c r="T1206" s="1" t="s">
        <v>31</v>
      </c>
      <c r="U1206" s="1">
        <v>2</v>
      </c>
      <c r="V1206" s="1">
        <v>198063</v>
      </c>
      <c r="W1206" s="7">
        <v>710.16</v>
      </c>
      <c r="X1206" s="1">
        <v>0.39</v>
      </c>
      <c r="Y1206" s="4">
        <v>44114</v>
      </c>
      <c r="Z1206" s="1" t="s">
        <v>32</v>
      </c>
      <c r="AA1206" s="1" t="s">
        <v>33</v>
      </c>
      <c r="AB1206" s="36" t="str" cm="1">
        <f t="array" ref="AB1206">_xlfn.IFS(K1206&gt;650,"LOW",K1206&gt;=550,"MEDIUM",K1206&lt;550,"HIGH")</f>
        <v>HIGH</v>
      </c>
    </row>
    <row r="1207" spans="3:28" x14ac:dyDescent="0.3">
      <c r="C1207" s="35" t="s">
        <v>3475</v>
      </c>
      <c r="D1207" s="1" t="s">
        <v>1493</v>
      </c>
      <c r="E1207" s="1">
        <v>44</v>
      </c>
      <c r="F1207" s="1" t="s">
        <v>44</v>
      </c>
      <c r="G1207" s="1" t="s">
        <v>35</v>
      </c>
      <c r="H1207" s="1" t="s">
        <v>36</v>
      </c>
      <c r="I1207" s="1" t="s">
        <v>40</v>
      </c>
      <c r="J1207" s="7">
        <v>58192</v>
      </c>
      <c r="K1207" s="1">
        <v>520</v>
      </c>
      <c r="L1207" s="7">
        <v>25070</v>
      </c>
      <c r="M1207" s="1">
        <v>24</v>
      </c>
      <c r="N1207" s="6">
        <v>0.1188</v>
      </c>
      <c r="O1207" s="1" t="s">
        <v>41</v>
      </c>
      <c r="P1207" s="1" t="s">
        <v>30</v>
      </c>
      <c r="Q1207" s="1">
        <v>26</v>
      </c>
      <c r="R1207" s="1">
        <v>3</v>
      </c>
      <c r="S1207" s="1" t="s">
        <v>31</v>
      </c>
      <c r="T1207" s="1" t="s">
        <v>33</v>
      </c>
      <c r="U1207" s="1">
        <v>3</v>
      </c>
      <c r="V1207" s="1">
        <v>64784</v>
      </c>
      <c r="W1207" s="7">
        <v>1978.63</v>
      </c>
      <c r="X1207" s="1">
        <v>0.17</v>
      </c>
      <c r="Y1207" s="4">
        <v>44439</v>
      </c>
      <c r="Z1207" s="1" t="s">
        <v>32</v>
      </c>
      <c r="AA1207" s="1" t="s">
        <v>33</v>
      </c>
      <c r="AB1207" s="36" t="str" cm="1">
        <f t="array" ref="AB1207">_xlfn.IFS(K1207&gt;650,"LOW",K1207&gt;=550,"MEDIUM",K1207&lt;550,"HIGH")</f>
        <v>HIGH</v>
      </c>
    </row>
    <row r="1208" spans="3:28" x14ac:dyDescent="0.3">
      <c r="C1208" s="35" t="s">
        <v>3591</v>
      </c>
      <c r="D1208" s="1" t="s">
        <v>1605</v>
      </c>
      <c r="E1208" s="1">
        <v>22</v>
      </c>
      <c r="F1208" s="1" t="s">
        <v>26</v>
      </c>
      <c r="G1208" s="1" t="s">
        <v>56</v>
      </c>
      <c r="H1208" s="1" t="s">
        <v>36</v>
      </c>
      <c r="I1208" s="1" t="s">
        <v>57</v>
      </c>
      <c r="J1208" s="7">
        <v>36608</v>
      </c>
      <c r="K1208" s="1">
        <v>520</v>
      </c>
      <c r="L1208" s="7">
        <v>38372</v>
      </c>
      <c r="M1208" s="1">
        <v>60</v>
      </c>
      <c r="N1208" s="6">
        <v>6.8099999999999994E-2</v>
      </c>
      <c r="O1208" s="1" t="s">
        <v>63</v>
      </c>
      <c r="P1208" s="1" t="s">
        <v>30</v>
      </c>
      <c r="Q1208" s="1">
        <v>22</v>
      </c>
      <c r="R1208" s="1">
        <v>0</v>
      </c>
      <c r="S1208" s="1" t="s">
        <v>31</v>
      </c>
      <c r="T1208" s="1" t="s">
        <v>33</v>
      </c>
      <c r="U1208" s="1">
        <v>4</v>
      </c>
      <c r="V1208" s="1">
        <v>121563</v>
      </c>
      <c r="W1208" s="7">
        <v>481.22</v>
      </c>
      <c r="X1208" s="1">
        <v>0.24</v>
      </c>
      <c r="Y1208" s="4">
        <v>45293</v>
      </c>
      <c r="Z1208" s="1" t="s">
        <v>38</v>
      </c>
      <c r="AA1208" s="1" t="s">
        <v>31</v>
      </c>
      <c r="AB1208" s="36" t="str" cm="1">
        <f t="array" ref="AB1208">_xlfn.IFS(K1208&gt;650,"LOW",K1208&gt;=550,"MEDIUM",K1208&lt;550,"HIGH")</f>
        <v>HIGH</v>
      </c>
    </row>
    <row r="1209" spans="3:28" x14ac:dyDescent="0.3">
      <c r="C1209" s="35" t="s">
        <v>3616</v>
      </c>
      <c r="D1209" s="1" t="s">
        <v>1629</v>
      </c>
      <c r="E1209" s="1">
        <v>24</v>
      </c>
      <c r="F1209" s="1" t="s">
        <v>26</v>
      </c>
      <c r="G1209" s="1" t="s">
        <v>56</v>
      </c>
      <c r="H1209" s="1" t="s">
        <v>54</v>
      </c>
      <c r="I1209" s="1" t="s">
        <v>57</v>
      </c>
      <c r="J1209" s="7">
        <v>87359</v>
      </c>
      <c r="K1209" s="1">
        <v>520</v>
      </c>
      <c r="L1209" s="7">
        <v>18570</v>
      </c>
      <c r="M1209" s="1">
        <v>12</v>
      </c>
      <c r="N1209" s="6">
        <v>0.18820000000000001</v>
      </c>
      <c r="O1209" s="1" t="s">
        <v>52</v>
      </c>
      <c r="P1209" s="1" t="s">
        <v>50</v>
      </c>
      <c r="Q1209" s="1">
        <v>12</v>
      </c>
      <c r="R1209" s="1">
        <v>1</v>
      </c>
      <c r="S1209" s="1" t="s">
        <v>31</v>
      </c>
      <c r="T1209" s="1" t="s">
        <v>31</v>
      </c>
      <c r="U1209" s="1">
        <v>4</v>
      </c>
      <c r="V1209" s="1">
        <v>130180</v>
      </c>
      <c r="W1209" s="7">
        <v>1687.66</v>
      </c>
      <c r="X1209" s="1">
        <v>0.94</v>
      </c>
      <c r="Y1209" s="4">
        <v>45555</v>
      </c>
      <c r="Z1209" s="1" t="s">
        <v>32</v>
      </c>
      <c r="AA1209" s="1" t="s">
        <v>33</v>
      </c>
      <c r="AB1209" s="36" t="str" cm="1">
        <f t="array" ref="AB1209">_xlfn.IFS(K1209&gt;650,"LOW",K1209&gt;=550,"MEDIUM",K1209&lt;550,"HIGH")</f>
        <v>HIGH</v>
      </c>
    </row>
    <row r="1210" spans="3:28" x14ac:dyDescent="0.3">
      <c r="C1210" s="35" t="s">
        <v>3649</v>
      </c>
      <c r="D1210" s="1" t="s">
        <v>1661</v>
      </c>
      <c r="E1210" s="1">
        <v>49</v>
      </c>
      <c r="F1210" s="1" t="s">
        <v>26</v>
      </c>
      <c r="G1210" s="1" t="s">
        <v>35</v>
      </c>
      <c r="H1210" s="1" t="s">
        <v>36</v>
      </c>
      <c r="I1210" s="1" t="s">
        <v>40</v>
      </c>
      <c r="J1210" s="7">
        <v>121026</v>
      </c>
      <c r="K1210" s="1">
        <v>520</v>
      </c>
      <c r="L1210" s="7">
        <v>49704</v>
      </c>
      <c r="M1210" s="1">
        <v>60</v>
      </c>
      <c r="N1210" s="6">
        <v>0.11220000000000001</v>
      </c>
      <c r="O1210" s="1" t="s">
        <v>37</v>
      </c>
      <c r="P1210" s="1" t="s">
        <v>30</v>
      </c>
      <c r="Q1210" s="1">
        <v>24</v>
      </c>
      <c r="R1210" s="1">
        <v>2</v>
      </c>
      <c r="S1210" s="1" t="s">
        <v>33</v>
      </c>
      <c r="T1210" s="1" t="s">
        <v>31</v>
      </c>
      <c r="U1210" s="1">
        <v>4</v>
      </c>
      <c r="V1210" s="1">
        <v>187541</v>
      </c>
      <c r="W1210" s="7">
        <v>459.87</v>
      </c>
      <c r="X1210" s="1">
        <v>0.2</v>
      </c>
      <c r="Y1210" s="4">
        <v>44962</v>
      </c>
      <c r="Z1210" s="1" t="s">
        <v>32</v>
      </c>
      <c r="AA1210" s="1" t="s">
        <v>33</v>
      </c>
      <c r="AB1210" s="36" t="str" cm="1">
        <f t="array" ref="AB1210">_xlfn.IFS(K1210&gt;650,"LOW",K1210&gt;=550,"MEDIUM",K1210&lt;550,"HIGH")</f>
        <v>HIGH</v>
      </c>
    </row>
    <row r="1211" spans="3:28" x14ac:dyDescent="0.3">
      <c r="C1211" s="35" t="s">
        <v>3710</v>
      </c>
      <c r="D1211" s="1" t="s">
        <v>1720</v>
      </c>
      <c r="E1211" s="1">
        <v>34</v>
      </c>
      <c r="F1211" s="1" t="s">
        <v>26</v>
      </c>
      <c r="G1211" s="1" t="s">
        <v>27</v>
      </c>
      <c r="H1211" s="1" t="s">
        <v>36</v>
      </c>
      <c r="I1211" s="1" t="s">
        <v>29</v>
      </c>
      <c r="J1211" s="7">
        <v>30292</v>
      </c>
      <c r="K1211" s="1">
        <v>520</v>
      </c>
      <c r="L1211" s="7">
        <v>26685</v>
      </c>
      <c r="M1211" s="1">
        <v>48</v>
      </c>
      <c r="N1211" s="6">
        <v>6.5099999999999991E-2</v>
      </c>
      <c r="O1211" s="1" t="s">
        <v>63</v>
      </c>
      <c r="P1211" s="1" t="s">
        <v>47</v>
      </c>
      <c r="Q1211" s="1">
        <v>10</v>
      </c>
      <c r="R1211" s="1">
        <v>4</v>
      </c>
      <c r="S1211" s="1" t="s">
        <v>33</v>
      </c>
      <c r="T1211" s="1" t="s">
        <v>31</v>
      </c>
      <c r="U1211" s="1">
        <v>0</v>
      </c>
      <c r="V1211" s="1">
        <v>11204</v>
      </c>
      <c r="W1211" s="7">
        <v>157.44</v>
      </c>
      <c r="X1211" s="1">
        <v>0.47</v>
      </c>
      <c r="Y1211" s="4">
        <v>45648</v>
      </c>
      <c r="Z1211" s="1" t="s">
        <v>32</v>
      </c>
      <c r="AA1211" s="1" t="s">
        <v>33</v>
      </c>
      <c r="AB1211" s="36" t="str" cm="1">
        <f t="array" ref="AB1211">_xlfn.IFS(K1211&gt;650,"LOW",K1211&gt;=550,"MEDIUM",K1211&lt;550,"HIGH")</f>
        <v>HIGH</v>
      </c>
    </row>
    <row r="1212" spans="3:28" x14ac:dyDescent="0.3">
      <c r="C1212" s="35" t="s">
        <v>3992</v>
      </c>
      <c r="D1212" s="1" t="s">
        <v>1992</v>
      </c>
      <c r="E1212" s="1">
        <v>25</v>
      </c>
      <c r="F1212" s="1" t="s">
        <v>26</v>
      </c>
      <c r="G1212" s="1" t="s">
        <v>35</v>
      </c>
      <c r="H1212" s="1" t="s">
        <v>54</v>
      </c>
      <c r="I1212" s="1" t="s">
        <v>57</v>
      </c>
      <c r="J1212" s="7">
        <v>146695</v>
      </c>
      <c r="K1212" s="1">
        <v>520</v>
      </c>
      <c r="L1212" s="7">
        <v>6506</v>
      </c>
      <c r="M1212" s="1">
        <v>36</v>
      </c>
      <c r="N1212" s="6">
        <v>0.15140000000000001</v>
      </c>
      <c r="O1212" s="1" t="s">
        <v>46</v>
      </c>
      <c r="P1212" s="1" t="s">
        <v>30</v>
      </c>
      <c r="Q1212" s="1">
        <v>18</v>
      </c>
      <c r="R1212" s="1">
        <v>0</v>
      </c>
      <c r="S1212" s="1" t="s">
        <v>33</v>
      </c>
      <c r="T1212" s="1" t="s">
        <v>31</v>
      </c>
      <c r="U1212" s="1">
        <v>2</v>
      </c>
      <c r="V1212" s="1">
        <v>187326</v>
      </c>
      <c r="W1212" s="7">
        <v>1955.3</v>
      </c>
      <c r="X1212" s="1">
        <v>0.81</v>
      </c>
      <c r="Y1212" s="4">
        <v>44122</v>
      </c>
      <c r="Z1212" s="1" t="s">
        <v>38</v>
      </c>
      <c r="AA1212" s="1" t="s">
        <v>33</v>
      </c>
      <c r="AB1212" s="36" t="str" cm="1">
        <f t="array" ref="AB1212">_xlfn.IFS(K1212&gt;650,"LOW",K1212&gt;=550,"MEDIUM",K1212&lt;550,"HIGH")</f>
        <v>HIGH</v>
      </c>
    </row>
    <row r="1213" spans="3:28" x14ac:dyDescent="0.3">
      <c r="C1213" s="35" t="s">
        <v>2038</v>
      </c>
      <c r="D1213" s="1" t="s">
        <v>69</v>
      </c>
      <c r="E1213" s="1">
        <v>44</v>
      </c>
      <c r="F1213" s="1" t="s">
        <v>44</v>
      </c>
      <c r="G1213" s="1" t="s">
        <v>56</v>
      </c>
      <c r="H1213" s="1" t="s">
        <v>54</v>
      </c>
      <c r="I1213" s="1" t="s">
        <v>59</v>
      </c>
      <c r="J1213" s="7">
        <v>27435</v>
      </c>
      <c r="K1213" s="1">
        <v>519</v>
      </c>
      <c r="L1213" s="7">
        <v>26105</v>
      </c>
      <c r="M1213" s="1">
        <v>36</v>
      </c>
      <c r="N1213" s="6">
        <v>0.1137</v>
      </c>
      <c r="O1213" s="1" t="s">
        <v>41</v>
      </c>
      <c r="P1213" s="1" t="s">
        <v>50</v>
      </c>
      <c r="Q1213" s="1">
        <v>5</v>
      </c>
      <c r="R1213" s="1">
        <v>1</v>
      </c>
      <c r="S1213" s="1" t="s">
        <v>31</v>
      </c>
      <c r="T1213" s="1" t="s">
        <v>33</v>
      </c>
      <c r="U1213" s="1">
        <v>3</v>
      </c>
      <c r="V1213" s="1">
        <v>142059</v>
      </c>
      <c r="W1213" s="7">
        <v>120.7</v>
      </c>
      <c r="X1213" s="1">
        <v>0.45</v>
      </c>
      <c r="Y1213" s="4">
        <v>45275</v>
      </c>
      <c r="Z1213" s="1" t="s">
        <v>32</v>
      </c>
      <c r="AA1213" s="1" t="s">
        <v>33</v>
      </c>
      <c r="AB1213" s="36" t="str" cm="1">
        <f t="array" ref="AB1213">_xlfn.IFS(K1213&gt;650,"LOW",K1213&gt;=550,"MEDIUM",K1213&lt;550,"HIGH")</f>
        <v>HIGH</v>
      </c>
    </row>
    <row r="1214" spans="3:28" x14ac:dyDescent="0.3">
      <c r="C1214" s="35" t="s">
        <v>2907</v>
      </c>
      <c r="D1214" s="1" t="s">
        <v>935</v>
      </c>
      <c r="E1214" s="1">
        <v>60</v>
      </c>
      <c r="F1214" s="1" t="s">
        <v>44</v>
      </c>
      <c r="G1214" s="1" t="s">
        <v>56</v>
      </c>
      <c r="H1214" s="1" t="s">
        <v>61</v>
      </c>
      <c r="I1214" s="1" t="s">
        <v>29</v>
      </c>
      <c r="J1214" s="7">
        <v>135652</v>
      </c>
      <c r="K1214" s="1">
        <v>518</v>
      </c>
      <c r="L1214" s="7">
        <v>26360</v>
      </c>
      <c r="M1214" s="1">
        <v>36</v>
      </c>
      <c r="N1214" s="6">
        <v>7.51E-2</v>
      </c>
      <c r="O1214" s="1" t="s">
        <v>46</v>
      </c>
      <c r="P1214" s="1" t="s">
        <v>47</v>
      </c>
      <c r="Q1214" s="1">
        <v>14</v>
      </c>
      <c r="R1214" s="1">
        <v>1</v>
      </c>
      <c r="S1214" s="1" t="s">
        <v>31</v>
      </c>
      <c r="T1214" s="1" t="s">
        <v>31</v>
      </c>
      <c r="U1214" s="1">
        <v>4</v>
      </c>
      <c r="V1214" s="1">
        <v>139585</v>
      </c>
      <c r="W1214" s="7">
        <v>1578.54</v>
      </c>
      <c r="X1214" s="1">
        <v>0.32</v>
      </c>
      <c r="Y1214" s="4">
        <v>45485</v>
      </c>
      <c r="Z1214" s="1" t="s">
        <v>32</v>
      </c>
      <c r="AA1214" s="1" t="s">
        <v>33</v>
      </c>
      <c r="AB1214" s="36" t="str" cm="1">
        <f t="array" ref="AB1214">_xlfn.IFS(K1214&gt;650,"LOW",K1214&gt;=550,"MEDIUM",K1214&lt;550,"HIGH")</f>
        <v>HIGH</v>
      </c>
    </row>
    <row r="1215" spans="3:28" x14ac:dyDescent="0.3">
      <c r="C1215" s="35" t="s">
        <v>2702</v>
      </c>
      <c r="D1215" s="1" t="s">
        <v>732</v>
      </c>
      <c r="E1215" s="1">
        <v>41</v>
      </c>
      <c r="F1215" s="1" t="s">
        <v>44</v>
      </c>
      <c r="G1215" s="1" t="s">
        <v>35</v>
      </c>
      <c r="H1215" s="1" t="s">
        <v>36</v>
      </c>
      <c r="I1215" s="1" t="s">
        <v>29</v>
      </c>
      <c r="J1215" s="7">
        <v>136041</v>
      </c>
      <c r="K1215" s="1">
        <v>517</v>
      </c>
      <c r="L1215" s="7">
        <v>12920</v>
      </c>
      <c r="M1215" s="1">
        <v>36</v>
      </c>
      <c r="N1215" s="6">
        <v>0.15109999999999998</v>
      </c>
      <c r="O1215" s="1" t="s">
        <v>37</v>
      </c>
      <c r="P1215" s="1" t="s">
        <v>50</v>
      </c>
      <c r="Q1215" s="1">
        <v>24</v>
      </c>
      <c r="R1215" s="1">
        <v>4</v>
      </c>
      <c r="S1215" s="1" t="s">
        <v>33</v>
      </c>
      <c r="T1215" s="1" t="s">
        <v>31</v>
      </c>
      <c r="U1215" s="1">
        <v>2</v>
      </c>
      <c r="V1215" s="1">
        <v>5156</v>
      </c>
      <c r="W1215" s="7">
        <v>1112.96</v>
      </c>
      <c r="X1215" s="1">
        <v>0.78</v>
      </c>
      <c r="Y1215" s="4">
        <v>45304</v>
      </c>
      <c r="Z1215" s="1" t="s">
        <v>38</v>
      </c>
      <c r="AA1215" s="1" t="s">
        <v>33</v>
      </c>
      <c r="AB1215" s="36" t="str" cm="1">
        <f t="array" ref="AB1215">_xlfn.IFS(K1215&gt;650,"LOW",K1215&gt;=550,"MEDIUM",K1215&lt;550,"HIGH")</f>
        <v>HIGH</v>
      </c>
    </row>
    <row r="1216" spans="3:28" x14ac:dyDescent="0.3">
      <c r="C1216" s="35" t="s">
        <v>3088</v>
      </c>
      <c r="D1216" s="1" t="s">
        <v>1114</v>
      </c>
      <c r="E1216" s="1">
        <v>64</v>
      </c>
      <c r="F1216" s="1" t="s">
        <v>26</v>
      </c>
      <c r="G1216" s="1" t="s">
        <v>56</v>
      </c>
      <c r="H1216" s="1" t="s">
        <v>36</v>
      </c>
      <c r="I1216" s="1" t="s">
        <v>29</v>
      </c>
      <c r="J1216" s="7">
        <v>77851</v>
      </c>
      <c r="K1216" s="1">
        <v>517</v>
      </c>
      <c r="L1216" s="7">
        <v>6487</v>
      </c>
      <c r="M1216" s="1">
        <v>12</v>
      </c>
      <c r="N1216" s="6">
        <v>0.1202</v>
      </c>
      <c r="O1216" s="1" t="s">
        <v>37</v>
      </c>
      <c r="P1216" s="1" t="s">
        <v>50</v>
      </c>
      <c r="Q1216" s="1">
        <v>2</v>
      </c>
      <c r="R1216" s="1">
        <v>2</v>
      </c>
      <c r="S1216" s="1" t="s">
        <v>33</v>
      </c>
      <c r="T1216" s="1" t="s">
        <v>33</v>
      </c>
      <c r="U1216" s="1">
        <v>4</v>
      </c>
      <c r="V1216" s="1">
        <v>11684</v>
      </c>
      <c r="W1216" s="7">
        <v>1215.2</v>
      </c>
      <c r="X1216" s="1">
        <v>0.75</v>
      </c>
      <c r="Y1216" s="4">
        <v>45631</v>
      </c>
      <c r="Z1216" s="1" t="s">
        <v>32</v>
      </c>
      <c r="AA1216" s="1" t="s">
        <v>33</v>
      </c>
      <c r="AB1216" s="36" t="str" cm="1">
        <f t="array" ref="AB1216">_xlfn.IFS(K1216&gt;650,"LOW",K1216&gt;=550,"MEDIUM",K1216&lt;550,"HIGH")</f>
        <v>HIGH</v>
      </c>
    </row>
    <row r="1217" spans="3:28" x14ac:dyDescent="0.3">
      <c r="C1217" s="35" t="s">
        <v>3096</v>
      </c>
      <c r="D1217" s="1" t="s">
        <v>1121</v>
      </c>
      <c r="E1217" s="1">
        <v>51</v>
      </c>
      <c r="F1217" s="1" t="s">
        <v>26</v>
      </c>
      <c r="G1217" s="1" t="s">
        <v>45</v>
      </c>
      <c r="H1217" s="1" t="s">
        <v>54</v>
      </c>
      <c r="I1217" s="1" t="s">
        <v>40</v>
      </c>
      <c r="J1217" s="7">
        <v>77894</v>
      </c>
      <c r="K1217" s="1">
        <v>517</v>
      </c>
      <c r="L1217" s="7">
        <v>12158</v>
      </c>
      <c r="M1217" s="1">
        <v>12</v>
      </c>
      <c r="N1217" s="6">
        <v>0.19550000000000001</v>
      </c>
      <c r="O1217" s="1" t="s">
        <v>5</v>
      </c>
      <c r="P1217" s="1" t="s">
        <v>30</v>
      </c>
      <c r="Q1217" s="1">
        <v>12</v>
      </c>
      <c r="R1217" s="1">
        <v>3</v>
      </c>
      <c r="S1217" s="1" t="s">
        <v>31</v>
      </c>
      <c r="T1217" s="1" t="s">
        <v>31</v>
      </c>
      <c r="U1217" s="1">
        <v>0</v>
      </c>
      <c r="V1217" s="1">
        <v>103144</v>
      </c>
      <c r="W1217" s="7">
        <v>565</v>
      </c>
      <c r="X1217" s="1">
        <v>0.64</v>
      </c>
      <c r="Y1217" s="4">
        <v>44680</v>
      </c>
      <c r="Z1217" s="1" t="s">
        <v>38</v>
      </c>
      <c r="AA1217" s="1" t="s">
        <v>33</v>
      </c>
      <c r="AB1217" s="36" t="str" cm="1">
        <f t="array" ref="AB1217">_xlfn.IFS(K1217&gt;650,"LOW",K1217&gt;=550,"MEDIUM",K1217&lt;550,"HIGH")</f>
        <v>HIGH</v>
      </c>
    </row>
    <row r="1218" spans="3:28" x14ac:dyDescent="0.3">
      <c r="C1218" s="35" t="s">
        <v>3312</v>
      </c>
      <c r="D1218" s="1" t="s">
        <v>1335</v>
      </c>
      <c r="E1218" s="1">
        <v>60</v>
      </c>
      <c r="F1218" s="1" t="s">
        <v>26</v>
      </c>
      <c r="G1218" s="1" t="s">
        <v>45</v>
      </c>
      <c r="H1218" s="1" t="s">
        <v>36</v>
      </c>
      <c r="I1218" s="1" t="s">
        <v>40</v>
      </c>
      <c r="J1218" s="7">
        <v>139324</v>
      </c>
      <c r="K1218" s="1">
        <v>517</v>
      </c>
      <c r="L1218" s="7">
        <v>41253</v>
      </c>
      <c r="M1218" s="1">
        <v>36</v>
      </c>
      <c r="N1218" s="6">
        <v>0.15820000000000001</v>
      </c>
      <c r="O1218" s="1" t="s">
        <v>41</v>
      </c>
      <c r="P1218" s="1" t="s">
        <v>47</v>
      </c>
      <c r="Q1218" s="1">
        <v>29</v>
      </c>
      <c r="R1218" s="1">
        <v>3</v>
      </c>
      <c r="S1218" s="1" t="s">
        <v>31</v>
      </c>
      <c r="T1218" s="1" t="s">
        <v>33</v>
      </c>
      <c r="U1218" s="1">
        <v>3</v>
      </c>
      <c r="V1218" s="1">
        <v>133770</v>
      </c>
      <c r="W1218" s="7">
        <v>1431.18</v>
      </c>
      <c r="X1218" s="1">
        <v>0.46</v>
      </c>
      <c r="Y1218" s="4">
        <v>45639</v>
      </c>
      <c r="Z1218" s="1" t="s">
        <v>32</v>
      </c>
      <c r="AA1218" s="1" t="s">
        <v>31</v>
      </c>
      <c r="AB1218" s="36" t="str" cm="1">
        <f t="array" ref="AB1218">_xlfn.IFS(K1218&gt;650,"LOW",K1218&gt;=550,"MEDIUM",K1218&lt;550,"HIGH")</f>
        <v>HIGH</v>
      </c>
    </row>
    <row r="1219" spans="3:28" x14ac:dyDescent="0.3">
      <c r="C1219" s="35" t="s">
        <v>3961</v>
      </c>
      <c r="D1219" s="1" t="s">
        <v>1963</v>
      </c>
      <c r="E1219" s="1">
        <v>28</v>
      </c>
      <c r="F1219" s="1" t="s">
        <v>26</v>
      </c>
      <c r="G1219" s="1" t="s">
        <v>35</v>
      </c>
      <c r="H1219" s="1" t="s">
        <v>54</v>
      </c>
      <c r="I1219" s="1" t="s">
        <v>59</v>
      </c>
      <c r="J1219" s="7">
        <v>129419</v>
      </c>
      <c r="K1219" s="1">
        <v>517</v>
      </c>
      <c r="L1219" s="7">
        <v>44555</v>
      </c>
      <c r="M1219" s="1">
        <v>36</v>
      </c>
      <c r="N1219" s="6">
        <v>9.9399999999999988E-2</v>
      </c>
      <c r="O1219" s="1" t="s">
        <v>52</v>
      </c>
      <c r="P1219" s="1" t="s">
        <v>50</v>
      </c>
      <c r="Q1219" s="1">
        <v>27</v>
      </c>
      <c r="R1219" s="1">
        <v>4</v>
      </c>
      <c r="S1219" s="1" t="s">
        <v>33</v>
      </c>
      <c r="T1219" s="1" t="s">
        <v>33</v>
      </c>
      <c r="U1219" s="1">
        <v>2</v>
      </c>
      <c r="V1219" s="1">
        <v>65509</v>
      </c>
      <c r="W1219" s="7">
        <v>1230.1099999999999</v>
      </c>
      <c r="X1219" s="1">
        <v>0.61</v>
      </c>
      <c r="Y1219" s="4">
        <v>45770</v>
      </c>
      <c r="Z1219" s="1" t="s">
        <v>38</v>
      </c>
      <c r="AA1219" s="1" t="s">
        <v>33</v>
      </c>
      <c r="AB1219" s="36" t="str" cm="1">
        <f t="array" ref="AB1219">_xlfn.IFS(K1219&gt;650,"LOW",K1219&gt;=550,"MEDIUM",K1219&lt;550,"HIGH")</f>
        <v>HIGH</v>
      </c>
    </row>
    <row r="1220" spans="3:28" x14ac:dyDescent="0.3">
      <c r="C1220" s="35" t="s">
        <v>2816</v>
      </c>
      <c r="D1220" s="1" t="s">
        <v>844</v>
      </c>
      <c r="E1220" s="1">
        <v>42</v>
      </c>
      <c r="F1220" s="1" t="s">
        <v>44</v>
      </c>
      <c r="G1220" s="1" t="s">
        <v>35</v>
      </c>
      <c r="H1220" s="1" t="s">
        <v>36</v>
      </c>
      <c r="I1220" s="1" t="s">
        <v>40</v>
      </c>
      <c r="J1220" s="7">
        <v>29969</v>
      </c>
      <c r="K1220" s="1">
        <v>516</v>
      </c>
      <c r="L1220" s="7">
        <v>7021</v>
      </c>
      <c r="M1220" s="1">
        <v>12</v>
      </c>
      <c r="N1220" s="6">
        <v>0.13300000000000001</v>
      </c>
      <c r="O1220" s="1" t="s">
        <v>63</v>
      </c>
      <c r="P1220" s="1" t="s">
        <v>50</v>
      </c>
      <c r="Q1220" s="1">
        <v>26</v>
      </c>
      <c r="R1220" s="1">
        <v>3</v>
      </c>
      <c r="S1220" s="1" t="s">
        <v>33</v>
      </c>
      <c r="T1220" s="1" t="s">
        <v>31</v>
      </c>
      <c r="U1220" s="1">
        <v>4</v>
      </c>
      <c r="V1220" s="1">
        <v>145277</v>
      </c>
      <c r="W1220" s="7">
        <v>1693.28</v>
      </c>
      <c r="X1220" s="1">
        <v>0.94</v>
      </c>
      <c r="Y1220" s="4">
        <v>44243</v>
      </c>
      <c r="Z1220" s="1" t="s">
        <v>38</v>
      </c>
      <c r="AA1220" s="1" t="s">
        <v>31</v>
      </c>
      <c r="AB1220" s="36" t="str" cm="1">
        <f t="array" ref="AB1220">_xlfn.IFS(K1220&gt;650,"LOW",K1220&gt;=550,"MEDIUM",K1220&lt;550,"HIGH")</f>
        <v>HIGH</v>
      </c>
    </row>
    <row r="1221" spans="3:28" x14ac:dyDescent="0.3">
      <c r="C1221" s="35" t="s">
        <v>3414</v>
      </c>
      <c r="D1221" s="1" t="s">
        <v>1434</v>
      </c>
      <c r="E1221" s="1">
        <v>63</v>
      </c>
      <c r="F1221" s="1" t="s">
        <v>26</v>
      </c>
      <c r="G1221" s="1" t="s">
        <v>27</v>
      </c>
      <c r="H1221" s="1" t="s">
        <v>28</v>
      </c>
      <c r="I1221" s="1" t="s">
        <v>57</v>
      </c>
      <c r="J1221" s="7">
        <v>59339</v>
      </c>
      <c r="K1221" s="1">
        <v>516</v>
      </c>
      <c r="L1221" s="7">
        <v>9559</v>
      </c>
      <c r="M1221" s="1">
        <v>12</v>
      </c>
      <c r="N1221" s="6">
        <v>0.1421</v>
      </c>
      <c r="O1221" s="1" t="s">
        <v>5</v>
      </c>
      <c r="P1221" s="1" t="s">
        <v>47</v>
      </c>
      <c r="Q1221" s="1">
        <v>10</v>
      </c>
      <c r="R1221" s="1">
        <v>4</v>
      </c>
      <c r="S1221" s="1" t="s">
        <v>33</v>
      </c>
      <c r="T1221" s="1" t="s">
        <v>33</v>
      </c>
      <c r="U1221" s="1">
        <v>3</v>
      </c>
      <c r="V1221" s="1">
        <v>6878</v>
      </c>
      <c r="W1221" s="7">
        <v>1590.48</v>
      </c>
      <c r="X1221" s="1">
        <v>0.27</v>
      </c>
      <c r="Y1221" s="4">
        <v>44066</v>
      </c>
      <c r="Z1221" s="1" t="s">
        <v>32</v>
      </c>
      <c r="AA1221" s="1" t="s">
        <v>33</v>
      </c>
      <c r="AB1221" s="36" t="str" cm="1">
        <f t="array" ref="AB1221">_xlfn.IFS(K1221&gt;650,"LOW",K1221&gt;=550,"MEDIUM",K1221&lt;550,"HIGH")</f>
        <v>HIGH</v>
      </c>
    </row>
    <row r="1222" spans="3:28" x14ac:dyDescent="0.3">
      <c r="C1222" s="35" t="s">
        <v>3833</v>
      </c>
      <c r="D1222" s="1" t="s">
        <v>1839</v>
      </c>
      <c r="E1222" s="1">
        <v>50</v>
      </c>
      <c r="F1222" s="1" t="s">
        <v>44</v>
      </c>
      <c r="G1222" s="1" t="s">
        <v>35</v>
      </c>
      <c r="H1222" s="1" t="s">
        <v>28</v>
      </c>
      <c r="I1222" s="1" t="s">
        <v>59</v>
      </c>
      <c r="J1222" s="7">
        <v>107421</v>
      </c>
      <c r="K1222" s="1">
        <v>516</v>
      </c>
      <c r="L1222" s="7">
        <v>13460</v>
      </c>
      <c r="M1222" s="1">
        <v>12</v>
      </c>
      <c r="N1222" s="6">
        <v>0.19489999999999999</v>
      </c>
      <c r="O1222" s="1" t="s">
        <v>63</v>
      </c>
      <c r="P1222" s="1" t="s">
        <v>30</v>
      </c>
      <c r="Q1222" s="1">
        <v>29</v>
      </c>
      <c r="R1222" s="1">
        <v>0</v>
      </c>
      <c r="S1222" s="1" t="s">
        <v>33</v>
      </c>
      <c r="T1222" s="1" t="s">
        <v>33</v>
      </c>
      <c r="U1222" s="1">
        <v>1</v>
      </c>
      <c r="V1222" s="1">
        <v>93605</v>
      </c>
      <c r="W1222" s="7">
        <v>1422.76</v>
      </c>
      <c r="X1222" s="1">
        <v>0.95</v>
      </c>
      <c r="Y1222" s="4">
        <v>45748</v>
      </c>
      <c r="Z1222" s="1" t="s">
        <v>32</v>
      </c>
      <c r="AA1222" s="1" t="s">
        <v>33</v>
      </c>
      <c r="AB1222" s="36" t="str" cm="1">
        <f t="array" ref="AB1222">_xlfn.IFS(K1222&gt;650,"LOW",K1222&gt;=550,"MEDIUM",K1222&lt;550,"HIGH")</f>
        <v>HIGH</v>
      </c>
    </row>
    <row r="1223" spans="3:28" x14ac:dyDescent="0.3">
      <c r="C1223" s="35" t="s">
        <v>2141</v>
      </c>
      <c r="D1223" s="1" t="s">
        <v>172</v>
      </c>
      <c r="E1223" s="1">
        <v>21</v>
      </c>
      <c r="F1223" s="1" t="s">
        <v>26</v>
      </c>
      <c r="G1223" s="1" t="s">
        <v>35</v>
      </c>
      <c r="H1223" s="1" t="s">
        <v>54</v>
      </c>
      <c r="I1223" s="1" t="s">
        <v>29</v>
      </c>
      <c r="J1223" s="7">
        <v>116058</v>
      </c>
      <c r="K1223" s="1">
        <v>515</v>
      </c>
      <c r="L1223" s="7">
        <v>4676</v>
      </c>
      <c r="M1223" s="1">
        <v>24</v>
      </c>
      <c r="N1223" s="6">
        <v>0.1033</v>
      </c>
      <c r="O1223" s="1" t="s">
        <v>5</v>
      </c>
      <c r="P1223" s="1" t="s">
        <v>47</v>
      </c>
      <c r="Q1223" s="1">
        <v>6</v>
      </c>
      <c r="R1223" s="1">
        <v>3</v>
      </c>
      <c r="S1223" s="1" t="s">
        <v>31</v>
      </c>
      <c r="T1223" s="1" t="s">
        <v>33</v>
      </c>
      <c r="U1223" s="1">
        <v>1</v>
      </c>
      <c r="V1223" s="1">
        <v>150878</v>
      </c>
      <c r="W1223" s="7">
        <v>1017.6</v>
      </c>
      <c r="X1223" s="1">
        <v>0.89</v>
      </c>
      <c r="Y1223" s="4">
        <v>44933</v>
      </c>
      <c r="Z1223" s="1" t="s">
        <v>32</v>
      </c>
      <c r="AA1223" s="1" t="s">
        <v>33</v>
      </c>
      <c r="AB1223" s="36" t="str" cm="1">
        <f t="array" ref="AB1223">_xlfn.IFS(K1223&gt;650,"LOW",K1223&gt;=550,"MEDIUM",K1223&lt;550,"HIGH")</f>
        <v>HIGH</v>
      </c>
    </row>
    <row r="1224" spans="3:28" x14ac:dyDescent="0.3">
      <c r="C1224" s="35" t="s">
        <v>2982</v>
      </c>
      <c r="D1224" s="1" t="s">
        <v>1010</v>
      </c>
      <c r="E1224" s="1">
        <v>42</v>
      </c>
      <c r="F1224" s="1" t="s">
        <v>26</v>
      </c>
      <c r="G1224" s="1" t="s">
        <v>27</v>
      </c>
      <c r="H1224" s="1" t="s">
        <v>36</v>
      </c>
      <c r="I1224" s="1" t="s">
        <v>29</v>
      </c>
      <c r="J1224" s="7">
        <v>36939</v>
      </c>
      <c r="K1224" s="1">
        <v>515</v>
      </c>
      <c r="L1224" s="7">
        <v>37534</v>
      </c>
      <c r="M1224" s="1">
        <v>24</v>
      </c>
      <c r="N1224" s="6">
        <v>0.14749999999999999</v>
      </c>
      <c r="O1224" s="1" t="s">
        <v>52</v>
      </c>
      <c r="P1224" s="1" t="s">
        <v>50</v>
      </c>
      <c r="Q1224" s="1">
        <v>10</v>
      </c>
      <c r="R1224" s="1">
        <v>3</v>
      </c>
      <c r="S1224" s="1" t="s">
        <v>31</v>
      </c>
      <c r="T1224" s="1" t="s">
        <v>31</v>
      </c>
      <c r="U1224" s="1">
        <v>2</v>
      </c>
      <c r="V1224" s="1">
        <v>143103</v>
      </c>
      <c r="W1224" s="7">
        <v>224.77</v>
      </c>
      <c r="X1224" s="1">
        <v>0.26</v>
      </c>
      <c r="Y1224" s="4">
        <v>44406</v>
      </c>
      <c r="Z1224" s="1" t="s">
        <v>38</v>
      </c>
      <c r="AA1224" s="1" t="s">
        <v>33</v>
      </c>
      <c r="AB1224" s="36" t="str" cm="1">
        <f t="array" ref="AB1224">_xlfn.IFS(K1224&gt;650,"LOW",K1224&gt;=550,"MEDIUM",K1224&lt;550,"HIGH")</f>
        <v>HIGH</v>
      </c>
    </row>
    <row r="1225" spans="3:28" x14ac:dyDescent="0.3">
      <c r="C1225" s="35" t="s">
        <v>3820</v>
      </c>
      <c r="D1225" s="1" t="s">
        <v>1826</v>
      </c>
      <c r="E1225" s="1">
        <v>42</v>
      </c>
      <c r="F1225" s="1" t="s">
        <v>44</v>
      </c>
      <c r="G1225" s="1" t="s">
        <v>27</v>
      </c>
      <c r="H1225" s="1" t="s">
        <v>54</v>
      </c>
      <c r="I1225" s="1" t="s">
        <v>40</v>
      </c>
      <c r="J1225" s="7">
        <v>68113</v>
      </c>
      <c r="K1225" s="1">
        <v>515</v>
      </c>
      <c r="L1225" s="7">
        <v>2454</v>
      </c>
      <c r="M1225" s="1">
        <v>36</v>
      </c>
      <c r="N1225" s="6">
        <v>0.18940000000000001</v>
      </c>
      <c r="O1225" s="1" t="s">
        <v>41</v>
      </c>
      <c r="P1225" s="1" t="s">
        <v>47</v>
      </c>
      <c r="Q1225" s="1">
        <v>25</v>
      </c>
      <c r="R1225" s="1">
        <v>0</v>
      </c>
      <c r="S1225" s="1" t="s">
        <v>31</v>
      </c>
      <c r="T1225" s="1" t="s">
        <v>31</v>
      </c>
      <c r="U1225" s="1">
        <v>1</v>
      </c>
      <c r="V1225" s="1">
        <v>26025</v>
      </c>
      <c r="W1225" s="7">
        <v>871.49</v>
      </c>
      <c r="X1225" s="1">
        <v>0.82</v>
      </c>
      <c r="Y1225" s="4">
        <v>44879</v>
      </c>
      <c r="Z1225" s="1" t="s">
        <v>38</v>
      </c>
      <c r="AA1225" s="1" t="s">
        <v>33</v>
      </c>
      <c r="AB1225" s="36" t="str" cm="1">
        <f t="array" ref="AB1225">_xlfn.IFS(K1225&gt;650,"LOW",K1225&gt;=550,"MEDIUM",K1225&lt;550,"HIGH")</f>
        <v>HIGH</v>
      </c>
    </row>
    <row r="1226" spans="3:28" x14ac:dyDescent="0.3">
      <c r="C1226" s="35" t="s">
        <v>2292</v>
      </c>
      <c r="D1226" s="1" t="s">
        <v>323</v>
      </c>
      <c r="E1226" s="1">
        <v>56</v>
      </c>
      <c r="F1226" s="1" t="s">
        <v>44</v>
      </c>
      <c r="G1226" s="1" t="s">
        <v>56</v>
      </c>
      <c r="H1226" s="1" t="s">
        <v>61</v>
      </c>
      <c r="I1226" s="1" t="s">
        <v>57</v>
      </c>
      <c r="J1226" s="7">
        <v>83370</v>
      </c>
      <c r="K1226" s="1">
        <v>514</v>
      </c>
      <c r="L1226" s="7">
        <v>30265</v>
      </c>
      <c r="M1226" s="1">
        <v>60</v>
      </c>
      <c r="N1226" s="6">
        <v>5.8200000000000002E-2</v>
      </c>
      <c r="O1226" s="1" t="s">
        <v>46</v>
      </c>
      <c r="P1226" s="1" t="s">
        <v>47</v>
      </c>
      <c r="Q1226" s="1">
        <v>26</v>
      </c>
      <c r="R1226" s="1">
        <v>3</v>
      </c>
      <c r="S1226" s="1" t="s">
        <v>31</v>
      </c>
      <c r="T1226" s="1" t="s">
        <v>31</v>
      </c>
      <c r="U1226" s="1">
        <v>3</v>
      </c>
      <c r="V1226" s="1">
        <v>118624</v>
      </c>
      <c r="W1226" s="7">
        <v>114.06</v>
      </c>
      <c r="X1226" s="1">
        <v>0.26</v>
      </c>
      <c r="Y1226" s="4">
        <v>44814</v>
      </c>
      <c r="Z1226" s="1" t="s">
        <v>38</v>
      </c>
      <c r="AA1226" s="1" t="s">
        <v>33</v>
      </c>
      <c r="AB1226" s="36" t="str" cm="1">
        <f t="array" ref="AB1226">_xlfn.IFS(K1226&gt;650,"LOW",K1226&gt;=550,"MEDIUM",K1226&lt;550,"HIGH")</f>
        <v>HIGH</v>
      </c>
    </row>
    <row r="1227" spans="3:28" x14ac:dyDescent="0.3">
      <c r="C1227" s="35" t="s">
        <v>2362</v>
      </c>
      <c r="D1227" s="1" t="s">
        <v>392</v>
      </c>
      <c r="E1227" s="1">
        <v>60</v>
      </c>
      <c r="F1227" s="1" t="s">
        <v>44</v>
      </c>
      <c r="G1227" s="1" t="s">
        <v>45</v>
      </c>
      <c r="H1227" s="1" t="s">
        <v>54</v>
      </c>
      <c r="I1227" s="1" t="s">
        <v>57</v>
      </c>
      <c r="J1227" s="7">
        <v>92233</v>
      </c>
      <c r="K1227" s="1">
        <v>514</v>
      </c>
      <c r="L1227" s="7">
        <v>25028</v>
      </c>
      <c r="M1227" s="1">
        <v>60</v>
      </c>
      <c r="N1227" s="6">
        <v>7.9000000000000001E-2</v>
      </c>
      <c r="O1227" s="1" t="s">
        <v>5</v>
      </c>
      <c r="P1227" s="1" t="s">
        <v>50</v>
      </c>
      <c r="Q1227" s="1">
        <v>26</v>
      </c>
      <c r="R1227" s="1">
        <v>0</v>
      </c>
      <c r="S1227" s="1" t="s">
        <v>31</v>
      </c>
      <c r="T1227" s="1" t="s">
        <v>33</v>
      </c>
      <c r="U1227" s="1">
        <v>0</v>
      </c>
      <c r="V1227" s="1">
        <v>153972</v>
      </c>
      <c r="W1227" s="7">
        <v>1827.01</v>
      </c>
      <c r="X1227" s="1">
        <v>0.14000000000000001</v>
      </c>
      <c r="Y1227" s="4">
        <v>45208</v>
      </c>
      <c r="Z1227" s="1" t="s">
        <v>38</v>
      </c>
      <c r="AA1227" s="1" t="s">
        <v>33</v>
      </c>
      <c r="AB1227" s="36" t="str" cm="1">
        <f t="array" ref="AB1227">_xlfn.IFS(K1227&gt;650,"LOW",K1227&gt;=550,"MEDIUM",K1227&lt;550,"HIGH")</f>
        <v>HIGH</v>
      </c>
    </row>
    <row r="1228" spans="3:28" x14ac:dyDescent="0.3">
      <c r="C1228" s="35" t="s">
        <v>2650</v>
      </c>
      <c r="D1228" s="1" t="s">
        <v>680</v>
      </c>
      <c r="E1228" s="1">
        <v>38</v>
      </c>
      <c r="F1228" s="1" t="s">
        <v>26</v>
      </c>
      <c r="G1228" s="1" t="s">
        <v>27</v>
      </c>
      <c r="H1228" s="1" t="s">
        <v>54</v>
      </c>
      <c r="I1228" s="1" t="s">
        <v>40</v>
      </c>
      <c r="J1228" s="7">
        <v>132196</v>
      </c>
      <c r="K1228" s="1">
        <v>514</v>
      </c>
      <c r="L1228" s="7">
        <v>2903</v>
      </c>
      <c r="M1228" s="1">
        <v>60</v>
      </c>
      <c r="N1228" s="6">
        <v>0.18109999999999998</v>
      </c>
      <c r="O1228" s="1" t="s">
        <v>63</v>
      </c>
      <c r="P1228" s="1" t="s">
        <v>30</v>
      </c>
      <c r="Q1228" s="1">
        <v>12</v>
      </c>
      <c r="R1228" s="1">
        <v>2</v>
      </c>
      <c r="S1228" s="1" t="s">
        <v>31</v>
      </c>
      <c r="T1228" s="1" t="s">
        <v>31</v>
      </c>
      <c r="U1228" s="1">
        <v>4</v>
      </c>
      <c r="V1228" s="1">
        <v>81580</v>
      </c>
      <c r="W1228" s="7">
        <v>1130.69</v>
      </c>
      <c r="X1228" s="1">
        <v>0.96</v>
      </c>
      <c r="Y1228" s="4">
        <v>44673</v>
      </c>
      <c r="Z1228" s="1" t="s">
        <v>32</v>
      </c>
      <c r="AA1228" s="1" t="s">
        <v>33</v>
      </c>
      <c r="AB1228" s="36" t="str" cm="1">
        <f t="array" ref="AB1228">_xlfn.IFS(K1228&gt;650,"LOW",K1228&gt;=550,"MEDIUM",K1228&lt;550,"HIGH")</f>
        <v>HIGH</v>
      </c>
    </row>
    <row r="1229" spans="3:28" x14ac:dyDescent="0.3">
      <c r="C1229" s="35" t="s">
        <v>2268</v>
      </c>
      <c r="D1229" s="1" t="s">
        <v>299</v>
      </c>
      <c r="E1229" s="1">
        <v>50</v>
      </c>
      <c r="F1229" s="1" t="s">
        <v>26</v>
      </c>
      <c r="G1229" s="1" t="s">
        <v>56</v>
      </c>
      <c r="H1229" s="1" t="s">
        <v>28</v>
      </c>
      <c r="I1229" s="1" t="s">
        <v>57</v>
      </c>
      <c r="J1229" s="7">
        <v>29472</v>
      </c>
      <c r="K1229" s="1">
        <v>513</v>
      </c>
      <c r="L1229" s="7">
        <v>8210</v>
      </c>
      <c r="M1229" s="1">
        <v>24</v>
      </c>
      <c r="N1229" s="6">
        <v>6.1600000000000002E-2</v>
      </c>
      <c r="O1229" s="1" t="s">
        <v>37</v>
      </c>
      <c r="P1229" s="1" t="s">
        <v>30</v>
      </c>
      <c r="Q1229" s="1">
        <v>11</v>
      </c>
      <c r="R1229" s="1">
        <v>1</v>
      </c>
      <c r="S1229" s="1" t="s">
        <v>33</v>
      </c>
      <c r="T1229" s="1" t="s">
        <v>33</v>
      </c>
      <c r="U1229" s="1">
        <v>4</v>
      </c>
      <c r="V1229" s="1">
        <v>110041</v>
      </c>
      <c r="W1229" s="7">
        <v>1407.55</v>
      </c>
      <c r="X1229" s="1">
        <v>0.46</v>
      </c>
      <c r="Y1229" s="4">
        <v>44307</v>
      </c>
      <c r="Z1229" s="1" t="s">
        <v>38</v>
      </c>
      <c r="AA1229" s="1" t="s">
        <v>33</v>
      </c>
      <c r="AB1229" s="36" t="str" cm="1">
        <f t="array" ref="AB1229">_xlfn.IFS(K1229&gt;650,"LOW",K1229&gt;=550,"MEDIUM",K1229&lt;550,"HIGH")</f>
        <v>HIGH</v>
      </c>
    </row>
    <row r="1230" spans="3:28" x14ac:dyDescent="0.3">
      <c r="C1230" s="35" t="s">
        <v>2903</v>
      </c>
      <c r="D1230" s="1" t="s">
        <v>931</v>
      </c>
      <c r="E1230" s="1">
        <v>44</v>
      </c>
      <c r="F1230" s="1" t="s">
        <v>26</v>
      </c>
      <c r="G1230" s="1" t="s">
        <v>27</v>
      </c>
      <c r="H1230" s="1" t="s">
        <v>36</v>
      </c>
      <c r="I1230" s="1" t="s">
        <v>29</v>
      </c>
      <c r="J1230" s="7">
        <v>26794</v>
      </c>
      <c r="K1230" s="1">
        <v>513</v>
      </c>
      <c r="L1230" s="7">
        <v>3366</v>
      </c>
      <c r="M1230" s="1">
        <v>24</v>
      </c>
      <c r="N1230" s="6">
        <v>7.5300000000000006E-2</v>
      </c>
      <c r="O1230" s="1" t="s">
        <v>52</v>
      </c>
      <c r="P1230" s="1" t="s">
        <v>50</v>
      </c>
      <c r="Q1230" s="1">
        <v>11</v>
      </c>
      <c r="R1230" s="1">
        <v>0</v>
      </c>
      <c r="S1230" s="1" t="s">
        <v>31</v>
      </c>
      <c r="T1230" s="1" t="s">
        <v>33</v>
      </c>
      <c r="U1230" s="1">
        <v>4</v>
      </c>
      <c r="V1230" s="1">
        <v>60044</v>
      </c>
      <c r="W1230" s="7">
        <v>146.71</v>
      </c>
      <c r="X1230" s="1">
        <v>0.4</v>
      </c>
      <c r="Y1230" s="4">
        <v>44499</v>
      </c>
      <c r="Z1230" s="1" t="s">
        <v>32</v>
      </c>
      <c r="AA1230" s="1" t="s">
        <v>31</v>
      </c>
      <c r="AB1230" s="36" t="str" cm="1">
        <f t="array" ref="AB1230">_xlfn.IFS(K1230&gt;650,"LOW",K1230&gt;=550,"MEDIUM",K1230&lt;550,"HIGH")</f>
        <v>HIGH</v>
      </c>
    </row>
    <row r="1231" spans="3:28" x14ac:dyDescent="0.3">
      <c r="C1231" s="35" t="s">
        <v>3207</v>
      </c>
      <c r="D1231" s="1" t="s">
        <v>1231</v>
      </c>
      <c r="E1231" s="1">
        <v>44</v>
      </c>
      <c r="F1231" s="1" t="s">
        <v>44</v>
      </c>
      <c r="G1231" s="1" t="s">
        <v>56</v>
      </c>
      <c r="H1231" s="1" t="s">
        <v>28</v>
      </c>
      <c r="I1231" s="1" t="s">
        <v>29</v>
      </c>
      <c r="J1231" s="7">
        <v>63005</v>
      </c>
      <c r="K1231" s="1">
        <v>513</v>
      </c>
      <c r="L1231" s="7">
        <v>8549</v>
      </c>
      <c r="M1231" s="1">
        <v>48</v>
      </c>
      <c r="N1231" s="6">
        <v>0.1321</v>
      </c>
      <c r="O1231" s="1" t="s">
        <v>41</v>
      </c>
      <c r="P1231" s="1" t="s">
        <v>50</v>
      </c>
      <c r="Q1231" s="1">
        <v>29</v>
      </c>
      <c r="R1231" s="1">
        <v>3</v>
      </c>
      <c r="S1231" s="1" t="s">
        <v>31</v>
      </c>
      <c r="T1231" s="1" t="s">
        <v>31</v>
      </c>
      <c r="U1231" s="1">
        <v>1</v>
      </c>
      <c r="V1231" s="1">
        <v>174941</v>
      </c>
      <c r="W1231" s="7">
        <v>1513.76</v>
      </c>
      <c r="X1231" s="1">
        <v>0.23</v>
      </c>
      <c r="Y1231" s="4">
        <v>44150</v>
      </c>
      <c r="Z1231" s="1" t="s">
        <v>32</v>
      </c>
      <c r="AA1231" s="1" t="s">
        <v>31</v>
      </c>
      <c r="AB1231" s="36" t="str" cm="1">
        <f t="array" ref="AB1231">_xlfn.IFS(K1231&gt;650,"LOW",K1231&gt;=550,"MEDIUM",K1231&lt;550,"HIGH")</f>
        <v>HIGH</v>
      </c>
    </row>
    <row r="1232" spans="3:28" x14ac:dyDescent="0.3">
      <c r="C1232" s="35" t="s">
        <v>2196</v>
      </c>
      <c r="D1232" s="1" t="s">
        <v>227</v>
      </c>
      <c r="E1232" s="1">
        <v>28</v>
      </c>
      <c r="F1232" s="1" t="s">
        <v>44</v>
      </c>
      <c r="G1232" s="1" t="s">
        <v>56</v>
      </c>
      <c r="H1232" s="1" t="s">
        <v>61</v>
      </c>
      <c r="I1232" s="1" t="s">
        <v>29</v>
      </c>
      <c r="J1232" s="7">
        <v>79412</v>
      </c>
      <c r="K1232" s="1">
        <v>512</v>
      </c>
      <c r="L1232" s="7">
        <v>23063</v>
      </c>
      <c r="M1232" s="1">
        <v>24</v>
      </c>
      <c r="N1232" s="6">
        <v>0.1003</v>
      </c>
      <c r="O1232" s="1" t="s">
        <v>52</v>
      </c>
      <c r="P1232" s="1" t="s">
        <v>50</v>
      </c>
      <c r="Q1232" s="1">
        <v>6</v>
      </c>
      <c r="R1232" s="1">
        <v>2</v>
      </c>
      <c r="S1232" s="1" t="s">
        <v>31</v>
      </c>
      <c r="T1232" s="1" t="s">
        <v>33</v>
      </c>
      <c r="U1232" s="1">
        <v>4</v>
      </c>
      <c r="V1232" s="1">
        <v>92465</v>
      </c>
      <c r="W1232" s="7">
        <v>1222.01</v>
      </c>
      <c r="X1232" s="1">
        <v>0.38</v>
      </c>
      <c r="Y1232" s="4">
        <v>44898</v>
      </c>
      <c r="Z1232" s="1" t="s">
        <v>38</v>
      </c>
      <c r="AA1232" s="1" t="s">
        <v>33</v>
      </c>
      <c r="AB1232" s="36" t="str" cm="1">
        <f t="array" ref="AB1232">_xlfn.IFS(K1232&gt;650,"LOW",K1232&gt;=550,"MEDIUM",K1232&lt;550,"HIGH")</f>
        <v>HIGH</v>
      </c>
    </row>
    <row r="1233" spans="3:28" x14ac:dyDescent="0.3">
      <c r="C1233" s="35" t="s">
        <v>2472</v>
      </c>
      <c r="D1233" s="1" t="s">
        <v>502</v>
      </c>
      <c r="E1233" s="1">
        <v>56</v>
      </c>
      <c r="F1233" s="1" t="s">
        <v>44</v>
      </c>
      <c r="G1233" s="1" t="s">
        <v>45</v>
      </c>
      <c r="H1233" s="1" t="s">
        <v>61</v>
      </c>
      <c r="I1233" s="1" t="s">
        <v>40</v>
      </c>
      <c r="J1233" s="7">
        <v>71360</v>
      </c>
      <c r="K1233" s="1">
        <v>512</v>
      </c>
      <c r="L1233" s="7">
        <v>16957</v>
      </c>
      <c r="M1233" s="1">
        <v>48</v>
      </c>
      <c r="N1233" s="6">
        <v>0.18059999999999998</v>
      </c>
      <c r="O1233" s="1" t="s">
        <v>52</v>
      </c>
      <c r="P1233" s="1" t="s">
        <v>50</v>
      </c>
      <c r="Q1233" s="1">
        <v>23</v>
      </c>
      <c r="R1233" s="1">
        <v>4</v>
      </c>
      <c r="S1233" s="1" t="s">
        <v>33</v>
      </c>
      <c r="T1233" s="1" t="s">
        <v>33</v>
      </c>
      <c r="U1233" s="1">
        <v>1</v>
      </c>
      <c r="V1233" s="1">
        <v>53165</v>
      </c>
      <c r="W1233" s="7">
        <v>100.38</v>
      </c>
      <c r="X1233" s="1">
        <v>0.56000000000000005</v>
      </c>
      <c r="Y1233" s="4">
        <v>45369</v>
      </c>
      <c r="Z1233" s="1" t="s">
        <v>32</v>
      </c>
      <c r="AA1233" s="1" t="s">
        <v>33</v>
      </c>
      <c r="AB1233" s="36" t="str" cm="1">
        <f t="array" ref="AB1233">_xlfn.IFS(K1233&gt;650,"LOW",K1233&gt;=550,"MEDIUM",K1233&lt;550,"HIGH")</f>
        <v>HIGH</v>
      </c>
    </row>
    <row r="1234" spans="3:28" x14ac:dyDescent="0.3">
      <c r="C1234" s="35" t="s">
        <v>3026</v>
      </c>
      <c r="D1234" s="1" t="s">
        <v>1053</v>
      </c>
      <c r="E1234" s="1">
        <v>62</v>
      </c>
      <c r="F1234" s="1" t="s">
        <v>44</v>
      </c>
      <c r="G1234" s="1" t="s">
        <v>56</v>
      </c>
      <c r="H1234" s="1" t="s">
        <v>36</v>
      </c>
      <c r="I1234" s="1" t="s">
        <v>29</v>
      </c>
      <c r="J1234" s="7">
        <v>127112</v>
      </c>
      <c r="K1234" s="1">
        <v>512</v>
      </c>
      <c r="L1234" s="7">
        <v>34593</v>
      </c>
      <c r="M1234" s="1">
        <v>48</v>
      </c>
      <c r="N1234" s="6">
        <v>0.13119999999999998</v>
      </c>
      <c r="O1234" s="1" t="s">
        <v>63</v>
      </c>
      <c r="P1234" s="1" t="s">
        <v>50</v>
      </c>
      <c r="Q1234" s="1">
        <v>15</v>
      </c>
      <c r="R1234" s="1">
        <v>4</v>
      </c>
      <c r="S1234" s="1" t="s">
        <v>31</v>
      </c>
      <c r="T1234" s="1" t="s">
        <v>33</v>
      </c>
      <c r="U1234" s="1">
        <v>0</v>
      </c>
      <c r="V1234" s="1">
        <v>47686</v>
      </c>
      <c r="W1234" s="7">
        <v>1944.75</v>
      </c>
      <c r="X1234" s="1">
        <v>0.96</v>
      </c>
      <c r="Y1234" s="4">
        <v>45347</v>
      </c>
      <c r="Z1234" s="1" t="s">
        <v>38</v>
      </c>
      <c r="AA1234" s="1" t="s">
        <v>33</v>
      </c>
      <c r="AB1234" s="36" t="str" cm="1">
        <f t="array" ref="AB1234">_xlfn.IFS(K1234&gt;650,"LOW",K1234&gt;=550,"MEDIUM",K1234&lt;550,"HIGH")</f>
        <v>HIGH</v>
      </c>
    </row>
    <row r="1235" spans="3:28" x14ac:dyDescent="0.3">
      <c r="C1235" s="35" t="s">
        <v>3250</v>
      </c>
      <c r="D1235" s="1" t="s">
        <v>1273</v>
      </c>
      <c r="E1235" s="1">
        <v>44</v>
      </c>
      <c r="F1235" s="1" t="s">
        <v>44</v>
      </c>
      <c r="G1235" s="1" t="s">
        <v>45</v>
      </c>
      <c r="H1235" s="1" t="s">
        <v>54</v>
      </c>
      <c r="I1235" s="1" t="s">
        <v>57</v>
      </c>
      <c r="J1235" s="7">
        <v>108877</v>
      </c>
      <c r="K1235" s="1">
        <v>512</v>
      </c>
      <c r="L1235" s="7">
        <v>16739</v>
      </c>
      <c r="M1235" s="1">
        <v>60</v>
      </c>
      <c r="N1235" s="6">
        <v>0.15590000000000001</v>
      </c>
      <c r="O1235" s="1" t="s">
        <v>52</v>
      </c>
      <c r="P1235" s="1" t="s">
        <v>47</v>
      </c>
      <c r="Q1235" s="1">
        <v>23</v>
      </c>
      <c r="R1235" s="1">
        <v>1</v>
      </c>
      <c r="S1235" s="1" t="s">
        <v>33</v>
      </c>
      <c r="T1235" s="1" t="s">
        <v>31</v>
      </c>
      <c r="U1235" s="1">
        <v>4</v>
      </c>
      <c r="V1235" s="1">
        <v>77604</v>
      </c>
      <c r="W1235" s="7">
        <v>260.60000000000002</v>
      </c>
      <c r="X1235" s="1">
        <v>0.65</v>
      </c>
      <c r="Y1235" s="4">
        <v>45725</v>
      </c>
      <c r="Z1235" s="1" t="s">
        <v>32</v>
      </c>
      <c r="AA1235" s="1" t="s">
        <v>33</v>
      </c>
      <c r="AB1235" s="36" t="str" cm="1">
        <f t="array" ref="AB1235">_xlfn.IFS(K1235&gt;650,"LOW",K1235&gt;=550,"MEDIUM",K1235&lt;550,"HIGH")</f>
        <v>HIGH</v>
      </c>
    </row>
    <row r="1236" spans="3:28" x14ac:dyDescent="0.3">
      <c r="C1236" s="35" t="s">
        <v>3985</v>
      </c>
      <c r="D1236" s="1" t="s">
        <v>1985</v>
      </c>
      <c r="E1236" s="1">
        <v>24</v>
      </c>
      <c r="F1236" s="1" t="s">
        <v>44</v>
      </c>
      <c r="G1236" s="1" t="s">
        <v>27</v>
      </c>
      <c r="H1236" s="1" t="s">
        <v>54</v>
      </c>
      <c r="I1236" s="1" t="s">
        <v>40</v>
      </c>
      <c r="J1236" s="7">
        <v>68506</v>
      </c>
      <c r="K1236" s="1">
        <v>512</v>
      </c>
      <c r="L1236" s="7">
        <v>23244</v>
      </c>
      <c r="M1236" s="1">
        <v>36</v>
      </c>
      <c r="N1236" s="6">
        <v>0.10460000000000001</v>
      </c>
      <c r="O1236" s="1" t="s">
        <v>52</v>
      </c>
      <c r="P1236" s="1" t="s">
        <v>30</v>
      </c>
      <c r="Q1236" s="1">
        <v>7</v>
      </c>
      <c r="R1236" s="1">
        <v>1</v>
      </c>
      <c r="S1236" s="1" t="s">
        <v>31</v>
      </c>
      <c r="T1236" s="1" t="s">
        <v>31</v>
      </c>
      <c r="U1236" s="1">
        <v>0</v>
      </c>
      <c r="V1236" s="1">
        <v>6486</v>
      </c>
      <c r="W1236" s="7">
        <v>1823.83</v>
      </c>
      <c r="X1236" s="1">
        <v>0.53</v>
      </c>
      <c r="Y1236" s="4">
        <v>45206</v>
      </c>
      <c r="Z1236" s="1" t="s">
        <v>38</v>
      </c>
      <c r="AA1236" s="1" t="s">
        <v>31</v>
      </c>
      <c r="AB1236" s="36" t="str" cm="1">
        <f t="array" ref="AB1236">_xlfn.IFS(K1236&gt;650,"LOW",K1236&gt;=550,"MEDIUM",K1236&lt;550,"HIGH")</f>
        <v>HIGH</v>
      </c>
    </row>
    <row r="1237" spans="3:28" x14ac:dyDescent="0.3">
      <c r="C1237" s="35" t="s">
        <v>3614</v>
      </c>
      <c r="D1237" s="1" t="s">
        <v>1627</v>
      </c>
      <c r="E1237" s="1">
        <v>49</v>
      </c>
      <c r="F1237" s="1" t="s">
        <v>26</v>
      </c>
      <c r="G1237" s="1" t="s">
        <v>35</v>
      </c>
      <c r="H1237" s="1" t="s">
        <v>28</v>
      </c>
      <c r="I1237" s="1" t="s">
        <v>57</v>
      </c>
      <c r="J1237" s="7">
        <v>77853</v>
      </c>
      <c r="K1237" s="1">
        <v>511</v>
      </c>
      <c r="L1237" s="7">
        <v>9520</v>
      </c>
      <c r="M1237" s="1">
        <v>48</v>
      </c>
      <c r="N1237" s="6">
        <v>5.79E-2</v>
      </c>
      <c r="O1237" s="1" t="s">
        <v>46</v>
      </c>
      <c r="P1237" s="1" t="s">
        <v>47</v>
      </c>
      <c r="Q1237" s="1">
        <v>18</v>
      </c>
      <c r="R1237" s="1">
        <v>0</v>
      </c>
      <c r="S1237" s="1" t="s">
        <v>31</v>
      </c>
      <c r="T1237" s="1" t="s">
        <v>31</v>
      </c>
      <c r="U1237" s="1">
        <v>3</v>
      </c>
      <c r="V1237" s="1">
        <v>103220</v>
      </c>
      <c r="W1237" s="7">
        <v>960.37</v>
      </c>
      <c r="X1237" s="1">
        <v>0.64</v>
      </c>
      <c r="Y1237" s="4">
        <v>45679</v>
      </c>
      <c r="Z1237" s="1" t="s">
        <v>38</v>
      </c>
      <c r="AA1237" s="1" t="s">
        <v>31</v>
      </c>
      <c r="AB1237" s="36" t="str" cm="1">
        <f t="array" ref="AB1237">_xlfn.IFS(K1237&gt;650,"LOW",K1237&gt;=550,"MEDIUM",K1237&lt;550,"HIGH")</f>
        <v>HIGH</v>
      </c>
    </row>
    <row r="1238" spans="3:28" x14ac:dyDescent="0.3">
      <c r="C1238" s="35" t="s">
        <v>2263</v>
      </c>
      <c r="D1238" s="1" t="s">
        <v>294</v>
      </c>
      <c r="E1238" s="1">
        <v>31</v>
      </c>
      <c r="F1238" s="1" t="s">
        <v>26</v>
      </c>
      <c r="G1238" s="1" t="s">
        <v>56</v>
      </c>
      <c r="H1238" s="1" t="s">
        <v>61</v>
      </c>
      <c r="I1238" s="1" t="s">
        <v>59</v>
      </c>
      <c r="J1238" s="7">
        <v>35620</v>
      </c>
      <c r="K1238" s="1">
        <v>510</v>
      </c>
      <c r="L1238" s="7">
        <v>13468</v>
      </c>
      <c r="M1238" s="1">
        <v>24</v>
      </c>
      <c r="N1238" s="6">
        <v>9.1600000000000001E-2</v>
      </c>
      <c r="O1238" s="1" t="s">
        <v>41</v>
      </c>
      <c r="P1238" s="1" t="s">
        <v>47</v>
      </c>
      <c r="Q1238" s="1">
        <v>21</v>
      </c>
      <c r="R1238" s="1">
        <v>4</v>
      </c>
      <c r="S1238" s="1" t="s">
        <v>31</v>
      </c>
      <c r="T1238" s="1" t="s">
        <v>33</v>
      </c>
      <c r="U1238" s="1">
        <v>0</v>
      </c>
      <c r="V1238" s="1">
        <v>13015</v>
      </c>
      <c r="W1238" s="7">
        <v>175.01</v>
      </c>
      <c r="X1238" s="1">
        <v>0.9</v>
      </c>
      <c r="Y1238" s="4">
        <v>44356</v>
      </c>
      <c r="Z1238" s="1" t="s">
        <v>32</v>
      </c>
      <c r="AA1238" s="1" t="s">
        <v>33</v>
      </c>
      <c r="AB1238" s="36" t="str" cm="1">
        <f t="array" ref="AB1238">_xlfn.IFS(K1238&gt;650,"LOW",K1238&gt;=550,"MEDIUM",K1238&lt;550,"HIGH")</f>
        <v>HIGH</v>
      </c>
    </row>
    <row r="1239" spans="3:28" x14ac:dyDescent="0.3">
      <c r="C1239" s="35" t="s">
        <v>2748</v>
      </c>
      <c r="D1239" s="1" t="s">
        <v>778</v>
      </c>
      <c r="E1239" s="1">
        <v>64</v>
      </c>
      <c r="F1239" s="1" t="s">
        <v>26</v>
      </c>
      <c r="G1239" s="1" t="s">
        <v>27</v>
      </c>
      <c r="H1239" s="1" t="s">
        <v>54</v>
      </c>
      <c r="I1239" s="1" t="s">
        <v>29</v>
      </c>
      <c r="J1239" s="7">
        <v>105617</v>
      </c>
      <c r="K1239" s="1">
        <v>510</v>
      </c>
      <c r="L1239" s="7">
        <v>35831</v>
      </c>
      <c r="M1239" s="1">
        <v>24</v>
      </c>
      <c r="N1239" s="6">
        <v>0.18989999999999999</v>
      </c>
      <c r="O1239" s="1" t="s">
        <v>5</v>
      </c>
      <c r="P1239" s="1" t="s">
        <v>47</v>
      </c>
      <c r="Q1239" s="1">
        <v>11</v>
      </c>
      <c r="R1239" s="1">
        <v>3</v>
      </c>
      <c r="S1239" s="1" t="s">
        <v>33</v>
      </c>
      <c r="T1239" s="1" t="s">
        <v>33</v>
      </c>
      <c r="U1239" s="1">
        <v>4</v>
      </c>
      <c r="V1239" s="1">
        <v>82328</v>
      </c>
      <c r="W1239" s="7">
        <v>1220.4000000000001</v>
      </c>
      <c r="X1239" s="1">
        <v>0.63</v>
      </c>
      <c r="Y1239" s="4">
        <v>44249</v>
      </c>
      <c r="Z1239" s="1" t="s">
        <v>32</v>
      </c>
      <c r="AA1239" s="1" t="s">
        <v>33</v>
      </c>
      <c r="AB1239" s="36" t="str" cm="1">
        <f t="array" ref="AB1239">_xlfn.IFS(K1239&gt;650,"LOW",K1239&gt;=550,"MEDIUM",K1239&lt;550,"HIGH")</f>
        <v>HIGH</v>
      </c>
    </row>
    <row r="1240" spans="3:28" x14ac:dyDescent="0.3">
      <c r="C1240" s="35" t="s">
        <v>2785</v>
      </c>
      <c r="D1240" s="1" t="s">
        <v>813</v>
      </c>
      <c r="E1240" s="1">
        <v>44</v>
      </c>
      <c r="F1240" s="1" t="s">
        <v>44</v>
      </c>
      <c r="G1240" s="1" t="s">
        <v>27</v>
      </c>
      <c r="H1240" s="1" t="s">
        <v>36</v>
      </c>
      <c r="I1240" s="1" t="s">
        <v>29</v>
      </c>
      <c r="J1240" s="7">
        <v>60736</v>
      </c>
      <c r="K1240" s="1">
        <v>510</v>
      </c>
      <c r="L1240" s="7">
        <v>26857</v>
      </c>
      <c r="M1240" s="1">
        <v>24</v>
      </c>
      <c r="N1240" s="6">
        <v>0.1605</v>
      </c>
      <c r="O1240" s="1" t="s">
        <v>52</v>
      </c>
      <c r="P1240" s="1" t="s">
        <v>50</v>
      </c>
      <c r="Q1240" s="1">
        <v>6</v>
      </c>
      <c r="R1240" s="1">
        <v>4</v>
      </c>
      <c r="S1240" s="1" t="s">
        <v>31</v>
      </c>
      <c r="T1240" s="1" t="s">
        <v>33</v>
      </c>
      <c r="U1240" s="1">
        <v>1</v>
      </c>
      <c r="V1240" s="1">
        <v>141786</v>
      </c>
      <c r="W1240" s="7">
        <v>780.3</v>
      </c>
      <c r="X1240" s="1">
        <v>0.13</v>
      </c>
      <c r="Y1240" s="4">
        <v>44360</v>
      </c>
      <c r="Z1240" s="1" t="s">
        <v>38</v>
      </c>
      <c r="AA1240" s="1" t="s">
        <v>31</v>
      </c>
      <c r="AB1240" s="36" t="str" cm="1">
        <f t="array" ref="AB1240">_xlfn.IFS(K1240&gt;650,"LOW",K1240&gt;=550,"MEDIUM",K1240&lt;550,"HIGH")</f>
        <v>HIGH</v>
      </c>
    </row>
    <row r="1241" spans="3:28" x14ac:dyDescent="0.3">
      <c r="C1241" s="35" t="s">
        <v>3384</v>
      </c>
      <c r="D1241" s="1" t="s">
        <v>1405</v>
      </c>
      <c r="E1241" s="1">
        <v>37</v>
      </c>
      <c r="F1241" s="1" t="s">
        <v>44</v>
      </c>
      <c r="G1241" s="1" t="s">
        <v>27</v>
      </c>
      <c r="H1241" s="1" t="s">
        <v>28</v>
      </c>
      <c r="I1241" s="1" t="s">
        <v>40</v>
      </c>
      <c r="J1241" s="7">
        <v>97924</v>
      </c>
      <c r="K1241" s="1">
        <v>510</v>
      </c>
      <c r="L1241" s="7">
        <v>18824</v>
      </c>
      <c r="M1241" s="1">
        <v>36</v>
      </c>
      <c r="N1241" s="6">
        <v>9.820000000000001E-2</v>
      </c>
      <c r="O1241" s="1" t="s">
        <v>52</v>
      </c>
      <c r="P1241" s="1" t="s">
        <v>30</v>
      </c>
      <c r="Q1241" s="1">
        <v>16</v>
      </c>
      <c r="R1241" s="1">
        <v>4</v>
      </c>
      <c r="S1241" s="1" t="s">
        <v>33</v>
      </c>
      <c r="T1241" s="1" t="s">
        <v>31</v>
      </c>
      <c r="U1241" s="1">
        <v>0</v>
      </c>
      <c r="V1241" s="1">
        <v>101075</v>
      </c>
      <c r="W1241" s="7">
        <v>1150.3800000000001</v>
      </c>
      <c r="X1241" s="1">
        <v>0.81</v>
      </c>
      <c r="Y1241" s="4">
        <v>45285</v>
      </c>
      <c r="Z1241" s="1" t="s">
        <v>38</v>
      </c>
      <c r="AA1241" s="1" t="s">
        <v>33</v>
      </c>
      <c r="AB1241" s="36" t="str" cm="1">
        <f t="array" ref="AB1241">_xlfn.IFS(K1241&gt;650,"LOW",K1241&gt;=550,"MEDIUM",K1241&lt;550,"HIGH")</f>
        <v>HIGH</v>
      </c>
    </row>
    <row r="1242" spans="3:28" x14ac:dyDescent="0.3">
      <c r="C1242" s="35" t="s">
        <v>3577</v>
      </c>
      <c r="D1242" s="1" t="s">
        <v>567</v>
      </c>
      <c r="E1242" s="1">
        <v>30</v>
      </c>
      <c r="F1242" s="1" t="s">
        <v>44</v>
      </c>
      <c r="G1242" s="1" t="s">
        <v>27</v>
      </c>
      <c r="H1242" s="1" t="s">
        <v>28</v>
      </c>
      <c r="I1242" s="1" t="s">
        <v>40</v>
      </c>
      <c r="J1242" s="7">
        <v>48469</v>
      </c>
      <c r="K1242" s="1">
        <v>510</v>
      </c>
      <c r="L1242" s="7">
        <v>1497</v>
      </c>
      <c r="M1242" s="1">
        <v>24</v>
      </c>
      <c r="N1242" s="6">
        <v>0.15579999999999999</v>
      </c>
      <c r="O1242" s="1" t="s">
        <v>63</v>
      </c>
      <c r="P1242" s="1" t="s">
        <v>47</v>
      </c>
      <c r="Q1242" s="1">
        <v>23</v>
      </c>
      <c r="R1242" s="1">
        <v>3</v>
      </c>
      <c r="S1242" s="1" t="s">
        <v>31</v>
      </c>
      <c r="T1242" s="1" t="s">
        <v>31</v>
      </c>
      <c r="U1242" s="1">
        <v>2</v>
      </c>
      <c r="V1242" s="1">
        <v>42412</v>
      </c>
      <c r="W1242" s="7">
        <v>649.16</v>
      </c>
      <c r="X1242" s="1">
        <v>0.3</v>
      </c>
      <c r="Y1242" s="4">
        <v>45309</v>
      </c>
      <c r="Z1242" s="1" t="s">
        <v>32</v>
      </c>
      <c r="AA1242" s="1" t="s">
        <v>33</v>
      </c>
      <c r="AB1242" s="36" t="str" cm="1">
        <f t="array" ref="AB1242">_xlfn.IFS(K1242&gt;650,"LOW",K1242&gt;=550,"MEDIUM",K1242&lt;550,"HIGH")</f>
        <v>HIGH</v>
      </c>
    </row>
    <row r="1243" spans="3:28" x14ac:dyDescent="0.3">
      <c r="C1243" s="35" t="s">
        <v>3890</v>
      </c>
      <c r="D1243" s="1" t="s">
        <v>1895</v>
      </c>
      <c r="E1243" s="1">
        <v>57</v>
      </c>
      <c r="F1243" s="1" t="s">
        <v>26</v>
      </c>
      <c r="G1243" s="1" t="s">
        <v>56</v>
      </c>
      <c r="H1243" s="1" t="s">
        <v>61</v>
      </c>
      <c r="I1243" s="1" t="s">
        <v>57</v>
      </c>
      <c r="J1243" s="7">
        <v>70493</v>
      </c>
      <c r="K1243" s="1">
        <v>510</v>
      </c>
      <c r="L1243" s="7">
        <v>49978</v>
      </c>
      <c r="M1243" s="1">
        <v>48</v>
      </c>
      <c r="N1243" s="6">
        <v>0.18049999999999999</v>
      </c>
      <c r="O1243" s="1" t="s">
        <v>46</v>
      </c>
      <c r="P1243" s="1" t="s">
        <v>50</v>
      </c>
      <c r="Q1243" s="1">
        <v>7</v>
      </c>
      <c r="R1243" s="1">
        <v>3</v>
      </c>
      <c r="S1243" s="1" t="s">
        <v>31</v>
      </c>
      <c r="T1243" s="1" t="s">
        <v>33</v>
      </c>
      <c r="U1243" s="1">
        <v>2</v>
      </c>
      <c r="V1243" s="1">
        <v>93405</v>
      </c>
      <c r="W1243" s="7">
        <v>827.31</v>
      </c>
      <c r="X1243" s="1">
        <v>0.44</v>
      </c>
      <c r="Y1243" s="4">
        <v>44788</v>
      </c>
      <c r="Z1243" s="1" t="s">
        <v>38</v>
      </c>
      <c r="AA1243" s="1" t="s">
        <v>31</v>
      </c>
      <c r="AB1243" s="36" t="str" cm="1">
        <f t="array" ref="AB1243">_xlfn.IFS(K1243&gt;650,"LOW",K1243&gt;=550,"MEDIUM",K1243&lt;550,"HIGH")</f>
        <v>HIGH</v>
      </c>
    </row>
    <row r="1244" spans="3:28" x14ac:dyDescent="0.3">
      <c r="C1244" s="35" t="s">
        <v>2451</v>
      </c>
      <c r="D1244" s="1" t="s">
        <v>481</v>
      </c>
      <c r="E1244" s="1">
        <v>57</v>
      </c>
      <c r="F1244" s="1" t="s">
        <v>44</v>
      </c>
      <c r="G1244" s="1" t="s">
        <v>45</v>
      </c>
      <c r="H1244" s="1" t="s">
        <v>54</v>
      </c>
      <c r="I1244" s="1" t="s">
        <v>29</v>
      </c>
      <c r="J1244" s="7">
        <v>37706</v>
      </c>
      <c r="K1244" s="1">
        <v>509</v>
      </c>
      <c r="L1244" s="7">
        <v>17484</v>
      </c>
      <c r="M1244" s="1">
        <v>48</v>
      </c>
      <c r="N1244" s="6">
        <v>0.17249999999999999</v>
      </c>
      <c r="O1244" s="1" t="s">
        <v>46</v>
      </c>
      <c r="P1244" s="1" t="s">
        <v>30</v>
      </c>
      <c r="Q1244" s="1">
        <v>21</v>
      </c>
      <c r="R1244" s="1">
        <v>0</v>
      </c>
      <c r="S1244" s="1" t="s">
        <v>31</v>
      </c>
      <c r="T1244" s="1" t="s">
        <v>31</v>
      </c>
      <c r="U1244" s="1">
        <v>0</v>
      </c>
      <c r="V1244" s="1">
        <v>164219</v>
      </c>
      <c r="W1244" s="7">
        <v>114.51</v>
      </c>
      <c r="X1244" s="1">
        <v>0.15</v>
      </c>
      <c r="Y1244" s="4">
        <v>45389</v>
      </c>
      <c r="Z1244" s="1" t="s">
        <v>38</v>
      </c>
      <c r="AA1244" s="1" t="s">
        <v>33</v>
      </c>
      <c r="AB1244" s="36" t="str" cm="1">
        <f t="array" ref="AB1244">_xlfn.IFS(K1244&gt;650,"LOW",K1244&gt;=550,"MEDIUM",K1244&lt;550,"HIGH")</f>
        <v>HIGH</v>
      </c>
    </row>
    <row r="1245" spans="3:28" x14ac:dyDescent="0.3">
      <c r="C1245" s="35" t="s">
        <v>2666</v>
      </c>
      <c r="D1245" s="1" t="s">
        <v>696</v>
      </c>
      <c r="E1245" s="1">
        <v>32</v>
      </c>
      <c r="F1245" s="1" t="s">
        <v>44</v>
      </c>
      <c r="G1245" s="1" t="s">
        <v>45</v>
      </c>
      <c r="H1245" s="1" t="s">
        <v>28</v>
      </c>
      <c r="I1245" s="1" t="s">
        <v>29</v>
      </c>
      <c r="J1245" s="7">
        <v>67356</v>
      </c>
      <c r="K1245" s="1">
        <v>509</v>
      </c>
      <c r="L1245" s="7">
        <v>13314</v>
      </c>
      <c r="M1245" s="1">
        <v>24</v>
      </c>
      <c r="N1245" s="6">
        <v>8.7899999999999992E-2</v>
      </c>
      <c r="O1245" s="1" t="s">
        <v>52</v>
      </c>
      <c r="P1245" s="1" t="s">
        <v>30</v>
      </c>
      <c r="Q1245" s="1">
        <v>7</v>
      </c>
      <c r="R1245" s="1">
        <v>3</v>
      </c>
      <c r="S1245" s="1" t="s">
        <v>33</v>
      </c>
      <c r="T1245" s="1" t="s">
        <v>31</v>
      </c>
      <c r="U1245" s="1">
        <v>2</v>
      </c>
      <c r="V1245" s="1">
        <v>176405</v>
      </c>
      <c r="W1245" s="7">
        <v>956.05</v>
      </c>
      <c r="X1245" s="1">
        <v>0.78</v>
      </c>
      <c r="Y1245" s="4">
        <v>45243</v>
      </c>
      <c r="Z1245" s="1" t="s">
        <v>32</v>
      </c>
      <c r="AA1245" s="1" t="s">
        <v>31</v>
      </c>
      <c r="AB1245" s="36" t="str" cm="1">
        <f t="array" ref="AB1245">_xlfn.IFS(K1245&gt;650,"LOW",K1245&gt;=550,"MEDIUM",K1245&lt;550,"HIGH")</f>
        <v>HIGH</v>
      </c>
    </row>
    <row r="1246" spans="3:28" x14ac:dyDescent="0.3">
      <c r="C1246" s="35" t="s">
        <v>2737</v>
      </c>
      <c r="D1246" s="1" t="s">
        <v>767</v>
      </c>
      <c r="E1246" s="1">
        <v>52</v>
      </c>
      <c r="F1246" s="1" t="s">
        <v>26</v>
      </c>
      <c r="G1246" s="1" t="s">
        <v>27</v>
      </c>
      <c r="H1246" s="1" t="s">
        <v>36</v>
      </c>
      <c r="I1246" s="1" t="s">
        <v>40</v>
      </c>
      <c r="J1246" s="7">
        <v>137393</v>
      </c>
      <c r="K1246" s="1">
        <v>509</v>
      </c>
      <c r="L1246" s="7">
        <v>22818</v>
      </c>
      <c r="M1246" s="1">
        <v>24</v>
      </c>
      <c r="N1246" s="6">
        <v>6.7799999999999999E-2</v>
      </c>
      <c r="O1246" s="1" t="s">
        <v>52</v>
      </c>
      <c r="P1246" s="1" t="s">
        <v>47</v>
      </c>
      <c r="Q1246" s="1">
        <v>17</v>
      </c>
      <c r="R1246" s="1">
        <v>0</v>
      </c>
      <c r="S1246" s="1" t="s">
        <v>33</v>
      </c>
      <c r="T1246" s="1" t="s">
        <v>33</v>
      </c>
      <c r="U1246" s="1">
        <v>4</v>
      </c>
      <c r="V1246" s="1">
        <v>31403</v>
      </c>
      <c r="W1246" s="7">
        <v>518.61</v>
      </c>
      <c r="X1246" s="1">
        <v>0.21</v>
      </c>
      <c r="Y1246" s="4">
        <v>45840</v>
      </c>
      <c r="Z1246" s="1" t="s">
        <v>38</v>
      </c>
      <c r="AA1246" s="1" t="s">
        <v>31</v>
      </c>
      <c r="AB1246" s="36" t="str" cm="1">
        <f t="array" ref="AB1246">_xlfn.IFS(K1246&gt;650,"LOW",K1246&gt;=550,"MEDIUM",K1246&lt;550,"HIGH")</f>
        <v>HIGH</v>
      </c>
    </row>
    <row r="1247" spans="3:28" x14ac:dyDescent="0.3">
      <c r="C1247" s="35" t="s">
        <v>3260</v>
      </c>
      <c r="D1247" s="1" t="s">
        <v>1283</v>
      </c>
      <c r="E1247" s="1">
        <v>60</v>
      </c>
      <c r="F1247" s="1" t="s">
        <v>26</v>
      </c>
      <c r="G1247" s="1" t="s">
        <v>45</v>
      </c>
      <c r="H1247" s="1" t="s">
        <v>54</v>
      </c>
      <c r="I1247" s="1" t="s">
        <v>59</v>
      </c>
      <c r="J1247" s="7">
        <v>116528</v>
      </c>
      <c r="K1247" s="1">
        <v>509</v>
      </c>
      <c r="L1247" s="7">
        <v>49621</v>
      </c>
      <c r="M1247" s="1">
        <v>12</v>
      </c>
      <c r="N1247" s="6">
        <v>0.11289999999999999</v>
      </c>
      <c r="O1247" s="1" t="s">
        <v>5</v>
      </c>
      <c r="P1247" s="1" t="s">
        <v>30</v>
      </c>
      <c r="Q1247" s="1">
        <v>9</v>
      </c>
      <c r="R1247" s="1">
        <v>0</v>
      </c>
      <c r="S1247" s="1" t="s">
        <v>31</v>
      </c>
      <c r="T1247" s="1" t="s">
        <v>31</v>
      </c>
      <c r="U1247" s="1">
        <v>0</v>
      </c>
      <c r="V1247" s="1">
        <v>142953</v>
      </c>
      <c r="W1247" s="7">
        <v>534.98</v>
      </c>
      <c r="X1247" s="1">
        <v>0.5</v>
      </c>
      <c r="Y1247" s="4">
        <v>44621</v>
      </c>
      <c r="Z1247" s="1" t="s">
        <v>32</v>
      </c>
      <c r="AA1247" s="1" t="s">
        <v>33</v>
      </c>
      <c r="AB1247" s="36" t="str" cm="1">
        <f t="array" ref="AB1247">_xlfn.IFS(K1247&gt;650,"LOW",K1247&gt;=550,"MEDIUM",K1247&lt;550,"HIGH")</f>
        <v>HIGH</v>
      </c>
    </row>
    <row r="1248" spans="3:28" x14ac:dyDescent="0.3">
      <c r="C1248" s="35" t="s">
        <v>3817</v>
      </c>
      <c r="D1248" s="1" t="s">
        <v>1823</v>
      </c>
      <c r="E1248" s="1">
        <v>26</v>
      </c>
      <c r="F1248" s="1" t="s">
        <v>44</v>
      </c>
      <c r="G1248" s="1" t="s">
        <v>35</v>
      </c>
      <c r="H1248" s="1" t="s">
        <v>28</v>
      </c>
      <c r="I1248" s="1" t="s">
        <v>40</v>
      </c>
      <c r="J1248" s="7">
        <v>128198</v>
      </c>
      <c r="K1248" s="1">
        <v>509</v>
      </c>
      <c r="L1248" s="7">
        <v>45411</v>
      </c>
      <c r="M1248" s="1">
        <v>12</v>
      </c>
      <c r="N1248" s="6">
        <v>0.1027</v>
      </c>
      <c r="O1248" s="1" t="s">
        <v>52</v>
      </c>
      <c r="P1248" s="1" t="s">
        <v>47</v>
      </c>
      <c r="Q1248" s="1">
        <v>25</v>
      </c>
      <c r="R1248" s="1">
        <v>4</v>
      </c>
      <c r="S1248" s="1" t="s">
        <v>31</v>
      </c>
      <c r="T1248" s="1" t="s">
        <v>31</v>
      </c>
      <c r="U1248" s="1">
        <v>4</v>
      </c>
      <c r="V1248" s="1">
        <v>41617</v>
      </c>
      <c r="W1248" s="7">
        <v>1722.79</v>
      </c>
      <c r="X1248" s="1">
        <v>0.12</v>
      </c>
      <c r="Y1248" s="4">
        <v>44062</v>
      </c>
      <c r="Z1248" s="1" t="s">
        <v>32</v>
      </c>
      <c r="AA1248" s="1" t="s">
        <v>33</v>
      </c>
      <c r="AB1248" s="36" t="str" cm="1">
        <f t="array" ref="AB1248">_xlfn.IFS(K1248&gt;650,"LOW",K1248&gt;=550,"MEDIUM",K1248&lt;550,"HIGH")</f>
        <v>HIGH</v>
      </c>
    </row>
    <row r="1249" spans="3:28" x14ac:dyDescent="0.3">
      <c r="C1249" s="35" t="s">
        <v>2028</v>
      </c>
      <c r="D1249" s="1" t="s">
        <v>53</v>
      </c>
      <c r="E1249" s="1">
        <v>43</v>
      </c>
      <c r="F1249" s="1" t="s">
        <v>26</v>
      </c>
      <c r="G1249" s="1" t="s">
        <v>27</v>
      </c>
      <c r="H1249" s="1" t="s">
        <v>54</v>
      </c>
      <c r="I1249" s="1" t="s">
        <v>40</v>
      </c>
      <c r="J1249" s="7">
        <v>143607</v>
      </c>
      <c r="K1249" s="1">
        <v>508</v>
      </c>
      <c r="L1249" s="7">
        <v>12966</v>
      </c>
      <c r="M1249" s="1">
        <v>12</v>
      </c>
      <c r="N1249" s="6">
        <v>9.6699999999999994E-2</v>
      </c>
      <c r="O1249" s="1" t="s">
        <v>5</v>
      </c>
      <c r="P1249" s="1" t="s">
        <v>30</v>
      </c>
      <c r="Q1249" s="1">
        <v>4</v>
      </c>
      <c r="R1249" s="1">
        <v>0</v>
      </c>
      <c r="S1249" s="1" t="s">
        <v>31</v>
      </c>
      <c r="T1249" s="1" t="s">
        <v>31</v>
      </c>
      <c r="U1249" s="1">
        <v>2</v>
      </c>
      <c r="V1249" s="1">
        <v>133528</v>
      </c>
      <c r="W1249" s="7">
        <v>1314.49</v>
      </c>
      <c r="X1249" s="1">
        <v>0.12</v>
      </c>
      <c r="Y1249" s="4">
        <v>45607</v>
      </c>
      <c r="Z1249" s="1" t="s">
        <v>38</v>
      </c>
      <c r="AA1249" s="1" t="s">
        <v>33</v>
      </c>
      <c r="AB1249" s="36" t="str" cm="1">
        <f t="array" ref="AB1249">_xlfn.IFS(K1249&gt;650,"LOW",K1249&gt;=550,"MEDIUM",K1249&lt;550,"HIGH")</f>
        <v>HIGH</v>
      </c>
    </row>
    <row r="1250" spans="3:28" x14ac:dyDescent="0.3">
      <c r="C1250" s="35" t="s">
        <v>2577</v>
      </c>
      <c r="D1250" s="1" t="s">
        <v>607</v>
      </c>
      <c r="E1250" s="1">
        <v>59</v>
      </c>
      <c r="F1250" s="1" t="s">
        <v>26</v>
      </c>
      <c r="G1250" s="1" t="s">
        <v>56</v>
      </c>
      <c r="H1250" s="1" t="s">
        <v>36</v>
      </c>
      <c r="I1250" s="1" t="s">
        <v>59</v>
      </c>
      <c r="J1250" s="7">
        <v>48036</v>
      </c>
      <c r="K1250" s="1">
        <v>508</v>
      </c>
      <c r="L1250" s="7">
        <v>24764</v>
      </c>
      <c r="M1250" s="1">
        <v>12</v>
      </c>
      <c r="N1250" s="6">
        <v>9.1700000000000004E-2</v>
      </c>
      <c r="O1250" s="1" t="s">
        <v>37</v>
      </c>
      <c r="P1250" s="1" t="s">
        <v>50</v>
      </c>
      <c r="Q1250" s="1">
        <v>4</v>
      </c>
      <c r="R1250" s="1">
        <v>3</v>
      </c>
      <c r="S1250" s="1" t="s">
        <v>31</v>
      </c>
      <c r="T1250" s="1" t="s">
        <v>33</v>
      </c>
      <c r="U1250" s="1">
        <v>4</v>
      </c>
      <c r="V1250" s="1">
        <v>54784</v>
      </c>
      <c r="W1250" s="7">
        <v>772.55</v>
      </c>
      <c r="X1250" s="1">
        <v>0.36</v>
      </c>
      <c r="Y1250" s="4">
        <v>44778</v>
      </c>
      <c r="Z1250" s="1" t="s">
        <v>32</v>
      </c>
      <c r="AA1250" s="1" t="s">
        <v>33</v>
      </c>
      <c r="AB1250" s="36" t="str" cm="1">
        <f t="array" ref="AB1250">_xlfn.IFS(K1250&gt;650,"LOW",K1250&gt;=550,"MEDIUM",K1250&lt;550,"HIGH")</f>
        <v>HIGH</v>
      </c>
    </row>
    <row r="1251" spans="3:28" x14ac:dyDescent="0.3">
      <c r="C1251" s="35" t="s">
        <v>2608</v>
      </c>
      <c r="D1251" s="1" t="s">
        <v>638</v>
      </c>
      <c r="E1251" s="1">
        <v>37</v>
      </c>
      <c r="F1251" s="1" t="s">
        <v>26</v>
      </c>
      <c r="G1251" s="1" t="s">
        <v>45</v>
      </c>
      <c r="H1251" s="1" t="s">
        <v>61</v>
      </c>
      <c r="I1251" s="1" t="s">
        <v>29</v>
      </c>
      <c r="J1251" s="7">
        <v>132899</v>
      </c>
      <c r="K1251" s="1">
        <v>508</v>
      </c>
      <c r="L1251" s="7">
        <v>14584</v>
      </c>
      <c r="M1251" s="1">
        <v>36</v>
      </c>
      <c r="N1251" s="6">
        <v>0.18100000000000002</v>
      </c>
      <c r="O1251" s="1" t="s">
        <v>37</v>
      </c>
      <c r="P1251" s="1" t="s">
        <v>50</v>
      </c>
      <c r="Q1251" s="1">
        <v>15</v>
      </c>
      <c r="R1251" s="1">
        <v>4</v>
      </c>
      <c r="S1251" s="1" t="s">
        <v>31</v>
      </c>
      <c r="T1251" s="1" t="s">
        <v>33</v>
      </c>
      <c r="U1251" s="1">
        <v>0</v>
      </c>
      <c r="V1251" s="1">
        <v>102330</v>
      </c>
      <c r="W1251" s="7">
        <v>1162.49</v>
      </c>
      <c r="X1251" s="1">
        <v>0.21</v>
      </c>
      <c r="Y1251" s="4">
        <v>45724</v>
      </c>
      <c r="Z1251" s="1" t="s">
        <v>38</v>
      </c>
      <c r="AA1251" s="1" t="s">
        <v>33</v>
      </c>
      <c r="AB1251" s="36" t="str" cm="1">
        <f t="array" ref="AB1251">_xlfn.IFS(K1251&gt;650,"LOW",K1251&gt;=550,"MEDIUM",K1251&lt;550,"HIGH")</f>
        <v>HIGH</v>
      </c>
    </row>
    <row r="1252" spans="3:28" x14ac:dyDescent="0.3">
      <c r="C1252" s="35" t="s">
        <v>2213</v>
      </c>
      <c r="D1252" s="1" t="s">
        <v>244</v>
      </c>
      <c r="E1252" s="1">
        <v>57</v>
      </c>
      <c r="F1252" s="1" t="s">
        <v>44</v>
      </c>
      <c r="G1252" s="1" t="s">
        <v>45</v>
      </c>
      <c r="H1252" s="1" t="s">
        <v>28</v>
      </c>
      <c r="I1252" s="1" t="s">
        <v>59</v>
      </c>
      <c r="J1252" s="7">
        <v>138171</v>
      </c>
      <c r="K1252" s="1">
        <v>507</v>
      </c>
      <c r="L1252" s="7">
        <v>33670</v>
      </c>
      <c r="M1252" s="1">
        <v>48</v>
      </c>
      <c r="N1252" s="6">
        <v>0.19219999999999998</v>
      </c>
      <c r="O1252" s="1" t="s">
        <v>5</v>
      </c>
      <c r="P1252" s="1" t="s">
        <v>47</v>
      </c>
      <c r="Q1252" s="1">
        <v>12</v>
      </c>
      <c r="R1252" s="1">
        <v>1</v>
      </c>
      <c r="S1252" s="1" t="s">
        <v>33</v>
      </c>
      <c r="T1252" s="1" t="s">
        <v>33</v>
      </c>
      <c r="U1252" s="1">
        <v>0</v>
      </c>
      <c r="V1252" s="1">
        <v>190927</v>
      </c>
      <c r="W1252" s="7">
        <v>697.55</v>
      </c>
      <c r="X1252" s="1">
        <v>0.28000000000000003</v>
      </c>
      <c r="Y1252" s="4">
        <v>45278</v>
      </c>
      <c r="Z1252" s="1" t="s">
        <v>38</v>
      </c>
      <c r="AA1252" s="1" t="s">
        <v>33</v>
      </c>
      <c r="AB1252" s="36" t="str" cm="1">
        <f t="array" ref="AB1252">_xlfn.IFS(K1252&gt;650,"LOW",K1252&gt;=550,"MEDIUM",K1252&lt;550,"HIGH")</f>
        <v>HIGH</v>
      </c>
    </row>
    <row r="1253" spans="3:28" x14ac:dyDescent="0.3">
      <c r="C1253" s="35" t="s">
        <v>2313</v>
      </c>
      <c r="D1253" s="1" t="s">
        <v>344</v>
      </c>
      <c r="E1253" s="1">
        <v>40</v>
      </c>
      <c r="F1253" s="1" t="s">
        <v>26</v>
      </c>
      <c r="G1253" s="1" t="s">
        <v>56</v>
      </c>
      <c r="H1253" s="1" t="s">
        <v>54</v>
      </c>
      <c r="I1253" s="1" t="s">
        <v>59</v>
      </c>
      <c r="J1253" s="7">
        <v>78865</v>
      </c>
      <c r="K1253" s="1">
        <v>507</v>
      </c>
      <c r="L1253" s="7">
        <v>11170</v>
      </c>
      <c r="M1253" s="1">
        <v>48</v>
      </c>
      <c r="N1253" s="6">
        <v>6.7400000000000002E-2</v>
      </c>
      <c r="O1253" s="1" t="s">
        <v>5</v>
      </c>
      <c r="P1253" s="1" t="s">
        <v>47</v>
      </c>
      <c r="Q1253" s="1">
        <v>26</v>
      </c>
      <c r="R1253" s="1">
        <v>3</v>
      </c>
      <c r="S1253" s="1" t="s">
        <v>33</v>
      </c>
      <c r="T1253" s="1" t="s">
        <v>33</v>
      </c>
      <c r="U1253" s="1">
        <v>3</v>
      </c>
      <c r="V1253" s="1">
        <v>187370</v>
      </c>
      <c r="W1253" s="7">
        <v>226.12</v>
      </c>
      <c r="X1253" s="1">
        <v>0.85</v>
      </c>
      <c r="Y1253" s="4">
        <v>44216</v>
      </c>
      <c r="Z1253" s="1" t="s">
        <v>38</v>
      </c>
      <c r="AA1253" s="1" t="s">
        <v>31</v>
      </c>
      <c r="AB1253" s="36" t="str" cm="1">
        <f t="array" ref="AB1253">_xlfn.IFS(K1253&gt;650,"LOW",K1253&gt;=550,"MEDIUM",K1253&lt;550,"HIGH")</f>
        <v>HIGH</v>
      </c>
    </row>
    <row r="1254" spans="3:28" x14ac:dyDescent="0.3">
      <c r="C1254" s="35" t="s">
        <v>2808</v>
      </c>
      <c r="D1254" s="1" t="s">
        <v>836</v>
      </c>
      <c r="E1254" s="1">
        <v>49</v>
      </c>
      <c r="F1254" s="1" t="s">
        <v>44</v>
      </c>
      <c r="G1254" s="1" t="s">
        <v>27</v>
      </c>
      <c r="H1254" s="1" t="s">
        <v>54</v>
      </c>
      <c r="I1254" s="1" t="s">
        <v>29</v>
      </c>
      <c r="J1254" s="7">
        <v>50988</v>
      </c>
      <c r="K1254" s="1">
        <v>507</v>
      </c>
      <c r="L1254" s="7">
        <v>13941</v>
      </c>
      <c r="M1254" s="1">
        <v>60</v>
      </c>
      <c r="N1254" s="6">
        <v>0.10210000000000001</v>
      </c>
      <c r="O1254" s="1" t="s">
        <v>37</v>
      </c>
      <c r="P1254" s="1" t="s">
        <v>50</v>
      </c>
      <c r="Q1254" s="1">
        <v>6</v>
      </c>
      <c r="R1254" s="1">
        <v>3</v>
      </c>
      <c r="S1254" s="1" t="s">
        <v>31</v>
      </c>
      <c r="T1254" s="1" t="s">
        <v>31</v>
      </c>
      <c r="U1254" s="1">
        <v>1</v>
      </c>
      <c r="V1254" s="1">
        <v>113742</v>
      </c>
      <c r="W1254" s="7">
        <v>963.53</v>
      </c>
      <c r="X1254" s="1">
        <v>0.31</v>
      </c>
      <c r="Y1254" s="4">
        <v>44050</v>
      </c>
      <c r="Z1254" s="1" t="s">
        <v>32</v>
      </c>
      <c r="AA1254" s="1" t="s">
        <v>33</v>
      </c>
      <c r="AB1254" s="36" t="str" cm="1">
        <f t="array" ref="AB1254">_xlfn.IFS(K1254&gt;650,"LOW",K1254&gt;=550,"MEDIUM",K1254&lt;550,"HIGH")</f>
        <v>HIGH</v>
      </c>
    </row>
    <row r="1255" spans="3:28" x14ac:dyDescent="0.3">
      <c r="C1255" s="35" t="s">
        <v>3170</v>
      </c>
      <c r="D1255" s="1" t="s">
        <v>1194</v>
      </c>
      <c r="E1255" s="1">
        <v>21</v>
      </c>
      <c r="F1255" s="1" t="s">
        <v>44</v>
      </c>
      <c r="G1255" s="1" t="s">
        <v>45</v>
      </c>
      <c r="H1255" s="1" t="s">
        <v>54</v>
      </c>
      <c r="I1255" s="1" t="s">
        <v>57</v>
      </c>
      <c r="J1255" s="7">
        <v>91185</v>
      </c>
      <c r="K1255" s="1">
        <v>507</v>
      </c>
      <c r="L1255" s="7">
        <v>34719</v>
      </c>
      <c r="M1255" s="1">
        <v>48</v>
      </c>
      <c r="N1255" s="6">
        <v>0.1106</v>
      </c>
      <c r="O1255" s="1" t="s">
        <v>5</v>
      </c>
      <c r="P1255" s="1" t="s">
        <v>47</v>
      </c>
      <c r="Q1255" s="1">
        <v>16</v>
      </c>
      <c r="R1255" s="1">
        <v>0</v>
      </c>
      <c r="S1255" s="1" t="s">
        <v>33</v>
      </c>
      <c r="T1255" s="1" t="s">
        <v>31</v>
      </c>
      <c r="U1255" s="1">
        <v>3</v>
      </c>
      <c r="V1255" s="1">
        <v>45221</v>
      </c>
      <c r="W1255" s="7">
        <v>984.99</v>
      </c>
      <c r="X1255" s="1">
        <v>0.22</v>
      </c>
      <c r="Y1255" s="4">
        <v>45370</v>
      </c>
      <c r="Z1255" s="1" t="s">
        <v>32</v>
      </c>
      <c r="AA1255" s="1" t="s">
        <v>31</v>
      </c>
      <c r="AB1255" s="36" t="str" cm="1">
        <f t="array" ref="AB1255">_xlfn.IFS(K1255&gt;650,"LOW",K1255&gt;=550,"MEDIUM",K1255&lt;550,"HIGH")</f>
        <v>HIGH</v>
      </c>
    </row>
    <row r="1256" spans="3:28" x14ac:dyDescent="0.3">
      <c r="C1256" s="35" t="s">
        <v>3249</v>
      </c>
      <c r="D1256" s="1" t="s">
        <v>1272</v>
      </c>
      <c r="E1256" s="1">
        <v>64</v>
      </c>
      <c r="F1256" s="1" t="s">
        <v>44</v>
      </c>
      <c r="G1256" s="1" t="s">
        <v>45</v>
      </c>
      <c r="H1256" s="1" t="s">
        <v>54</v>
      </c>
      <c r="I1256" s="1" t="s">
        <v>29</v>
      </c>
      <c r="J1256" s="7">
        <v>23782</v>
      </c>
      <c r="K1256" s="1">
        <v>507</v>
      </c>
      <c r="L1256" s="7">
        <v>22343</v>
      </c>
      <c r="M1256" s="1">
        <v>36</v>
      </c>
      <c r="N1256" s="6">
        <v>0.16070000000000001</v>
      </c>
      <c r="O1256" s="1" t="s">
        <v>37</v>
      </c>
      <c r="P1256" s="1" t="s">
        <v>50</v>
      </c>
      <c r="Q1256" s="1">
        <v>10</v>
      </c>
      <c r="R1256" s="1">
        <v>4</v>
      </c>
      <c r="S1256" s="1" t="s">
        <v>31</v>
      </c>
      <c r="T1256" s="1" t="s">
        <v>33</v>
      </c>
      <c r="U1256" s="1">
        <v>2</v>
      </c>
      <c r="V1256" s="1">
        <v>97170</v>
      </c>
      <c r="W1256" s="7">
        <v>763.18</v>
      </c>
      <c r="X1256" s="1">
        <v>0.3</v>
      </c>
      <c r="Y1256" s="4">
        <v>44634</v>
      </c>
      <c r="Z1256" s="1" t="s">
        <v>38</v>
      </c>
      <c r="AA1256" s="1" t="s">
        <v>31</v>
      </c>
      <c r="AB1256" s="36" t="str" cm="1">
        <f t="array" ref="AB1256">_xlfn.IFS(K1256&gt;650,"LOW",K1256&gt;=550,"MEDIUM",K1256&lt;550,"HIGH")</f>
        <v>HIGH</v>
      </c>
    </row>
    <row r="1257" spans="3:28" x14ac:dyDescent="0.3">
      <c r="C1257" s="35" t="s">
        <v>3564</v>
      </c>
      <c r="D1257" s="1" t="s">
        <v>1581</v>
      </c>
      <c r="E1257" s="1">
        <v>33</v>
      </c>
      <c r="F1257" s="1" t="s">
        <v>26</v>
      </c>
      <c r="G1257" s="1" t="s">
        <v>27</v>
      </c>
      <c r="H1257" s="1" t="s">
        <v>28</v>
      </c>
      <c r="I1257" s="1" t="s">
        <v>57</v>
      </c>
      <c r="J1257" s="7">
        <v>65807</v>
      </c>
      <c r="K1257" s="1">
        <v>507</v>
      </c>
      <c r="L1257" s="7">
        <v>20207</v>
      </c>
      <c r="M1257" s="1">
        <v>24</v>
      </c>
      <c r="N1257" s="6">
        <v>6.88E-2</v>
      </c>
      <c r="O1257" s="1" t="s">
        <v>46</v>
      </c>
      <c r="P1257" s="1" t="s">
        <v>30</v>
      </c>
      <c r="Q1257" s="1">
        <v>26</v>
      </c>
      <c r="R1257" s="1">
        <v>1</v>
      </c>
      <c r="S1257" s="1" t="s">
        <v>31</v>
      </c>
      <c r="T1257" s="1" t="s">
        <v>31</v>
      </c>
      <c r="U1257" s="1">
        <v>4</v>
      </c>
      <c r="V1257" s="1">
        <v>150947</v>
      </c>
      <c r="W1257" s="7">
        <v>1478.19</v>
      </c>
      <c r="X1257" s="1">
        <v>0.67</v>
      </c>
      <c r="Y1257" s="4">
        <v>44228</v>
      </c>
      <c r="Z1257" s="1" t="s">
        <v>32</v>
      </c>
      <c r="AA1257" s="1" t="s">
        <v>31</v>
      </c>
      <c r="AB1257" s="36" t="str" cm="1">
        <f t="array" ref="AB1257">_xlfn.IFS(K1257&gt;650,"LOW",K1257&gt;=550,"MEDIUM",K1257&lt;550,"HIGH")</f>
        <v>HIGH</v>
      </c>
    </row>
    <row r="1258" spans="3:28" x14ac:dyDescent="0.3">
      <c r="C1258" s="35" t="s">
        <v>3709</v>
      </c>
      <c r="D1258" s="1" t="s">
        <v>1719</v>
      </c>
      <c r="E1258" s="1">
        <v>50</v>
      </c>
      <c r="F1258" s="1" t="s">
        <v>26</v>
      </c>
      <c r="G1258" s="1" t="s">
        <v>45</v>
      </c>
      <c r="H1258" s="1" t="s">
        <v>28</v>
      </c>
      <c r="I1258" s="1" t="s">
        <v>40</v>
      </c>
      <c r="J1258" s="7">
        <v>56390</v>
      </c>
      <c r="K1258" s="1">
        <v>507</v>
      </c>
      <c r="L1258" s="7">
        <v>45406</v>
      </c>
      <c r="M1258" s="1">
        <v>60</v>
      </c>
      <c r="N1258" s="6">
        <v>0.19170000000000001</v>
      </c>
      <c r="O1258" s="1" t="s">
        <v>37</v>
      </c>
      <c r="P1258" s="1" t="s">
        <v>47</v>
      </c>
      <c r="Q1258" s="1">
        <v>4</v>
      </c>
      <c r="R1258" s="1">
        <v>0</v>
      </c>
      <c r="S1258" s="1" t="s">
        <v>33</v>
      </c>
      <c r="T1258" s="1" t="s">
        <v>33</v>
      </c>
      <c r="U1258" s="1">
        <v>2</v>
      </c>
      <c r="V1258" s="1">
        <v>155879</v>
      </c>
      <c r="W1258" s="7">
        <v>1453.62</v>
      </c>
      <c r="X1258" s="1">
        <v>0.19</v>
      </c>
      <c r="Y1258" s="4">
        <v>45289</v>
      </c>
      <c r="Z1258" s="1" t="s">
        <v>32</v>
      </c>
      <c r="AA1258" s="1" t="s">
        <v>33</v>
      </c>
      <c r="AB1258" s="36" t="str" cm="1">
        <f t="array" ref="AB1258">_xlfn.IFS(K1258&gt;650,"LOW",K1258&gt;=550,"MEDIUM",K1258&lt;550,"HIGH")</f>
        <v>HIGH</v>
      </c>
    </row>
    <row r="1259" spans="3:28" x14ac:dyDescent="0.3">
      <c r="C1259" s="35" t="s">
        <v>3763</v>
      </c>
      <c r="D1259" s="1" t="s">
        <v>1771</v>
      </c>
      <c r="E1259" s="1">
        <v>33</v>
      </c>
      <c r="F1259" s="1" t="s">
        <v>26</v>
      </c>
      <c r="G1259" s="1" t="s">
        <v>45</v>
      </c>
      <c r="H1259" s="1" t="s">
        <v>61</v>
      </c>
      <c r="I1259" s="1" t="s">
        <v>40</v>
      </c>
      <c r="J1259" s="7">
        <v>28536</v>
      </c>
      <c r="K1259" s="1">
        <v>507</v>
      </c>
      <c r="L1259" s="7">
        <v>3882</v>
      </c>
      <c r="M1259" s="1">
        <v>60</v>
      </c>
      <c r="N1259" s="6">
        <v>0.18</v>
      </c>
      <c r="O1259" s="1" t="s">
        <v>63</v>
      </c>
      <c r="P1259" s="1" t="s">
        <v>50</v>
      </c>
      <c r="Q1259" s="1">
        <v>17</v>
      </c>
      <c r="R1259" s="1">
        <v>2</v>
      </c>
      <c r="S1259" s="1" t="s">
        <v>33</v>
      </c>
      <c r="T1259" s="1" t="s">
        <v>31</v>
      </c>
      <c r="U1259" s="1">
        <v>4</v>
      </c>
      <c r="V1259" s="1">
        <v>111739</v>
      </c>
      <c r="W1259" s="7">
        <v>184.98</v>
      </c>
      <c r="X1259" s="1">
        <v>0.2</v>
      </c>
      <c r="Y1259" s="4">
        <v>45427</v>
      </c>
      <c r="Z1259" s="1" t="s">
        <v>32</v>
      </c>
      <c r="AA1259" s="1" t="s">
        <v>33</v>
      </c>
      <c r="AB1259" s="36" t="str" cm="1">
        <f t="array" ref="AB1259">_xlfn.IFS(K1259&gt;650,"LOW",K1259&gt;=550,"MEDIUM",K1259&lt;550,"HIGH")</f>
        <v>HIGH</v>
      </c>
    </row>
    <row r="1260" spans="3:28" x14ac:dyDescent="0.3">
      <c r="C1260" s="35" t="s">
        <v>2625</v>
      </c>
      <c r="D1260" s="1" t="s">
        <v>655</v>
      </c>
      <c r="E1260" s="1">
        <v>48</v>
      </c>
      <c r="F1260" s="1" t="s">
        <v>44</v>
      </c>
      <c r="G1260" s="1" t="s">
        <v>27</v>
      </c>
      <c r="H1260" s="1" t="s">
        <v>54</v>
      </c>
      <c r="I1260" s="1" t="s">
        <v>59</v>
      </c>
      <c r="J1260" s="7">
        <v>46028</v>
      </c>
      <c r="K1260" s="1">
        <v>506</v>
      </c>
      <c r="L1260" s="7">
        <v>41391</v>
      </c>
      <c r="M1260" s="1">
        <v>12</v>
      </c>
      <c r="N1260" s="6">
        <v>5.2900000000000003E-2</v>
      </c>
      <c r="O1260" s="1" t="s">
        <v>41</v>
      </c>
      <c r="P1260" s="1" t="s">
        <v>30</v>
      </c>
      <c r="Q1260" s="1">
        <v>1</v>
      </c>
      <c r="R1260" s="1">
        <v>4</v>
      </c>
      <c r="S1260" s="1" t="s">
        <v>33</v>
      </c>
      <c r="T1260" s="1" t="s">
        <v>33</v>
      </c>
      <c r="U1260" s="1">
        <v>2</v>
      </c>
      <c r="V1260" s="1">
        <v>22687</v>
      </c>
      <c r="W1260" s="7">
        <v>596.73</v>
      </c>
      <c r="X1260" s="1">
        <v>0.54</v>
      </c>
      <c r="Y1260" s="4">
        <v>45630</v>
      </c>
      <c r="Z1260" s="1" t="s">
        <v>38</v>
      </c>
      <c r="AA1260" s="1" t="s">
        <v>33</v>
      </c>
      <c r="AB1260" s="36" t="str" cm="1">
        <f t="array" ref="AB1260">_xlfn.IFS(K1260&gt;650,"LOW",K1260&gt;=550,"MEDIUM",K1260&lt;550,"HIGH")</f>
        <v>HIGH</v>
      </c>
    </row>
    <row r="1261" spans="3:28" x14ac:dyDescent="0.3">
      <c r="C1261" s="35" t="s">
        <v>2823</v>
      </c>
      <c r="D1261" s="1" t="s">
        <v>851</v>
      </c>
      <c r="E1261" s="1">
        <v>46</v>
      </c>
      <c r="F1261" s="1" t="s">
        <v>44</v>
      </c>
      <c r="G1261" s="1" t="s">
        <v>35</v>
      </c>
      <c r="H1261" s="1" t="s">
        <v>61</v>
      </c>
      <c r="I1261" s="1" t="s">
        <v>57</v>
      </c>
      <c r="J1261" s="7">
        <v>39360</v>
      </c>
      <c r="K1261" s="1">
        <v>506</v>
      </c>
      <c r="L1261" s="7">
        <v>8904</v>
      </c>
      <c r="M1261" s="1">
        <v>36</v>
      </c>
      <c r="N1261" s="6">
        <v>0.1459</v>
      </c>
      <c r="O1261" s="1" t="s">
        <v>41</v>
      </c>
      <c r="P1261" s="1" t="s">
        <v>50</v>
      </c>
      <c r="Q1261" s="1">
        <v>4</v>
      </c>
      <c r="R1261" s="1">
        <v>3</v>
      </c>
      <c r="S1261" s="1" t="s">
        <v>33</v>
      </c>
      <c r="T1261" s="1" t="s">
        <v>33</v>
      </c>
      <c r="U1261" s="1">
        <v>1</v>
      </c>
      <c r="V1261" s="1">
        <v>193609</v>
      </c>
      <c r="W1261" s="7">
        <v>997.94</v>
      </c>
      <c r="X1261" s="1">
        <v>0.67</v>
      </c>
      <c r="Y1261" s="4">
        <v>45844</v>
      </c>
      <c r="Z1261" s="1" t="s">
        <v>32</v>
      </c>
      <c r="AA1261" s="1" t="s">
        <v>31</v>
      </c>
      <c r="AB1261" s="36" t="str" cm="1">
        <f t="array" ref="AB1261">_xlfn.IFS(K1261&gt;650,"LOW",K1261&gt;=550,"MEDIUM",K1261&lt;550,"HIGH")</f>
        <v>HIGH</v>
      </c>
    </row>
    <row r="1262" spans="3:28" x14ac:dyDescent="0.3">
      <c r="C1262" s="35" t="s">
        <v>3253</v>
      </c>
      <c r="D1262" s="1" t="s">
        <v>1276</v>
      </c>
      <c r="E1262" s="1">
        <v>50</v>
      </c>
      <c r="F1262" s="1" t="s">
        <v>26</v>
      </c>
      <c r="G1262" s="1" t="s">
        <v>45</v>
      </c>
      <c r="H1262" s="1" t="s">
        <v>28</v>
      </c>
      <c r="I1262" s="1" t="s">
        <v>40</v>
      </c>
      <c r="J1262" s="7">
        <v>109630</v>
      </c>
      <c r="K1262" s="1">
        <v>506</v>
      </c>
      <c r="L1262" s="7">
        <v>28883</v>
      </c>
      <c r="M1262" s="1">
        <v>60</v>
      </c>
      <c r="N1262" s="6">
        <v>0.17399999999999999</v>
      </c>
      <c r="O1262" s="1" t="s">
        <v>63</v>
      </c>
      <c r="P1262" s="1" t="s">
        <v>47</v>
      </c>
      <c r="Q1262" s="1">
        <v>23</v>
      </c>
      <c r="R1262" s="1">
        <v>3</v>
      </c>
      <c r="S1262" s="1" t="s">
        <v>33</v>
      </c>
      <c r="T1262" s="1" t="s">
        <v>31</v>
      </c>
      <c r="U1262" s="1">
        <v>0</v>
      </c>
      <c r="V1262" s="1">
        <v>158945</v>
      </c>
      <c r="W1262" s="7">
        <v>1620.64</v>
      </c>
      <c r="X1262" s="1">
        <v>0.64</v>
      </c>
      <c r="Y1262" s="4">
        <v>45543</v>
      </c>
      <c r="Z1262" s="1" t="s">
        <v>32</v>
      </c>
      <c r="AA1262" s="1" t="s">
        <v>31</v>
      </c>
      <c r="AB1262" s="36" t="str" cm="1">
        <f t="array" ref="AB1262">_xlfn.IFS(K1262&gt;650,"LOW",K1262&gt;=550,"MEDIUM",K1262&lt;550,"HIGH")</f>
        <v>HIGH</v>
      </c>
    </row>
    <row r="1263" spans="3:28" x14ac:dyDescent="0.3">
      <c r="C1263" s="35" t="s">
        <v>3492</v>
      </c>
      <c r="D1263" s="1" t="s">
        <v>1510</v>
      </c>
      <c r="E1263" s="1">
        <v>25</v>
      </c>
      <c r="F1263" s="1" t="s">
        <v>26</v>
      </c>
      <c r="G1263" s="1" t="s">
        <v>56</v>
      </c>
      <c r="H1263" s="1" t="s">
        <v>61</v>
      </c>
      <c r="I1263" s="1" t="s">
        <v>40</v>
      </c>
      <c r="J1263" s="7">
        <v>66950</v>
      </c>
      <c r="K1263" s="1">
        <v>506</v>
      </c>
      <c r="L1263" s="7">
        <v>25474</v>
      </c>
      <c r="M1263" s="1">
        <v>36</v>
      </c>
      <c r="N1263" s="6">
        <v>0.1348</v>
      </c>
      <c r="O1263" s="1" t="s">
        <v>52</v>
      </c>
      <c r="P1263" s="1" t="s">
        <v>50</v>
      </c>
      <c r="Q1263" s="1">
        <v>2</v>
      </c>
      <c r="R1263" s="1">
        <v>4</v>
      </c>
      <c r="S1263" s="1" t="s">
        <v>31</v>
      </c>
      <c r="T1263" s="1" t="s">
        <v>31</v>
      </c>
      <c r="U1263" s="1">
        <v>2</v>
      </c>
      <c r="V1263" s="1">
        <v>146434</v>
      </c>
      <c r="W1263" s="7">
        <v>986.19</v>
      </c>
      <c r="X1263" s="1">
        <v>0.69</v>
      </c>
      <c r="Y1263" s="4">
        <v>45481</v>
      </c>
      <c r="Z1263" s="1" t="s">
        <v>38</v>
      </c>
      <c r="AA1263" s="1" t="s">
        <v>31</v>
      </c>
      <c r="AB1263" s="36" t="str" cm="1">
        <f t="array" ref="AB1263">_xlfn.IFS(K1263&gt;650,"LOW",K1263&gt;=550,"MEDIUM",K1263&lt;550,"HIGH")</f>
        <v>HIGH</v>
      </c>
    </row>
    <row r="1264" spans="3:28" x14ac:dyDescent="0.3">
      <c r="C1264" s="35" t="s">
        <v>2475</v>
      </c>
      <c r="D1264" s="1" t="s">
        <v>505</v>
      </c>
      <c r="E1264" s="1">
        <v>30</v>
      </c>
      <c r="F1264" s="1" t="s">
        <v>44</v>
      </c>
      <c r="G1264" s="1" t="s">
        <v>27</v>
      </c>
      <c r="H1264" s="1" t="s">
        <v>28</v>
      </c>
      <c r="I1264" s="1" t="s">
        <v>59</v>
      </c>
      <c r="J1264" s="7">
        <v>52334</v>
      </c>
      <c r="K1264" s="1">
        <v>504</v>
      </c>
      <c r="L1264" s="7">
        <v>33875</v>
      </c>
      <c r="M1264" s="1">
        <v>12</v>
      </c>
      <c r="N1264" s="6">
        <v>8.9200000000000002E-2</v>
      </c>
      <c r="O1264" s="1" t="s">
        <v>46</v>
      </c>
      <c r="P1264" s="1" t="s">
        <v>50</v>
      </c>
      <c r="Q1264" s="1">
        <v>14</v>
      </c>
      <c r="R1264" s="1">
        <v>4</v>
      </c>
      <c r="S1264" s="1" t="s">
        <v>31</v>
      </c>
      <c r="T1264" s="1" t="s">
        <v>33</v>
      </c>
      <c r="U1264" s="1">
        <v>1</v>
      </c>
      <c r="V1264" s="1">
        <v>42715</v>
      </c>
      <c r="W1264" s="7">
        <v>1340.43</v>
      </c>
      <c r="X1264" s="1">
        <v>0.48</v>
      </c>
      <c r="Y1264" s="4">
        <v>44561</v>
      </c>
      <c r="Z1264" s="1" t="s">
        <v>32</v>
      </c>
      <c r="AA1264" s="1" t="s">
        <v>33</v>
      </c>
      <c r="AB1264" s="36" t="str" cm="1">
        <f t="array" ref="AB1264">_xlfn.IFS(K1264&gt;650,"LOW",K1264&gt;=550,"MEDIUM",K1264&lt;550,"HIGH")</f>
        <v>HIGH</v>
      </c>
    </row>
    <row r="1265" spans="3:28" x14ac:dyDescent="0.3">
      <c r="C1265" s="35" t="s">
        <v>2842</v>
      </c>
      <c r="D1265" s="1" t="s">
        <v>870</v>
      </c>
      <c r="E1265" s="1">
        <v>46</v>
      </c>
      <c r="F1265" s="1" t="s">
        <v>44</v>
      </c>
      <c r="G1265" s="1" t="s">
        <v>27</v>
      </c>
      <c r="H1265" s="1" t="s">
        <v>28</v>
      </c>
      <c r="I1265" s="1" t="s">
        <v>40</v>
      </c>
      <c r="J1265" s="7">
        <v>125289</v>
      </c>
      <c r="K1265" s="1">
        <v>504</v>
      </c>
      <c r="L1265" s="7">
        <v>3913</v>
      </c>
      <c r="M1265" s="1">
        <v>36</v>
      </c>
      <c r="N1265" s="6">
        <v>0.17929999999999999</v>
      </c>
      <c r="O1265" s="1" t="s">
        <v>41</v>
      </c>
      <c r="P1265" s="1" t="s">
        <v>47</v>
      </c>
      <c r="Q1265" s="1">
        <v>3</v>
      </c>
      <c r="R1265" s="1">
        <v>4</v>
      </c>
      <c r="S1265" s="1" t="s">
        <v>33</v>
      </c>
      <c r="T1265" s="1" t="s">
        <v>31</v>
      </c>
      <c r="U1265" s="1">
        <v>2</v>
      </c>
      <c r="V1265" s="1">
        <v>117847</v>
      </c>
      <c r="W1265" s="7">
        <v>194.75</v>
      </c>
      <c r="X1265" s="1">
        <v>0.7</v>
      </c>
      <c r="Y1265" s="4">
        <v>44321</v>
      </c>
      <c r="Z1265" s="1" t="s">
        <v>38</v>
      </c>
      <c r="AA1265" s="1" t="s">
        <v>33</v>
      </c>
      <c r="AB1265" s="36" t="str" cm="1">
        <f t="array" ref="AB1265">_xlfn.IFS(K1265&gt;650,"LOW",K1265&gt;=550,"MEDIUM",K1265&lt;550,"HIGH")</f>
        <v>HIGH</v>
      </c>
    </row>
    <row r="1266" spans="3:28" x14ac:dyDescent="0.3">
      <c r="C1266" s="35" t="s">
        <v>2954</v>
      </c>
      <c r="D1266" s="1" t="s">
        <v>982</v>
      </c>
      <c r="E1266" s="1">
        <v>22</v>
      </c>
      <c r="F1266" s="1" t="s">
        <v>44</v>
      </c>
      <c r="G1266" s="1" t="s">
        <v>27</v>
      </c>
      <c r="H1266" s="1" t="s">
        <v>28</v>
      </c>
      <c r="I1266" s="1" t="s">
        <v>29</v>
      </c>
      <c r="J1266" s="7">
        <v>60167</v>
      </c>
      <c r="K1266" s="1">
        <v>504</v>
      </c>
      <c r="L1266" s="7">
        <v>31472</v>
      </c>
      <c r="M1266" s="1">
        <v>60</v>
      </c>
      <c r="N1266" s="6">
        <v>0.1191</v>
      </c>
      <c r="O1266" s="1" t="s">
        <v>46</v>
      </c>
      <c r="P1266" s="1" t="s">
        <v>30</v>
      </c>
      <c r="Q1266" s="1">
        <v>28</v>
      </c>
      <c r="R1266" s="1">
        <v>4</v>
      </c>
      <c r="S1266" s="1" t="s">
        <v>31</v>
      </c>
      <c r="T1266" s="1" t="s">
        <v>33</v>
      </c>
      <c r="U1266" s="1">
        <v>4</v>
      </c>
      <c r="V1266" s="1">
        <v>32492</v>
      </c>
      <c r="W1266" s="7">
        <v>358.66</v>
      </c>
      <c r="X1266" s="1">
        <v>0.13</v>
      </c>
      <c r="Y1266" s="4">
        <v>44404</v>
      </c>
      <c r="Z1266" s="1" t="s">
        <v>38</v>
      </c>
      <c r="AA1266" s="1" t="s">
        <v>33</v>
      </c>
      <c r="AB1266" s="36" t="str" cm="1">
        <f t="array" ref="AB1266">_xlfn.IFS(K1266&gt;650,"LOW",K1266&gt;=550,"MEDIUM",K1266&lt;550,"HIGH")</f>
        <v>HIGH</v>
      </c>
    </row>
    <row r="1267" spans="3:28" x14ac:dyDescent="0.3">
      <c r="C1267" s="35" t="s">
        <v>3489</v>
      </c>
      <c r="D1267" s="1" t="s">
        <v>1507</v>
      </c>
      <c r="E1267" s="1">
        <v>61</v>
      </c>
      <c r="F1267" s="1" t="s">
        <v>44</v>
      </c>
      <c r="G1267" s="1" t="s">
        <v>35</v>
      </c>
      <c r="H1267" s="1" t="s">
        <v>61</v>
      </c>
      <c r="I1267" s="1" t="s">
        <v>59</v>
      </c>
      <c r="J1267" s="7">
        <v>76411</v>
      </c>
      <c r="K1267" s="1">
        <v>504</v>
      </c>
      <c r="L1267" s="7">
        <v>19790</v>
      </c>
      <c r="M1267" s="1">
        <v>36</v>
      </c>
      <c r="N1267" s="6">
        <v>6.9000000000000006E-2</v>
      </c>
      <c r="O1267" s="1" t="s">
        <v>46</v>
      </c>
      <c r="P1267" s="1" t="s">
        <v>50</v>
      </c>
      <c r="Q1267" s="1">
        <v>16</v>
      </c>
      <c r="R1267" s="1">
        <v>0</v>
      </c>
      <c r="S1267" s="1" t="s">
        <v>31</v>
      </c>
      <c r="T1267" s="1" t="s">
        <v>33</v>
      </c>
      <c r="U1267" s="1">
        <v>4</v>
      </c>
      <c r="V1267" s="1">
        <v>145295</v>
      </c>
      <c r="W1267" s="7">
        <v>1879.12</v>
      </c>
      <c r="X1267" s="1">
        <v>0.2</v>
      </c>
      <c r="Y1267" s="4">
        <v>45074</v>
      </c>
      <c r="Z1267" s="1" t="s">
        <v>38</v>
      </c>
      <c r="AA1267" s="1" t="s">
        <v>33</v>
      </c>
      <c r="AB1267" s="36" t="str" cm="1">
        <f t="array" ref="AB1267">_xlfn.IFS(K1267&gt;650,"LOW",K1267&gt;=550,"MEDIUM",K1267&lt;550,"HIGH")</f>
        <v>HIGH</v>
      </c>
    </row>
    <row r="1268" spans="3:28" x14ac:dyDescent="0.3">
      <c r="C1268" s="35" t="s">
        <v>3543</v>
      </c>
      <c r="D1268" s="1" t="s">
        <v>1560</v>
      </c>
      <c r="E1268" s="1">
        <v>25</v>
      </c>
      <c r="F1268" s="1" t="s">
        <v>44</v>
      </c>
      <c r="G1268" s="1" t="s">
        <v>27</v>
      </c>
      <c r="H1268" s="1" t="s">
        <v>54</v>
      </c>
      <c r="I1268" s="1" t="s">
        <v>57</v>
      </c>
      <c r="J1268" s="7">
        <v>85131</v>
      </c>
      <c r="K1268" s="1">
        <v>504</v>
      </c>
      <c r="L1268" s="7">
        <v>38834</v>
      </c>
      <c r="M1268" s="1">
        <v>48</v>
      </c>
      <c r="N1268" s="6">
        <v>0.1686</v>
      </c>
      <c r="O1268" s="1" t="s">
        <v>41</v>
      </c>
      <c r="P1268" s="1" t="s">
        <v>47</v>
      </c>
      <c r="Q1268" s="1">
        <v>14</v>
      </c>
      <c r="R1268" s="1">
        <v>2</v>
      </c>
      <c r="S1268" s="1" t="s">
        <v>33</v>
      </c>
      <c r="T1268" s="1" t="s">
        <v>31</v>
      </c>
      <c r="U1268" s="1">
        <v>4</v>
      </c>
      <c r="V1268" s="1">
        <v>53857</v>
      </c>
      <c r="W1268" s="7">
        <v>606.84</v>
      </c>
      <c r="X1268" s="1">
        <v>0.8</v>
      </c>
      <c r="Y1268" s="4">
        <v>45473</v>
      </c>
      <c r="Z1268" s="1" t="s">
        <v>32</v>
      </c>
      <c r="AA1268" s="1" t="s">
        <v>33</v>
      </c>
      <c r="AB1268" s="36" t="str" cm="1">
        <f t="array" ref="AB1268">_xlfn.IFS(K1268&gt;650,"LOW",K1268&gt;=550,"MEDIUM",K1268&lt;550,"HIGH")</f>
        <v>HIGH</v>
      </c>
    </row>
    <row r="1269" spans="3:28" x14ac:dyDescent="0.3">
      <c r="C1269" s="35" t="s">
        <v>2670</v>
      </c>
      <c r="D1269" s="1" t="s">
        <v>700</v>
      </c>
      <c r="E1269" s="1">
        <v>48</v>
      </c>
      <c r="F1269" s="1" t="s">
        <v>26</v>
      </c>
      <c r="G1269" s="1" t="s">
        <v>27</v>
      </c>
      <c r="H1269" s="1" t="s">
        <v>36</v>
      </c>
      <c r="I1269" s="1" t="s">
        <v>57</v>
      </c>
      <c r="J1269" s="7">
        <v>98209</v>
      </c>
      <c r="K1269" s="1">
        <v>503</v>
      </c>
      <c r="L1269" s="7">
        <v>33126</v>
      </c>
      <c r="M1269" s="1">
        <v>48</v>
      </c>
      <c r="N1269" s="6">
        <v>8.2500000000000004E-2</v>
      </c>
      <c r="O1269" s="1" t="s">
        <v>5</v>
      </c>
      <c r="P1269" s="1" t="s">
        <v>30</v>
      </c>
      <c r="Q1269" s="1">
        <v>20</v>
      </c>
      <c r="R1269" s="1">
        <v>4</v>
      </c>
      <c r="S1269" s="1" t="s">
        <v>33</v>
      </c>
      <c r="T1269" s="1" t="s">
        <v>31</v>
      </c>
      <c r="U1269" s="1">
        <v>4</v>
      </c>
      <c r="V1269" s="1">
        <v>49974</v>
      </c>
      <c r="W1269" s="7">
        <v>1548.85</v>
      </c>
      <c r="X1269" s="1">
        <v>0.63</v>
      </c>
      <c r="Y1269" s="4">
        <v>45544</v>
      </c>
      <c r="Z1269" s="1" t="s">
        <v>38</v>
      </c>
      <c r="AA1269" s="1" t="s">
        <v>31</v>
      </c>
      <c r="AB1269" s="36" t="str" cm="1">
        <f t="array" ref="AB1269">_xlfn.IFS(K1269&gt;650,"LOW",K1269&gt;=550,"MEDIUM",K1269&lt;550,"HIGH")</f>
        <v>HIGH</v>
      </c>
    </row>
    <row r="1270" spans="3:28" x14ac:dyDescent="0.3">
      <c r="C1270" s="35" t="s">
        <v>2899</v>
      </c>
      <c r="D1270" s="1" t="s">
        <v>927</v>
      </c>
      <c r="E1270" s="1">
        <v>50</v>
      </c>
      <c r="F1270" s="1" t="s">
        <v>44</v>
      </c>
      <c r="G1270" s="1" t="s">
        <v>45</v>
      </c>
      <c r="H1270" s="1" t="s">
        <v>54</v>
      </c>
      <c r="I1270" s="1" t="s">
        <v>40</v>
      </c>
      <c r="J1270" s="7">
        <v>66451</v>
      </c>
      <c r="K1270" s="1">
        <v>503</v>
      </c>
      <c r="L1270" s="7">
        <v>6695</v>
      </c>
      <c r="M1270" s="1">
        <v>12</v>
      </c>
      <c r="N1270" s="6">
        <v>0.11550000000000001</v>
      </c>
      <c r="O1270" s="1" t="s">
        <v>37</v>
      </c>
      <c r="P1270" s="1" t="s">
        <v>30</v>
      </c>
      <c r="Q1270" s="1">
        <v>1</v>
      </c>
      <c r="R1270" s="1">
        <v>3</v>
      </c>
      <c r="S1270" s="1" t="s">
        <v>31</v>
      </c>
      <c r="T1270" s="1" t="s">
        <v>33</v>
      </c>
      <c r="U1270" s="1">
        <v>4</v>
      </c>
      <c r="V1270" s="1">
        <v>161715</v>
      </c>
      <c r="W1270" s="7">
        <v>733.58</v>
      </c>
      <c r="X1270" s="1">
        <v>0.36</v>
      </c>
      <c r="Y1270" s="4">
        <v>45401</v>
      </c>
      <c r="Z1270" s="1" t="s">
        <v>38</v>
      </c>
      <c r="AA1270" s="1" t="s">
        <v>33</v>
      </c>
      <c r="AB1270" s="36" t="str" cm="1">
        <f t="array" ref="AB1270">_xlfn.IFS(K1270&gt;650,"LOW",K1270&gt;=550,"MEDIUM",K1270&lt;550,"HIGH")</f>
        <v>HIGH</v>
      </c>
    </row>
    <row r="1271" spans="3:28" x14ac:dyDescent="0.3">
      <c r="C1271" s="35" t="s">
        <v>3174</v>
      </c>
      <c r="D1271" s="1" t="s">
        <v>1198</v>
      </c>
      <c r="E1271" s="1">
        <v>50</v>
      </c>
      <c r="F1271" s="1" t="s">
        <v>44</v>
      </c>
      <c r="G1271" s="1" t="s">
        <v>56</v>
      </c>
      <c r="H1271" s="1" t="s">
        <v>28</v>
      </c>
      <c r="I1271" s="1" t="s">
        <v>59</v>
      </c>
      <c r="J1271" s="7">
        <v>85212</v>
      </c>
      <c r="K1271" s="1">
        <v>503</v>
      </c>
      <c r="L1271" s="7">
        <v>15455</v>
      </c>
      <c r="M1271" s="1">
        <v>48</v>
      </c>
      <c r="N1271" s="6">
        <v>0.17739999999999997</v>
      </c>
      <c r="O1271" s="1" t="s">
        <v>41</v>
      </c>
      <c r="P1271" s="1" t="s">
        <v>30</v>
      </c>
      <c r="Q1271" s="1">
        <v>4</v>
      </c>
      <c r="R1271" s="1">
        <v>0</v>
      </c>
      <c r="S1271" s="1" t="s">
        <v>31</v>
      </c>
      <c r="T1271" s="1" t="s">
        <v>31</v>
      </c>
      <c r="U1271" s="1">
        <v>2</v>
      </c>
      <c r="V1271" s="1">
        <v>35324</v>
      </c>
      <c r="W1271" s="7">
        <v>1649.44</v>
      </c>
      <c r="X1271" s="1">
        <v>0.12</v>
      </c>
      <c r="Y1271" s="4">
        <v>44337</v>
      </c>
      <c r="Z1271" s="1" t="s">
        <v>38</v>
      </c>
      <c r="AA1271" s="1" t="s">
        <v>33</v>
      </c>
      <c r="AB1271" s="36" t="str" cm="1">
        <f t="array" ref="AB1271">_xlfn.IFS(K1271&gt;650,"LOW",K1271&gt;=550,"MEDIUM",K1271&lt;550,"HIGH")</f>
        <v>HIGH</v>
      </c>
    </row>
    <row r="1272" spans="3:28" x14ac:dyDescent="0.3">
      <c r="C1272" s="35" t="s">
        <v>3749</v>
      </c>
      <c r="D1272" s="1" t="s">
        <v>1757</v>
      </c>
      <c r="E1272" s="1">
        <v>48</v>
      </c>
      <c r="F1272" s="1" t="s">
        <v>26</v>
      </c>
      <c r="G1272" s="1" t="s">
        <v>35</v>
      </c>
      <c r="H1272" s="1" t="s">
        <v>61</v>
      </c>
      <c r="I1272" s="1" t="s">
        <v>59</v>
      </c>
      <c r="J1272" s="7">
        <v>122630</v>
      </c>
      <c r="K1272" s="1">
        <v>503</v>
      </c>
      <c r="L1272" s="7">
        <v>42643</v>
      </c>
      <c r="M1272" s="1">
        <v>24</v>
      </c>
      <c r="N1272" s="6">
        <v>6.3200000000000006E-2</v>
      </c>
      <c r="O1272" s="1" t="s">
        <v>5</v>
      </c>
      <c r="P1272" s="1" t="s">
        <v>47</v>
      </c>
      <c r="Q1272" s="1">
        <v>4</v>
      </c>
      <c r="R1272" s="1">
        <v>1</v>
      </c>
      <c r="S1272" s="1" t="s">
        <v>33</v>
      </c>
      <c r="T1272" s="1" t="s">
        <v>33</v>
      </c>
      <c r="U1272" s="1">
        <v>0</v>
      </c>
      <c r="V1272" s="1">
        <v>97435</v>
      </c>
      <c r="W1272" s="7">
        <v>1615.3</v>
      </c>
      <c r="X1272" s="1">
        <v>0.69</v>
      </c>
      <c r="Y1272" s="4">
        <v>44699</v>
      </c>
      <c r="Z1272" s="1" t="s">
        <v>38</v>
      </c>
      <c r="AA1272" s="1" t="s">
        <v>33</v>
      </c>
      <c r="AB1272" s="36" t="str" cm="1">
        <f t="array" ref="AB1272">_xlfn.IFS(K1272&gt;650,"LOW",K1272&gt;=550,"MEDIUM",K1272&lt;550,"HIGH")</f>
        <v>HIGH</v>
      </c>
    </row>
    <row r="1273" spans="3:28" x14ac:dyDescent="0.3">
      <c r="C1273" s="35" t="s">
        <v>2135</v>
      </c>
      <c r="D1273" s="1" t="s">
        <v>166</v>
      </c>
      <c r="E1273" s="1">
        <v>55</v>
      </c>
      <c r="F1273" s="1" t="s">
        <v>26</v>
      </c>
      <c r="G1273" s="1" t="s">
        <v>56</v>
      </c>
      <c r="H1273" s="1" t="s">
        <v>54</v>
      </c>
      <c r="I1273" s="1" t="s">
        <v>59</v>
      </c>
      <c r="J1273" s="7">
        <v>113851</v>
      </c>
      <c r="K1273" s="1">
        <v>502</v>
      </c>
      <c r="L1273" s="7">
        <v>40695</v>
      </c>
      <c r="M1273" s="1">
        <v>60</v>
      </c>
      <c r="N1273" s="6">
        <v>0.1188</v>
      </c>
      <c r="O1273" s="1" t="s">
        <v>37</v>
      </c>
      <c r="P1273" s="1" t="s">
        <v>47</v>
      </c>
      <c r="Q1273" s="1">
        <v>17</v>
      </c>
      <c r="R1273" s="1">
        <v>4</v>
      </c>
      <c r="S1273" s="1" t="s">
        <v>33</v>
      </c>
      <c r="T1273" s="1" t="s">
        <v>31</v>
      </c>
      <c r="U1273" s="1">
        <v>3</v>
      </c>
      <c r="V1273" s="1">
        <v>30415</v>
      </c>
      <c r="W1273" s="7">
        <v>516.16999999999996</v>
      </c>
      <c r="X1273" s="1">
        <v>0.4</v>
      </c>
      <c r="Y1273" s="4">
        <v>45453</v>
      </c>
      <c r="Z1273" s="1" t="s">
        <v>38</v>
      </c>
      <c r="AA1273" s="1" t="s">
        <v>33</v>
      </c>
      <c r="AB1273" s="36" t="str" cm="1">
        <f t="array" ref="AB1273">_xlfn.IFS(K1273&gt;650,"LOW",K1273&gt;=550,"MEDIUM",K1273&lt;550,"HIGH")</f>
        <v>HIGH</v>
      </c>
    </row>
    <row r="1274" spans="3:28" x14ac:dyDescent="0.3">
      <c r="C1274" s="35" t="s">
        <v>2181</v>
      </c>
      <c r="D1274" s="1" t="s">
        <v>212</v>
      </c>
      <c r="E1274" s="1">
        <v>64</v>
      </c>
      <c r="F1274" s="1" t="s">
        <v>44</v>
      </c>
      <c r="G1274" s="1" t="s">
        <v>45</v>
      </c>
      <c r="H1274" s="1" t="s">
        <v>61</v>
      </c>
      <c r="I1274" s="1" t="s">
        <v>40</v>
      </c>
      <c r="J1274" s="7">
        <v>109126</v>
      </c>
      <c r="K1274" s="1">
        <v>502</v>
      </c>
      <c r="L1274" s="7">
        <v>21725</v>
      </c>
      <c r="M1274" s="1">
        <v>12</v>
      </c>
      <c r="N1274" s="6">
        <v>9.5199999999999993E-2</v>
      </c>
      <c r="O1274" s="1" t="s">
        <v>41</v>
      </c>
      <c r="P1274" s="1" t="s">
        <v>50</v>
      </c>
      <c r="Q1274" s="1">
        <v>27</v>
      </c>
      <c r="R1274" s="1">
        <v>0</v>
      </c>
      <c r="S1274" s="1" t="s">
        <v>33</v>
      </c>
      <c r="T1274" s="1" t="s">
        <v>31</v>
      </c>
      <c r="U1274" s="1">
        <v>3</v>
      </c>
      <c r="V1274" s="1">
        <v>87721</v>
      </c>
      <c r="W1274" s="7">
        <v>1962.27</v>
      </c>
      <c r="X1274" s="1">
        <v>0.74</v>
      </c>
      <c r="Y1274" s="4">
        <v>45546</v>
      </c>
      <c r="Z1274" s="1" t="s">
        <v>38</v>
      </c>
      <c r="AA1274" s="1" t="s">
        <v>33</v>
      </c>
      <c r="AB1274" s="36" t="str" cm="1">
        <f t="array" ref="AB1274">_xlfn.IFS(K1274&gt;650,"LOW",K1274&gt;=550,"MEDIUM",K1274&lt;550,"HIGH")</f>
        <v>HIGH</v>
      </c>
    </row>
    <row r="1275" spans="3:28" x14ac:dyDescent="0.3">
      <c r="C1275" s="35" t="s">
        <v>2794</v>
      </c>
      <c r="D1275" s="1" t="s">
        <v>822</v>
      </c>
      <c r="E1275" s="1">
        <v>43</v>
      </c>
      <c r="F1275" s="1" t="s">
        <v>26</v>
      </c>
      <c r="G1275" s="1" t="s">
        <v>56</v>
      </c>
      <c r="H1275" s="1" t="s">
        <v>36</v>
      </c>
      <c r="I1275" s="1" t="s">
        <v>29</v>
      </c>
      <c r="J1275" s="7">
        <v>113721</v>
      </c>
      <c r="K1275" s="1">
        <v>502</v>
      </c>
      <c r="L1275" s="7">
        <v>17863</v>
      </c>
      <c r="M1275" s="1">
        <v>24</v>
      </c>
      <c r="N1275" s="6">
        <v>0.16739999999999999</v>
      </c>
      <c r="O1275" s="1" t="s">
        <v>46</v>
      </c>
      <c r="P1275" s="1" t="s">
        <v>47</v>
      </c>
      <c r="Q1275" s="1">
        <v>11</v>
      </c>
      <c r="R1275" s="1">
        <v>1</v>
      </c>
      <c r="S1275" s="1" t="s">
        <v>31</v>
      </c>
      <c r="T1275" s="1" t="s">
        <v>33</v>
      </c>
      <c r="U1275" s="1">
        <v>2</v>
      </c>
      <c r="V1275" s="1">
        <v>122184</v>
      </c>
      <c r="W1275" s="7">
        <v>1460.57</v>
      </c>
      <c r="X1275" s="1">
        <v>0.61</v>
      </c>
      <c r="Y1275" s="4">
        <v>44327</v>
      </c>
      <c r="Z1275" s="1" t="s">
        <v>38</v>
      </c>
      <c r="AA1275" s="1" t="s">
        <v>33</v>
      </c>
      <c r="AB1275" s="36" t="str" cm="1">
        <f t="array" ref="AB1275">_xlfn.IFS(K1275&gt;650,"LOW",K1275&gt;=550,"MEDIUM",K1275&lt;550,"HIGH")</f>
        <v>HIGH</v>
      </c>
    </row>
    <row r="1276" spans="3:28" x14ac:dyDescent="0.3">
      <c r="C1276" s="35" t="s">
        <v>2962</v>
      </c>
      <c r="D1276" s="1" t="s">
        <v>990</v>
      </c>
      <c r="E1276" s="1">
        <v>37</v>
      </c>
      <c r="F1276" s="1" t="s">
        <v>44</v>
      </c>
      <c r="G1276" s="1" t="s">
        <v>35</v>
      </c>
      <c r="H1276" s="1" t="s">
        <v>61</v>
      </c>
      <c r="I1276" s="1" t="s">
        <v>59</v>
      </c>
      <c r="J1276" s="7">
        <v>101199</v>
      </c>
      <c r="K1276" s="1">
        <v>502</v>
      </c>
      <c r="L1276" s="7">
        <v>42621</v>
      </c>
      <c r="M1276" s="1">
        <v>48</v>
      </c>
      <c r="N1276" s="6">
        <v>9.0899999999999995E-2</v>
      </c>
      <c r="O1276" s="1" t="s">
        <v>63</v>
      </c>
      <c r="P1276" s="1" t="s">
        <v>30</v>
      </c>
      <c r="Q1276" s="1">
        <v>29</v>
      </c>
      <c r="R1276" s="1">
        <v>2</v>
      </c>
      <c r="S1276" s="1" t="s">
        <v>31</v>
      </c>
      <c r="T1276" s="1" t="s">
        <v>33</v>
      </c>
      <c r="U1276" s="1">
        <v>0</v>
      </c>
      <c r="V1276" s="1">
        <v>195707</v>
      </c>
      <c r="W1276" s="7">
        <v>1918.05</v>
      </c>
      <c r="X1276" s="1">
        <v>0.51</v>
      </c>
      <c r="Y1276" s="4">
        <v>44692</v>
      </c>
      <c r="Z1276" s="1" t="s">
        <v>32</v>
      </c>
      <c r="AA1276" s="1" t="s">
        <v>33</v>
      </c>
      <c r="AB1276" s="36" t="str" cm="1">
        <f t="array" ref="AB1276">_xlfn.IFS(K1276&gt;650,"LOW",K1276&gt;=550,"MEDIUM",K1276&lt;550,"HIGH")</f>
        <v>HIGH</v>
      </c>
    </row>
    <row r="1277" spans="3:28" x14ac:dyDescent="0.3">
      <c r="C1277" s="35" t="s">
        <v>3106</v>
      </c>
      <c r="D1277" s="1" t="s">
        <v>1131</v>
      </c>
      <c r="E1277" s="1">
        <v>57</v>
      </c>
      <c r="F1277" s="1" t="s">
        <v>26</v>
      </c>
      <c r="G1277" s="1" t="s">
        <v>56</v>
      </c>
      <c r="H1277" s="1" t="s">
        <v>61</v>
      </c>
      <c r="I1277" s="1" t="s">
        <v>59</v>
      </c>
      <c r="J1277" s="7">
        <v>135336</v>
      </c>
      <c r="K1277" s="1">
        <v>502</v>
      </c>
      <c r="L1277" s="7">
        <v>18434</v>
      </c>
      <c r="M1277" s="1">
        <v>12</v>
      </c>
      <c r="N1277" s="6">
        <v>0.11810000000000001</v>
      </c>
      <c r="O1277" s="1" t="s">
        <v>46</v>
      </c>
      <c r="P1277" s="1" t="s">
        <v>30</v>
      </c>
      <c r="Q1277" s="1">
        <v>23</v>
      </c>
      <c r="R1277" s="1">
        <v>1</v>
      </c>
      <c r="S1277" s="1" t="s">
        <v>33</v>
      </c>
      <c r="T1277" s="1" t="s">
        <v>31</v>
      </c>
      <c r="U1277" s="1">
        <v>2</v>
      </c>
      <c r="V1277" s="1">
        <v>190632</v>
      </c>
      <c r="W1277" s="7">
        <v>1260.6500000000001</v>
      </c>
      <c r="X1277" s="1">
        <v>0.27</v>
      </c>
      <c r="Y1277" s="4">
        <v>45814</v>
      </c>
      <c r="Z1277" s="1" t="s">
        <v>38</v>
      </c>
      <c r="AA1277" s="1" t="s">
        <v>31</v>
      </c>
      <c r="AB1277" s="36" t="str" cm="1">
        <f t="array" ref="AB1277">_xlfn.IFS(K1277&gt;650,"LOW",K1277&gt;=550,"MEDIUM",K1277&lt;550,"HIGH")</f>
        <v>HIGH</v>
      </c>
    </row>
    <row r="1278" spans="3:28" x14ac:dyDescent="0.3">
      <c r="C1278" s="35" t="s">
        <v>2115</v>
      </c>
      <c r="D1278" s="1" t="s">
        <v>146</v>
      </c>
      <c r="E1278" s="1">
        <v>31</v>
      </c>
      <c r="F1278" s="1" t="s">
        <v>44</v>
      </c>
      <c r="G1278" s="1" t="s">
        <v>45</v>
      </c>
      <c r="H1278" s="1" t="s">
        <v>36</v>
      </c>
      <c r="I1278" s="1" t="s">
        <v>59</v>
      </c>
      <c r="J1278" s="7">
        <v>133012</v>
      </c>
      <c r="K1278" s="1">
        <v>501</v>
      </c>
      <c r="L1278" s="7">
        <v>41761</v>
      </c>
      <c r="M1278" s="1">
        <v>48</v>
      </c>
      <c r="N1278" s="6">
        <v>0.1363</v>
      </c>
      <c r="O1278" s="1" t="s">
        <v>52</v>
      </c>
      <c r="P1278" s="1" t="s">
        <v>47</v>
      </c>
      <c r="Q1278" s="1">
        <v>10</v>
      </c>
      <c r="R1278" s="1">
        <v>1</v>
      </c>
      <c r="S1278" s="1" t="s">
        <v>33</v>
      </c>
      <c r="T1278" s="1" t="s">
        <v>33</v>
      </c>
      <c r="U1278" s="1">
        <v>0</v>
      </c>
      <c r="V1278" s="1">
        <v>7293</v>
      </c>
      <c r="W1278" s="7">
        <v>971.42</v>
      </c>
      <c r="X1278" s="1">
        <v>0.79</v>
      </c>
      <c r="Y1278" s="4">
        <v>45051</v>
      </c>
      <c r="Z1278" s="1" t="s">
        <v>32</v>
      </c>
      <c r="AA1278" s="1" t="s">
        <v>33</v>
      </c>
      <c r="AB1278" s="36" t="str" cm="1">
        <f t="array" ref="AB1278">_xlfn.IFS(K1278&gt;650,"LOW",K1278&gt;=550,"MEDIUM",K1278&lt;550,"HIGH")</f>
        <v>HIGH</v>
      </c>
    </row>
    <row r="1279" spans="3:28" x14ac:dyDescent="0.3">
      <c r="C1279" s="35" t="s">
        <v>2136</v>
      </c>
      <c r="D1279" s="1" t="s">
        <v>167</v>
      </c>
      <c r="E1279" s="1">
        <v>64</v>
      </c>
      <c r="F1279" s="1" t="s">
        <v>26</v>
      </c>
      <c r="G1279" s="1" t="s">
        <v>27</v>
      </c>
      <c r="H1279" s="1" t="s">
        <v>36</v>
      </c>
      <c r="I1279" s="1" t="s">
        <v>57</v>
      </c>
      <c r="J1279" s="7">
        <v>133153</v>
      </c>
      <c r="K1279" s="1">
        <v>501</v>
      </c>
      <c r="L1279" s="7">
        <v>31099</v>
      </c>
      <c r="M1279" s="1">
        <v>12</v>
      </c>
      <c r="N1279" s="6">
        <v>0.1545</v>
      </c>
      <c r="O1279" s="1" t="s">
        <v>41</v>
      </c>
      <c r="P1279" s="1" t="s">
        <v>50</v>
      </c>
      <c r="Q1279" s="1">
        <v>21</v>
      </c>
      <c r="R1279" s="1">
        <v>0</v>
      </c>
      <c r="S1279" s="1" t="s">
        <v>31</v>
      </c>
      <c r="T1279" s="1" t="s">
        <v>31</v>
      </c>
      <c r="U1279" s="1">
        <v>3</v>
      </c>
      <c r="V1279" s="1">
        <v>180200</v>
      </c>
      <c r="W1279" s="7">
        <v>252.27</v>
      </c>
      <c r="X1279" s="1">
        <v>0.34</v>
      </c>
      <c r="Y1279" s="4">
        <v>44902</v>
      </c>
      <c r="Z1279" s="1" t="s">
        <v>38</v>
      </c>
      <c r="AA1279" s="1" t="s">
        <v>33</v>
      </c>
      <c r="AB1279" s="36" t="str" cm="1">
        <f t="array" ref="AB1279">_xlfn.IFS(K1279&gt;650,"LOW",K1279&gt;=550,"MEDIUM",K1279&lt;550,"HIGH")</f>
        <v>HIGH</v>
      </c>
    </row>
    <row r="1280" spans="3:28" x14ac:dyDescent="0.3">
      <c r="C1280" s="35" t="s">
        <v>2276</v>
      </c>
      <c r="D1280" s="1" t="s">
        <v>307</v>
      </c>
      <c r="E1280" s="1">
        <v>32</v>
      </c>
      <c r="F1280" s="1" t="s">
        <v>26</v>
      </c>
      <c r="G1280" s="1" t="s">
        <v>35</v>
      </c>
      <c r="H1280" s="1" t="s">
        <v>28</v>
      </c>
      <c r="I1280" s="1" t="s">
        <v>40</v>
      </c>
      <c r="J1280" s="7">
        <v>29079</v>
      </c>
      <c r="K1280" s="1">
        <v>501</v>
      </c>
      <c r="L1280" s="7">
        <v>24259</v>
      </c>
      <c r="M1280" s="1">
        <v>24</v>
      </c>
      <c r="N1280" s="6">
        <v>6.8400000000000002E-2</v>
      </c>
      <c r="O1280" s="1" t="s">
        <v>41</v>
      </c>
      <c r="P1280" s="1" t="s">
        <v>30</v>
      </c>
      <c r="Q1280" s="1">
        <v>6</v>
      </c>
      <c r="R1280" s="1">
        <v>0</v>
      </c>
      <c r="S1280" s="1" t="s">
        <v>33</v>
      </c>
      <c r="T1280" s="1" t="s">
        <v>31</v>
      </c>
      <c r="U1280" s="1">
        <v>2</v>
      </c>
      <c r="V1280" s="1">
        <v>98029</v>
      </c>
      <c r="W1280" s="7">
        <v>1979.45</v>
      </c>
      <c r="X1280" s="1">
        <v>0.49</v>
      </c>
      <c r="Y1280" s="4">
        <v>45335</v>
      </c>
      <c r="Z1280" s="1" t="s">
        <v>32</v>
      </c>
      <c r="AA1280" s="1" t="s">
        <v>33</v>
      </c>
      <c r="AB1280" s="36" t="str" cm="1">
        <f t="array" ref="AB1280">_xlfn.IFS(K1280&gt;650,"LOW",K1280&gt;=550,"MEDIUM",K1280&lt;550,"HIGH")</f>
        <v>HIGH</v>
      </c>
    </row>
    <row r="1281" spans="3:28" x14ac:dyDescent="0.3">
      <c r="C1281" s="35" t="s">
        <v>3464</v>
      </c>
      <c r="D1281" s="1" t="s">
        <v>1482</v>
      </c>
      <c r="E1281" s="1">
        <v>35</v>
      </c>
      <c r="F1281" s="1" t="s">
        <v>44</v>
      </c>
      <c r="G1281" s="1" t="s">
        <v>56</v>
      </c>
      <c r="H1281" s="1" t="s">
        <v>61</v>
      </c>
      <c r="I1281" s="1" t="s">
        <v>57</v>
      </c>
      <c r="J1281" s="7">
        <v>87863</v>
      </c>
      <c r="K1281" s="1">
        <v>501</v>
      </c>
      <c r="L1281" s="7">
        <v>8377</v>
      </c>
      <c r="M1281" s="1">
        <v>36</v>
      </c>
      <c r="N1281" s="6">
        <v>0.16899999999999998</v>
      </c>
      <c r="O1281" s="1" t="s">
        <v>5</v>
      </c>
      <c r="P1281" s="1" t="s">
        <v>47</v>
      </c>
      <c r="Q1281" s="1">
        <v>16</v>
      </c>
      <c r="R1281" s="1">
        <v>4</v>
      </c>
      <c r="S1281" s="1" t="s">
        <v>31</v>
      </c>
      <c r="T1281" s="1" t="s">
        <v>31</v>
      </c>
      <c r="U1281" s="1">
        <v>0</v>
      </c>
      <c r="V1281" s="1">
        <v>122670</v>
      </c>
      <c r="W1281" s="7">
        <v>749.37</v>
      </c>
      <c r="X1281" s="1">
        <v>0.39</v>
      </c>
      <c r="Y1281" s="4">
        <v>44946</v>
      </c>
      <c r="Z1281" s="1" t="s">
        <v>38</v>
      </c>
      <c r="AA1281" s="1" t="s">
        <v>33</v>
      </c>
      <c r="AB1281" s="36" t="str" cm="1">
        <f t="array" ref="AB1281">_xlfn.IFS(K1281&gt;650,"LOW",K1281&gt;=550,"MEDIUM",K1281&lt;550,"HIGH")</f>
        <v>HIGH</v>
      </c>
    </row>
    <row r="1282" spans="3:28" x14ac:dyDescent="0.3">
      <c r="C1282" s="35" t="s">
        <v>3827</v>
      </c>
      <c r="D1282" s="1" t="s">
        <v>1833</v>
      </c>
      <c r="E1282" s="1">
        <v>55</v>
      </c>
      <c r="F1282" s="1" t="s">
        <v>26</v>
      </c>
      <c r="G1282" s="1" t="s">
        <v>27</v>
      </c>
      <c r="H1282" s="1" t="s">
        <v>54</v>
      </c>
      <c r="I1282" s="1" t="s">
        <v>29</v>
      </c>
      <c r="J1282" s="7">
        <v>67085</v>
      </c>
      <c r="K1282" s="1">
        <v>501</v>
      </c>
      <c r="L1282" s="7">
        <v>14074</v>
      </c>
      <c r="M1282" s="1">
        <v>24</v>
      </c>
      <c r="N1282" s="6">
        <v>9.5899999999999999E-2</v>
      </c>
      <c r="O1282" s="1" t="s">
        <v>41</v>
      </c>
      <c r="P1282" s="1" t="s">
        <v>50</v>
      </c>
      <c r="Q1282" s="1">
        <v>27</v>
      </c>
      <c r="R1282" s="1">
        <v>4</v>
      </c>
      <c r="S1282" s="1" t="s">
        <v>31</v>
      </c>
      <c r="T1282" s="1" t="s">
        <v>33</v>
      </c>
      <c r="U1282" s="1">
        <v>1</v>
      </c>
      <c r="V1282" s="1">
        <v>114715</v>
      </c>
      <c r="W1282" s="7">
        <v>586.41999999999996</v>
      </c>
      <c r="X1282" s="1">
        <v>0.25</v>
      </c>
      <c r="Y1282" s="4">
        <v>45732</v>
      </c>
      <c r="Z1282" s="1" t="s">
        <v>32</v>
      </c>
      <c r="AA1282" s="1" t="s">
        <v>31</v>
      </c>
      <c r="AB1282" s="36" t="str" cm="1">
        <f t="array" ref="AB1282">_xlfn.IFS(K1282&gt;650,"LOW",K1282&gt;=550,"MEDIUM",K1282&lt;550,"HIGH")</f>
        <v>HIGH</v>
      </c>
    </row>
    <row r="1283" spans="3:28" x14ac:dyDescent="0.3">
      <c r="C1283" s="35" t="s">
        <v>2283</v>
      </c>
      <c r="D1283" s="1" t="s">
        <v>314</v>
      </c>
      <c r="E1283" s="1">
        <v>39</v>
      </c>
      <c r="F1283" s="1" t="s">
        <v>44</v>
      </c>
      <c r="G1283" s="1" t="s">
        <v>35</v>
      </c>
      <c r="H1283" s="1" t="s">
        <v>28</v>
      </c>
      <c r="I1283" s="1" t="s">
        <v>40</v>
      </c>
      <c r="J1283" s="7">
        <v>63162</v>
      </c>
      <c r="K1283" s="1">
        <v>500</v>
      </c>
      <c r="L1283" s="7">
        <v>41642</v>
      </c>
      <c r="M1283" s="1">
        <v>60</v>
      </c>
      <c r="N1283" s="6">
        <v>0.129</v>
      </c>
      <c r="O1283" s="1" t="s">
        <v>46</v>
      </c>
      <c r="P1283" s="1" t="s">
        <v>47</v>
      </c>
      <c r="Q1283" s="1">
        <v>17</v>
      </c>
      <c r="R1283" s="1">
        <v>3</v>
      </c>
      <c r="S1283" s="1" t="s">
        <v>33</v>
      </c>
      <c r="T1283" s="1" t="s">
        <v>31</v>
      </c>
      <c r="U1283" s="1">
        <v>3</v>
      </c>
      <c r="V1283" s="1">
        <v>35304</v>
      </c>
      <c r="W1283" s="7">
        <v>1381.51</v>
      </c>
      <c r="X1283" s="1">
        <v>0.63</v>
      </c>
      <c r="Y1283" s="4">
        <v>44069</v>
      </c>
      <c r="Z1283" s="1" t="s">
        <v>32</v>
      </c>
      <c r="AA1283" s="1" t="s">
        <v>33</v>
      </c>
      <c r="AB1283" s="36" t="str" cm="1">
        <f t="array" ref="AB1283">_xlfn.IFS(K1283&gt;650,"LOW",K1283&gt;=550,"MEDIUM",K1283&lt;550,"HIGH")</f>
        <v>HIGH</v>
      </c>
    </row>
    <row r="1284" spans="3:28" x14ac:dyDescent="0.3">
      <c r="C1284" s="35" t="s">
        <v>2389</v>
      </c>
      <c r="D1284" s="1" t="s">
        <v>419</v>
      </c>
      <c r="E1284" s="1">
        <v>28</v>
      </c>
      <c r="F1284" s="1" t="s">
        <v>26</v>
      </c>
      <c r="G1284" s="1" t="s">
        <v>56</v>
      </c>
      <c r="H1284" s="1" t="s">
        <v>28</v>
      </c>
      <c r="I1284" s="1" t="s">
        <v>57</v>
      </c>
      <c r="J1284" s="7">
        <v>144481</v>
      </c>
      <c r="K1284" s="1">
        <v>500</v>
      </c>
      <c r="L1284" s="7">
        <v>28195</v>
      </c>
      <c r="M1284" s="1">
        <v>12</v>
      </c>
      <c r="N1284" s="6">
        <v>0.16320000000000001</v>
      </c>
      <c r="O1284" s="1" t="s">
        <v>63</v>
      </c>
      <c r="P1284" s="1" t="s">
        <v>47</v>
      </c>
      <c r="Q1284" s="1">
        <v>15</v>
      </c>
      <c r="R1284" s="1">
        <v>0</v>
      </c>
      <c r="S1284" s="1" t="s">
        <v>31</v>
      </c>
      <c r="T1284" s="1" t="s">
        <v>31</v>
      </c>
      <c r="U1284" s="1">
        <v>0</v>
      </c>
      <c r="V1284" s="1">
        <v>81499</v>
      </c>
      <c r="W1284" s="7">
        <v>732.94</v>
      </c>
      <c r="X1284" s="1">
        <v>0.62</v>
      </c>
      <c r="Y1284" s="4">
        <v>44627</v>
      </c>
      <c r="Z1284" s="1" t="s">
        <v>38</v>
      </c>
      <c r="AA1284" s="1" t="s">
        <v>33</v>
      </c>
      <c r="AB1284" s="36" t="str" cm="1">
        <f t="array" ref="AB1284">_xlfn.IFS(K1284&gt;650,"LOW",K1284&gt;=550,"MEDIUM",K1284&lt;550,"HIGH")</f>
        <v>HIGH</v>
      </c>
    </row>
    <row r="1285" spans="3:28" x14ac:dyDescent="0.3">
      <c r="C1285" s="35" t="s">
        <v>3226</v>
      </c>
      <c r="D1285" s="1" t="s">
        <v>1250</v>
      </c>
      <c r="E1285" s="1">
        <v>56</v>
      </c>
      <c r="F1285" s="1" t="s">
        <v>44</v>
      </c>
      <c r="G1285" s="1" t="s">
        <v>56</v>
      </c>
      <c r="H1285" s="1" t="s">
        <v>36</v>
      </c>
      <c r="I1285" s="1" t="s">
        <v>57</v>
      </c>
      <c r="J1285" s="7">
        <v>48251</v>
      </c>
      <c r="K1285" s="1">
        <v>500</v>
      </c>
      <c r="L1285" s="7">
        <v>30674</v>
      </c>
      <c r="M1285" s="1">
        <v>60</v>
      </c>
      <c r="N1285" s="6">
        <v>8.5099999999999995E-2</v>
      </c>
      <c r="O1285" s="1" t="s">
        <v>41</v>
      </c>
      <c r="P1285" s="1" t="s">
        <v>50</v>
      </c>
      <c r="Q1285" s="1">
        <v>13</v>
      </c>
      <c r="R1285" s="1">
        <v>4</v>
      </c>
      <c r="S1285" s="1" t="s">
        <v>31</v>
      </c>
      <c r="T1285" s="1" t="s">
        <v>31</v>
      </c>
      <c r="U1285" s="1">
        <v>0</v>
      </c>
      <c r="V1285" s="1">
        <v>189448</v>
      </c>
      <c r="W1285" s="7">
        <v>612.05999999999995</v>
      </c>
      <c r="X1285" s="1">
        <v>0.92</v>
      </c>
      <c r="Y1285" s="4">
        <v>45087</v>
      </c>
      <c r="Z1285" s="1" t="s">
        <v>32</v>
      </c>
      <c r="AA1285" s="1" t="s">
        <v>33</v>
      </c>
      <c r="AB1285" s="36" t="str" cm="1">
        <f t="array" ref="AB1285">_xlfn.IFS(K1285&gt;650,"LOW",K1285&gt;=550,"MEDIUM",K1285&lt;550,"HIGH")</f>
        <v>HIGH</v>
      </c>
    </row>
    <row r="1286" spans="3:28" x14ac:dyDescent="0.3">
      <c r="C1286" s="35" t="s">
        <v>3083</v>
      </c>
      <c r="D1286" s="1" t="s">
        <v>1109</v>
      </c>
      <c r="E1286" s="1">
        <v>45</v>
      </c>
      <c r="F1286" s="1" t="s">
        <v>26</v>
      </c>
      <c r="G1286" s="1" t="s">
        <v>35</v>
      </c>
      <c r="H1286" s="1" t="s">
        <v>28</v>
      </c>
      <c r="I1286" s="1" t="s">
        <v>40</v>
      </c>
      <c r="J1286" s="7">
        <v>133824</v>
      </c>
      <c r="K1286" s="1">
        <v>499</v>
      </c>
      <c r="L1286" s="7">
        <v>7060</v>
      </c>
      <c r="M1286" s="1">
        <v>36</v>
      </c>
      <c r="N1286" s="6">
        <v>0.1739</v>
      </c>
      <c r="O1286" s="1" t="s">
        <v>5</v>
      </c>
      <c r="P1286" s="1" t="s">
        <v>30</v>
      </c>
      <c r="Q1286" s="1">
        <v>19</v>
      </c>
      <c r="R1286" s="1">
        <v>2</v>
      </c>
      <c r="S1286" s="1" t="s">
        <v>31</v>
      </c>
      <c r="T1286" s="1" t="s">
        <v>33</v>
      </c>
      <c r="U1286" s="1">
        <v>1</v>
      </c>
      <c r="V1286" s="1">
        <v>22584</v>
      </c>
      <c r="W1286" s="7">
        <v>985.31</v>
      </c>
      <c r="X1286" s="1">
        <v>0.28000000000000003</v>
      </c>
      <c r="Y1286" s="4">
        <v>44559</v>
      </c>
      <c r="Z1286" s="1" t="s">
        <v>38</v>
      </c>
      <c r="AA1286" s="1" t="s">
        <v>31</v>
      </c>
      <c r="AB1286" s="36" t="str" cm="1">
        <f t="array" ref="AB1286">_xlfn.IFS(K1286&gt;650,"LOW",K1286&gt;=550,"MEDIUM",K1286&lt;550,"HIGH")</f>
        <v>HIGH</v>
      </c>
    </row>
    <row r="1287" spans="3:28" x14ac:dyDescent="0.3">
      <c r="C1287" s="35" t="s">
        <v>3258</v>
      </c>
      <c r="D1287" s="1" t="s">
        <v>1281</v>
      </c>
      <c r="E1287" s="1">
        <v>34</v>
      </c>
      <c r="F1287" s="1" t="s">
        <v>26</v>
      </c>
      <c r="G1287" s="1" t="s">
        <v>45</v>
      </c>
      <c r="H1287" s="1" t="s">
        <v>28</v>
      </c>
      <c r="I1287" s="1" t="s">
        <v>40</v>
      </c>
      <c r="J1287" s="7">
        <v>104585</v>
      </c>
      <c r="K1287" s="1">
        <v>499</v>
      </c>
      <c r="L1287" s="7">
        <v>40470</v>
      </c>
      <c r="M1287" s="1">
        <v>36</v>
      </c>
      <c r="N1287" s="6">
        <v>0.1348</v>
      </c>
      <c r="O1287" s="1" t="s">
        <v>63</v>
      </c>
      <c r="P1287" s="1" t="s">
        <v>50</v>
      </c>
      <c r="Q1287" s="1">
        <v>13</v>
      </c>
      <c r="R1287" s="1">
        <v>2</v>
      </c>
      <c r="S1287" s="1" t="s">
        <v>31</v>
      </c>
      <c r="T1287" s="1" t="s">
        <v>33</v>
      </c>
      <c r="U1287" s="1">
        <v>3</v>
      </c>
      <c r="V1287" s="1">
        <v>59172</v>
      </c>
      <c r="W1287" s="7">
        <v>1077.6500000000001</v>
      </c>
      <c r="X1287" s="1">
        <v>0.18</v>
      </c>
      <c r="Y1287" s="4">
        <v>44637</v>
      </c>
      <c r="Z1287" s="1" t="s">
        <v>32</v>
      </c>
      <c r="AA1287" s="1" t="s">
        <v>33</v>
      </c>
      <c r="AB1287" s="36" t="str" cm="1">
        <f t="array" ref="AB1287">_xlfn.IFS(K1287&gt;650,"LOW",K1287&gt;=550,"MEDIUM",K1287&lt;550,"HIGH")</f>
        <v>HIGH</v>
      </c>
    </row>
    <row r="1288" spans="3:28" x14ac:dyDescent="0.3">
      <c r="C1288" s="35" t="s">
        <v>3630</v>
      </c>
      <c r="D1288" s="1" t="s">
        <v>1642</v>
      </c>
      <c r="E1288" s="1">
        <v>38</v>
      </c>
      <c r="F1288" s="1" t="s">
        <v>44</v>
      </c>
      <c r="G1288" s="1" t="s">
        <v>56</v>
      </c>
      <c r="H1288" s="1" t="s">
        <v>36</v>
      </c>
      <c r="I1288" s="1" t="s">
        <v>59</v>
      </c>
      <c r="J1288" s="7">
        <v>100308</v>
      </c>
      <c r="K1288" s="1">
        <v>499</v>
      </c>
      <c r="L1288" s="7">
        <v>37292</v>
      </c>
      <c r="M1288" s="1">
        <v>24</v>
      </c>
      <c r="N1288" s="6">
        <v>0.18809999999999999</v>
      </c>
      <c r="O1288" s="1" t="s">
        <v>41</v>
      </c>
      <c r="P1288" s="1" t="s">
        <v>30</v>
      </c>
      <c r="Q1288" s="1">
        <v>15</v>
      </c>
      <c r="R1288" s="1">
        <v>1</v>
      </c>
      <c r="S1288" s="1" t="s">
        <v>31</v>
      </c>
      <c r="T1288" s="1" t="s">
        <v>33</v>
      </c>
      <c r="U1288" s="1">
        <v>0</v>
      </c>
      <c r="V1288" s="1">
        <v>130656</v>
      </c>
      <c r="W1288" s="7">
        <v>857.54</v>
      </c>
      <c r="X1288" s="1">
        <v>0.54</v>
      </c>
      <c r="Y1288" s="4">
        <v>44584</v>
      </c>
      <c r="Z1288" s="1" t="s">
        <v>38</v>
      </c>
      <c r="AA1288" s="1" t="s">
        <v>31</v>
      </c>
      <c r="AB1288" s="36" t="str" cm="1">
        <f t="array" ref="AB1288">_xlfn.IFS(K1288&gt;650,"LOW",K1288&gt;=550,"MEDIUM",K1288&lt;550,"HIGH")</f>
        <v>HIGH</v>
      </c>
    </row>
    <row r="1289" spans="3:28" x14ac:dyDescent="0.3">
      <c r="C1289" s="35" t="s">
        <v>2522</v>
      </c>
      <c r="D1289" s="1" t="s">
        <v>552</v>
      </c>
      <c r="E1289" s="1">
        <v>31</v>
      </c>
      <c r="F1289" s="1" t="s">
        <v>44</v>
      </c>
      <c r="G1289" s="1" t="s">
        <v>56</v>
      </c>
      <c r="H1289" s="1" t="s">
        <v>54</v>
      </c>
      <c r="I1289" s="1" t="s">
        <v>59</v>
      </c>
      <c r="J1289" s="7">
        <v>142536</v>
      </c>
      <c r="K1289" s="1">
        <v>498</v>
      </c>
      <c r="L1289" s="7">
        <v>5295</v>
      </c>
      <c r="M1289" s="1">
        <v>48</v>
      </c>
      <c r="N1289" s="6">
        <v>0.1938</v>
      </c>
      <c r="O1289" s="1" t="s">
        <v>52</v>
      </c>
      <c r="P1289" s="1" t="s">
        <v>50</v>
      </c>
      <c r="Q1289" s="1">
        <v>20</v>
      </c>
      <c r="R1289" s="1">
        <v>0</v>
      </c>
      <c r="S1289" s="1" t="s">
        <v>33</v>
      </c>
      <c r="T1289" s="1" t="s">
        <v>31</v>
      </c>
      <c r="U1289" s="1">
        <v>3</v>
      </c>
      <c r="V1289" s="1">
        <v>121909</v>
      </c>
      <c r="W1289" s="7">
        <v>272.04000000000002</v>
      </c>
      <c r="X1289" s="1">
        <v>0.76</v>
      </c>
      <c r="Y1289" s="4">
        <v>44445</v>
      </c>
      <c r="Z1289" s="1" t="s">
        <v>38</v>
      </c>
      <c r="AA1289" s="1" t="s">
        <v>33</v>
      </c>
      <c r="AB1289" s="36" t="str" cm="1">
        <f t="array" ref="AB1289">_xlfn.IFS(K1289&gt;650,"LOW",K1289&gt;=550,"MEDIUM",K1289&lt;550,"HIGH")</f>
        <v>HIGH</v>
      </c>
    </row>
    <row r="1290" spans="3:28" x14ac:dyDescent="0.3">
      <c r="C1290" s="35" t="s">
        <v>2784</v>
      </c>
      <c r="D1290" s="1" t="s">
        <v>812</v>
      </c>
      <c r="E1290" s="1">
        <v>40</v>
      </c>
      <c r="F1290" s="1" t="s">
        <v>44</v>
      </c>
      <c r="G1290" s="1" t="s">
        <v>27</v>
      </c>
      <c r="H1290" s="1" t="s">
        <v>36</v>
      </c>
      <c r="I1290" s="1" t="s">
        <v>59</v>
      </c>
      <c r="J1290" s="7">
        <v>106184</v>
      </c>
      <c r="K1290" s="1">
        <v>498</v>
      </c>
      <c r="L1290" s="7">
        <v>33305</v>
      </c>
      <c r="M1290" s="1">
        <v>36</v>
      </c>
      <c r="N1290" s="6">
        <v>0.1668</v>
      </c>
      <c r="O1290" s="1" t="s">
        <v>5</v>
      </c>
      <c r="P1290" s="1" t="s">
        <v>50</v>
      </c>
      <c r="Q1290" s="1">
        <v>11</v>
      </c>
      <c r="R1290" s="1">
        <v>4</v>
      </c>
      <c r="S1290" s="1" t="s">
        <v>33</v>
      </c>
      <c r="T1290" s="1" t="s">
        <v>33</v>
      </c>
      <c r="U1290" s="1">
        <v>0</v>
      </c>
      <c r="V1290" s="1">
        <v>66696</v>
      </c>
      <c r="W1290" s="7">
        <v>362.94</v>
      </c>
      <c r="X1290" s="1">
        <v>0.37</v>
      </c>
      <c r="Y1290" s="4">
        <v>44255</v>
      </c>
      <c r="Z1290" s="1" t="s">
        <v>32</v>
      </c>
      <c r="AA1290" s="1" t="s">
        <v>33</v>
      </c>
      <c r="AB1290" s="36" t="str" cm="1">
        <f t="array" ref="AB1290">_xlfn.IFS(K1290&gt;650,"LOW",K1290&gt;=550,"MEDIUM",K1290&lt;550,"HIGH")</f>
        <v>HIGH</v>
      </c>
    </row>
    <row r="1291" spans="3:28" x14ac:dyDescent="0.3">
      <c r="C1291" s="35" t="s">
        <v>2178</v>
      </c>
      <c r="D1291" s="1" t="s">
        <v>209</v>
      </c>
      <c r="E1291" s="1">
        <v>48</v>
      </c>
      <c r="F1291" s="1" t="s">
        <v>26</v>
      </c>
      <c r="G1291" s="1" t="s">
        <v>35</v>
      </c>
      <c r="H1291" s="1" t="s">
        <v>36</v>
      </c>
      <c r="I1291" s="1" t="s">
        <v>40</v>
      </c>
      <c r="J1291" s="7">
        <v>57500</v>
      </c>
      <c r="K1291" s="1">
        <v>497</v>
      </c>
      <c r="L1291" s="7">
        <v>49053</v>
      </c>
      <c r="M1291" s="1">
        <v>24</v>
      </c>
      <c r="N1291" s="6">
        <v>6.5299999999999997E-2</v>
      </c>
      <c r="O1291" s="1" t="s">
        <v>5</v>
      </c>
      <c r="P1291" s="1" t="s">
        <v>50</v>
      </c>
      <c r="Q1291" s="1">
        <v>11</v>
      </c>
      <c r="R1291" s="1">
        <v>1</v>
      </c>
      <c r="S1291" s="1" t="s">
        <v>33</v>
      </c>
      <c r="T1291" s="1" t="s">
        <v>31</v>
      </c>
      <c r="U1291" s="1">
        <v>3</v>
      </c>
      <c r="V1291" s="1">
        <v>143893</v>
      </c>
      <c r="W1291" s="7">
        <v>1922.19</v>
      </c>
      <c r="X1291" s="1">
        <v>0.55000000000000004</v>
      </c>
      <c r="Y1291" s="4">
        <v>45470</v>
      </c>
      <c r="Z1291" s="1" t="s">
        <v>32</v>
      </c>
      <c r="AA1291" s="1" t="s">
        <v>33</v>
      </c>
      <c r="AB1291" s="36" t="str" cm="1">
        <f t="array" ref="AB1291">_xlfn.IFS(K1291&gt;650,"LOW",K1291&gt;=550,"MEDIUM",K1291&lt;550,"HIGH")</f>
        <v>HIGH</v>
      </c>
    </row>
    <row r="1292" spans="3:28" x14ac:dyDescent="0.3">
      <c r="C1292" s="35" t="s">
        <v>2841</v>
      </c>
      <c r="D1292" s="1" t="s">
        <v>869</v>
      </c>
      <c r="E1292" s="1">
        <v>34</v>
      </c>
      <c r="F1292" s="1" t="s">
        <v>44</v>
      </c>
      <c r="G1292" s="1" t="s">
        <v>56</v>
      </c>
      <c r="H1292" s="1" t="s">
        <v>28</v>
      </c>
      <c r="I1292" s="1" t="s">
        <v>59</v>
      </c>
      <c r="J1292" s="7">
        <v>33275</v>
      </c>
      <c r="K1292" s="1">
        <v>497</v>
      </c>
      <c r="L1292" s="7">
        <v>44350</v>
      </c>
      <c r="M1292" s="1">
        <v>48</v>
      </c>
      <c r="N1292" s="6">
        <v>0.18079999999999999</v>
      </c>
      <c r="O1292" s="1" t="s">
        <v>5</v>
      </c>
      <c r="P1292" s="1" t="s">
        <v>47</v>
      </c>
      <c r="Q1292" s="1">
        <v>24</v>
      </c>
      <c r="R1292" s="1">
        <v>0</v>
      </c>
      <c r="S1292" s="1" t="s">
        <v>31</v>
      </c>
      <c r="T1292" s="1" t="s">
        <v>31</v>
      </c>
      <c r="U1292" s="1">
        <v>4</v>
      </c>
      <c r="V1292" s="1">
        <v>58266</v>
      </c>
      <c r="W1292" s="7">
        <v>1739.55</v>
      </c>
      <c r="X1292" s="1">
        <v>0.56000000000000005</v>
      </c>
      <c r="Y1292" s="4">
        <v>45360</v>
      </c>
      <c r="Z1292" s="1" t="s">
        <v>32</v>
      </c>
      <c r="AA1292" s="1" t="s">
        <v>33</v>
      </c>
      <c r="AB1292" s="36" t="str" cm="1">
        <f t="array" ref="AB1292">_xlfn.IFS(K1292&gt;650,"LOW",K1292&gt;=550,"MEDIUM",K1292&lt;550,"HIGH")</f>
        <v>HIGH</v>
      </c>
    </row>
    <row r="1293" spans="3:28" x14ac:dyDescent="0.3">
      <c r="C1293" s="35" t="s">
        <v>3076</v>
      </c>
      <c r="D1293" s="1" t="s">
        <v>1102</v>
      </c>
      <c r="E1293" s="1">
        <v>46</v>
      </c>
      <c r="F1293" s="1" t="s">
        <v>26</v>
      </c>
      <c r="G1293" s="1" t="s">
        <v>45</v>
      </c>
      <c r="H1293" s="1" t="s">
        <v>28</v>
      </c>
      <c r="I1293" s="1" t="s">
        <v>29</v>
      </c>
      <c r="J1293" s="7">
        <v>39252</v>
      </c>
      <c r="K1293" s="1">
        <v>496</v>
      </c>
      <c r="L1293" s="7">
        <v>16290</v>
      </c>
      <c r="M1293" s="1">
        <v>48</v>
      </c>
      <c r="N1293" s="6">
        <v>8.9800000000000005E-2</v>
      </c>
      <c r="O1293" s="1" t="s">
        <v>46</v>
      </c>
      <c r="P1293" s="1" t="s">
        <v>50</v>
      </c>
      <c r="Q1293" s="1">
        <v>4</v>
      </c>
      <c r="R1293" s="1">
        <v>1</v>
      </c>
      <c r="S1293" s="1" t="s">
        <v>33</v>
      </c>
      <c r="T1293" s="1" t="s">
        <v>31</v>
      </c>
      <c r="U1293" s="1">
        <v>1</v>
      </c>
      <c r="V1293" s="1">
        <v>76960</v>
      </c>
      <c r="W1293" s="7">
        <v>1869.18</v>
      </c>
      <c r="X1293" s="1">
        <v>0.18</v>
      </c>
      <c r="Y1293" s="4">
        <v>45359</v>
      </c>
      <c r="Z1293" s="1" t="s">
        <v>32</v>
      </c>
      <c r="AA1293" s="1" t="s">
        <v>33</v>
      </c>
      <c r="AB1293" s="36" t="str" cm="1">
        <f t="array" ref="AB1293">_xlfn.IFS(K1293&gt;650,"LOW",K1293&gt;=550,"MEDIUM",K1293&lt;550,"HIGH")</f>
        <v>HIGH</v>
      </c>
    </row>
    <row r="1294" spans="3:28" x14ac:dyDescent="0.3">
      <c r="C1294" s="35" t="s">
        <v>3219</v>
      </c>
      <c r="D1294" s="1" t="s">
        <v>1243</v>
      </c>
      <c r="E1294" s="1">
        <v>30</v>
      </c>
      <c r="F1294" s="1" t="s">
        <v>44</v>
      </c>
      <c r="G1294" s="1" t="s">
        <v>27</v>
      </c>
      <c r="H1294" s="1" t="s">
        <v>54</v>
      </c>
      <c r="I1294" s="1" t="s">
        <v>40</v>
      </c>
      <c r="J1294" s="7">
        <v>101029</v>
      </c>
      <c r="K1294" s="1">
        <v>496</v>
      </c>
      <c r="L1294" s="7">
        <v>13823</v>
      </c>
      <c r="M1294" s="1">
        <v>12</v>
      </c>
      <c r="N1294" s="6">
        <v>0.17629999999999998</v>
      </c>
      <c r="O1294" s="1" t="s">
        <v>37</v>
      </c>
      <c r="P1294" s="1" t="s">
        <v>50</v>
      </c>
      <c r="Q1294" s="1">
        <v>15</v>
      </c>
      <c r="R1294" s="1">
        <v>4</v>
      </c>
      <c r="S1294" s="1" t="s">
        <v>31</v>
      </c>
      <c r="T1294" s="1" t="s">
        <v>33</v>
      </c>
      <c r="U1294" s="1">
        <v>3</v>
      </c>
      <c r="V1294" s="1">
        <v>114610</v>
      </c>
      <c r="W1294" s="7">
        <v>789.8</v>
      </c>
      <c r="X1294" s="1">
        <v>0.37</v>
      </c>
      <c r="Y1294" s="4">
        <v>44826</v>
      </c>
      <c r="Z1294" s="1" t="s">
        <v>38</v>
      </c>
      <c r="AA1294" s="1" t="s">
        <v>33</v>
      </c>
      <c r="AB1294" s="36" t="str" cm="1">
        <f t="array" ref="AB1294">_xlfn.IFS(K1294&gt;650,"LOW",K1294&gt;=550,"MEDIUM",K1294&lt;550,"HIGH")</f>
        <v>HIGH</v>
      </c>
    </row>
    <row r="1295" spans="3:28" x14ac:dyDescent="0.3">
      <c r="C1295" s="35" t="s">
        <v>3590</v>
      </c>
      <c r="D1295" s="1" t="s">
        <v>1604</v>
      </c>
      <c r="E1295" s="1">
        <v>59</v>
      </c>
      <c r="F1295" s="1" t="s">
        <v>44</v>
      </c>
      <c r="G1295" s="1" t="s">
        <v>27</v>
      </c>
      <c r="H1295" s="1" t="s">
        <v>61</v>
      </c>
      <c r="I1295" s="1" t="s">
        <v>57</v>
      </c>
      <c r="J1295" s="7">
        <v>131964</v>
      </c>
      <c r="K1295" s="1">
        <v>496</v>
      </c>
      <c r="L1295" s="7">
        <v>12588</v>
      </c>
      <c r="M1295" s="1">
        <v>36</v>
      </c>
      <c r="N1295" s="6">
        <v>0.1166</v>
      </c>
      <c r="O1295" s="1" t="s">
        <v>37</v>
      </c>
      <c r="P1295" s="1" t="s">
        <v>50</v>
      </c>
      <c r="Q1295" s="1">
        <v>7</v>
      </c>
      <c r="R1295" s="1">
        <v>0</v>
      </c>
      <c r="S1295" s="1" t="s">
        <v>31</v>
      </c>
      <c r="T1295" s="1" t="s">
        <v>31</v>
      </c>
      <c r="U1295" s="1">
        <v>1</v>
      </c>
      <c r="V1295" s="1">
        <v>116128</v>
      </c>
      <c r="W1295" s="7">
        <v>1847.58</v>
      </c>
      <c r="X1295" s="1">
        <v>0.56999999999999995</v>
      </c>
      <c r="Y1295" s="4">
        <v>44794</v>
      </c>
      <c r="Z1295" s="1" t="s">
        <v>32</v>
      </c>
      <c r="AA1295" s="1" t="s">
        <v>33</v>
      </c>
      <c r="AB1295" s="36" t="str" cm="1">
        <f t="array" ref="AB1295">_xlfn.IFS(K1295&gt;650,"LOW",K1295&gt;=550,"MEDIUM",K1295&lt;550,"HIGH")</f>
        <v>HIGH</v>
      </c>
    </row>
    <row r="1296" spans="3:28" x14ac:dyDescent="0.3">
      <c r="C1296" s="35" t="s">
        <v>2055</v>
      </c>
      <c r="D1296" s="1" t="s">
        <v>86</v>
      </c>
      <c r="E1296" s="1">
        <v>23</v>
      </c>
      <c r="F1296" s="1" t="s">
        <v>44</v>
      </c>
      <c r="G1296" s="1" t="s">
        <v>27</v>
      </c>
      <c r="H1296" s="1" t="s">
        <v>61</v>
      </c>
      <c r="I1296" s="1" t="s">
        <v>40</v>
      </c>
      <c r="J1296" s="7">
        <v>121190</v>
      </c>
      <c r="K1296" s="1">
        <v>495</v>
      </c>
      <c r="L1296" s="7">
        <v>25260</v>
      </c>
      <c r="M1296" s="1">
        <v>36</v>
      </c>
      <c r="N1296" s="6">
        <v>9.3599999999999989E-2</v>
      </c>
      <c r="O1296" s="1" t="s">
        <v>37</v>
      </c>
      <c r="P1296" s="1" t="s">
        <v>50</v>
      </c>
      <c r="Q1296" s="1">
        <v>19</v>
      </c>
      <c r="R1296" s="1">
        <v>4</v>
      </c>
      <c r="S1296" s="1" t="s">
        <v>31</v>
      </c>
      <c r="T1296" s="1" t="s">
        <v>33</v>
      </c>
      <c r="U1296" s="1">
        <v>0</v>
      </c>
      <c r="V1296" s="1">
        <v>72009</v>
      </c>
      <c r="W1296" s="7">
        <v>1524.46</v>
      </c>
      <c r="X1296" s="1">
        <v>0.84</v>
      </c>
      <c r="Y1296" s="4">
        <v>45252</v>
      </c>
      <c r="Z1296" s="1" t="s">
        <v>32</v>
      </c>
      <c r="AA1296" s="1" t="s">
        <v>33</v>
      </c>
      <c r="AB1296" s="36" t="str" cm="1">
        <f t="array" ref="AB1296">_xlfn.IFS(K1296&gt;650,"LOW",K1296&gt;=550,"MEDIUM",K1296&lt;550,"HIGH")</f>
        <v>HIGH</v>
      </c>
    </row>
    <row r="1297" spans="3:28" x14ac:dyDescent="0.3">
      <c r="C1297" s="35" t="s">
        <v>2584</v>
      </c>
      <c r="D1297" s="1" t="s">
        <v>614</v>
      </c>
      <c r="E1297" s="1">
        <v>63</v>
      </c>
      <c r="F1297" s="1" t="s">
        <v>44</v>
      </c>
      <c r="G1297" s="1" t="s">
        <v>27</v>
      </c>
      <c r="H1297" s="1" t="s">
        <v>28</v>
      </c>
      <c r="I1297" s="1" t="s">
        <v>59</v>
      </c>
      <c r="J1297" s="7">
        <v>50544</v>
      </c>
      <c r="K1297" s="1">
        <v>495</v>
      </c>
      <c r="L1297" s="7">
        <v>32749</v>
      </c>
      <c r="M1297" s="1">
        <v>12</v>
      </c>
      <c r="N1297" s="6">
        <v>9.9100000000000008E-2</v>
      </c>
      <c r="O1297" s="1" t="s">
        <v>41</v>
      </c>
      <c r="P1297" s="1" t="s">
        <v>47</v>
      </c>
      <c r="Q1297" s="1">
        <v>10</v>
      </c>
      <c r="R1297" s="1">
        <v>4</v>
      </c>
      <c r="S1297" s="1" t="s">
        <v>33</v>
      </c>
      <c r="T1297" s="1" t="s">
        <v>33</v>
      </c>
      <c r="U1297" s="1">
        <v>0</v>
      </c>
      <c r="V1297" s="1">
        <v>77338</v>
      </c>
      <c r="W1297" s="7">
        <v>1326.01</v>
      </c>
      <c r="X1297" s="1">
        <v>0.94</v>
      </c>
      <c r="Y1297" s="4">
        <v>45801</v>
      </c>
      <c r="Z1297" s="1" t="s">
        <v>32</v>
      </c>
      <c r="AA1297" s="1" t="s">
        <v>33</v>
      </c>
      <c r="AB1297" s="36" t="str" cm="1">
        <f t="array" ref="AB1297">_xlfn.IFS(K1297&gt;650,"LOW",K1297&gt;=550,"MEDIUM",K1297&lt;550,"HIGH")</f>
        <v>HIGH</v>
      </c>
    </row>
    <row r="1298" spans="3:28" x14ac:dyDescent="0.3">
      <c r="C1298" s="35" t="s">
        <v>3611</v>
      </c>
      <c r="D1298" s="1" t="s">
        <v>1624</v>
      </c>
      <c r="E1298" s="1">
        <v>35</v>
      </c>
      <c r="F1298" s="1" t="s">
        <v>44</v>
      </c>
      <c r="G1298" s="1" t="s">
        <v>27</v>
      </c>
      <c r="H1298" s="1" t="s">
        <v>54</v>
      </c>
      <c r="I1298" s="1" t="s">
        <v>57</v>
      </c>
      <c r="J1298" s="7">
        <v>83722</v>
      </c>
      <c r="K1298" s="1">
        <v>495</v>
      </c>
      <c r="L1298" s="7">
        <v>41087</v>
      </c>
      <c r="M1298" s="1">
        <v>36</v>
      </c>
      <c r="N1298" s="6">
        <v>0.158</v>
      </c>
      <c r="O1298" s="1" t="s">
        <v>37</v>
      </c>
      <c r="P1298" s="1" t="s">
        <v>50</v>
      </c>
      <c r="Q1298" s="1">
        <v>7</v>
      </c>
      <c r="R1298" s="1">
        <v>1</v>
      </c>
      <c r="S1298" s="1" t="s">
        <v>33</v>
      </c>
      <c r="T1298" s="1" t="s">
        <v>33</v>
      </c>
      <c r="U1298" s="1">
        <v>0</v>
      </c>
      <c r="V1298" s="1">
        <v>24288</v>
      </c>
      <c r="W1298" s="7">
        <v>725.76</v>
      </c>
      <c r="X1298" s="1">
        <v>0.88</v>
      </c>
      <c r="Y1298" s="4">
        <v>44868</v>
      </c>
      <c r="Z1298" s="1" t="s">
        <v>32</v>
      </c>
      <c r="AA1298" s="1" t="s">
        <v>33</v>
      </c>
      <c r="AB1298" s="36" t="str" cm="1">
        <f t="array" ref="AB1298">_xlfn.IFS(K1298&gt;650,"LOW",K1298&gt;=550,"MEDIUM",K1298&lt;550,"HIGH")</f>
        <v>HIGH</v>
      </c>
    </row>
    <row r="1299" spans="3:28" x14ac:dyDescent="0.3">
      <c r="C1299" s="35" t="s">
        <v>3676</v>
      </c>
      <c r="D1299" s="1" t="s">
        <v>1688</v>
      </c>
      <c r="E1299" s="1">
        <v>26</v>
      </c>
      <c r="F1299" s="1" t="s">
        <v>26</v>
      </c>
      <c r="G1299" s="1" t="s">
        <v>56</v>
      </c>
      <c r="H1299" s="1" t="s">
        <v>54</v>
      </c>
      <c r="I1299" s="1" t="s">
        <v>59</v>
      </c>
      <c r="J1299" s="7">
        <v>122364</v>
      </c>
      <c r="K1299" s="1">
        <v>495</v>
      </c>
      <c r="L1299" s="7">
        <v>36892</v>
      </c>
      <c r="M1299" s="1">
        <v>12</v>
      </c>
      <c r="N1299" s="6">
        <v>0.1321</v>
      </c>
      <c r="O1299" s="1" t="s">
        <v>46</v>
      </c>
      <c r="P1299" s="1" t="s">
        <v>30</v>
      </c>
      <c r="Q1299" s="1">
        <v>7</v>
      </c>
      <c r="R1299" s="1">
        <v>2</v>
      </c>
      <c r="S1299" s="1" t="s">
        <v>33</v>
      </c>
      <c r="T1299" s="1" t="s">
        <v>33</v>
      </c>
      <c r="U1299" s="1">
        <v>0</v>
      </c>
      <c r="V1299" s="1">
        <v>42942</v>
      </c>
      <c r="W1299" s="7">
        <v>848.92</v>
      </c>
      <c r="X1299" s="1">
        <v>0.16</v>
      </c>
      <c r="Y1299" s="4">
        <v>44552</v>
      </c>
      <c r="Z1299" s="1" t="s">
        <v>38</v>
      </c>
      <c r="AA1299" s="1" t="s">
        <v>33</v>
      </c>
      <c r="AB1299" s="36" t="str" cm="1">
        <f t="array" ref="AB1299">_xlfn.IFS(K1299&gt;650,"LOW",K1299&gt;=550,"MEDIUM",K1299&lt;550,"HIGH")</f>
        <v>HIGH</v>
      </c>
    </row>
    <row r="1300" spans="3:28" x14ac:dyDescent="0.3">
      <c r="C1300" s="35" t="s">
        <v>2957</v>
      </c>
      <c r="D1300" s="1" t="s">
        <v>985</v>
      </c>
      <c r="E1300" s="1">
        <v>22</v>
      </c>
      <c r="F1300" s="1" t="s">
        <v>44</v>
      </c>
      <c r="G1300" s="1" t="s">
        <v>56</v>
      </c>
      <c r="H1300" s="1" t="s">
        <v>54</v>
      </c>
      <c r="I1300" s="1" t="s">
        <v>57</v>
      </c>
      <c r="J1300" s="7">
        <v>144098</v>
      </c>
      <c r="K1300" s="1">
        <v>494</v>
      </c>
      <c r="L1300" s="7">
        <v>8273</v>
      </c>
      <c r="M1300" s="1">
        <v>48</v>
      </c>
      <c r="N1300" s="6">
        <v>0.19489999999999999</v>
      </c>
      <c r="O1300" s="1" t="s">
        <v>52</v>
      </c>
      <c r="P1300" s="1" t="s">
        <v>47</v>
      </c>
      <c r="Q1300" s="1">
        <v>4</v>
      </c>
      <c r="R1300" s="1">
        <v>1</v>
      </c>
      <c r="S1300" s="1" t="s">
        <v>31</v>
      </c>
      <c r="T1300" s="1" t="s">
        <v>31</v>
      </c>
      <c r="U1300" s="1">
        <v>4</v>
      </c>
      <c r="V1300" s="1">
        <v>116087</v>
      </c>
      <c r="W1300" s="7">
        <v>1319.72</v>
      </c>
      <c r="X1300" s="1">
        <v>0.17</v>
      </c>
      <c r="Y1300" s="4">
        <v>45540</v>
      </c>
      <c r="Z1300" s="1" t="s">
        <v>38</v>
      </c>
      <c r="AA1300" s="1" t="s">
        <v>33</v>
      </c>
      <c r="AB1300" s="36" t="str" cm="1">
        <f t="array" ref="AB1300">_xlfn.IFS(K1300&gt;650,"LOW",K1300&gt;=550,"MEDIUM",K1300&lt;550,"HIGH")</f>
        <v>HIGH</v>
      </c>
    </row>
    <row r="1301" spans="3:28" x14ac:dyDescent="0.3">
      <c r="C1301" s="35" t="s">
        <v>3275</v>
      </c>
      <c r="D1301" s="1" t="s">
        <v>1298</v>
      </c>
      <c r="E1301" s="1">
        <v>38</v>
      </c>
      <c r="F1301" s="1" t="s">
        <v>26</v>
      </c>
      <c r="G1301" s="1" t="s">
        <v>56</v>
      </c>
      <c r="H1301" s="1" t="s">
        <v>28</v>
      </c>
      <c r="I1301" s="1" t="s">
        <v>40</v>
      </c>
      <c r="J1301" s="7">
        <v>126833</v>
      </c>
      <c r="K1301" s="1">
        <v>494</v>
      </c>
      <c r="L1301" s="7">
        <v>9733</v>
      </c>
      <c r="M1301" s="1">
        <v>48</v>
      </c>
      <c r="N1301" s="6">
        <v>0.15720000000000001</v>
      </c>
      <c r="O1301" s="1" t="s">
        <v>46</v>
      </c>
      <c r="P1301" s="1" t="s">
        <v>47</v>
      </c>
      <c r="Q1301" s="1">
        <v>18</v>
      </c>
      <c r="R1301" s="1">
        <v>0</v>
      </c>
      <c r="S1301" s="1" t="s">
        <v>33</v>
      </c>
      <c r="T1301" s="1" t="s">
        <v>31</v>
      </c>
      <c r="U1301" s="1">
        <v>2</v>
      </c>
      <c r="V1301" s="1">
        <v>198332</v>
      </c>
      <c r="W1301" s="7">
        <v>280.89999999999998</v>
      </c>
      <c r="X1301" s="1">
        <v>0.96</v>
      </c>
      <c r="Y1301" s="4">
        <v>44339</v>
      </c>
      <c r="Z1301" s="1" t="s">
        <v>38</v>
      </c>
      <c r="AA1301" s="1" t="s">
        <v>33</v>
      </c>
      <c r="AB1301" s="36" t="str" cm="1">
        <f t="array" ref="AB1301">_xlfn.IFS(K1301&gt;650,"LOW",K1301&gt;=550,"MEDIUM",K1301&lt;550,"HIGH")</f>
        <v>HIGH</v>
      </c>
    </row>
    <row r="1302" spans="3:28" x14ac:dyDescent="0.3">
      <c r="C1302" s="35" t="s">
        <v>3518</v>
      </c>
      <c r="D1302" s="1" t="s">
        <v>1535</v>
      </c>
      <c r="E1302" s="1">
        <v>49</v>
      </c>
      <c r="F1302" s="1" t="s">
        <v>26</v>
      </c>
      <c r="G1302" s="1" t="s">
        <v>35</v>
      </c>
      <c r="H1302" s="1" t="s">
        <v>36</v>
      </c>
      <c r="I1302" s="1" t="s">
        <v>29</v>
      </c>
      <c r="J1302" s="7">
        <v>141211</v>
      </c>
      <c r="K1302" s="1">
        <v>494</v>
      </c>
      <c r="L1302" s="7">
        <v>32746</v>
      </c>
      <c r="M1302" s="1">
        <v>48</v>
      </c>
      <c r="N1302" s="6">
        <v>0.18</v>
      </c>
      <c r="O1302" s="1" t="s">
        <v>41</v>
      </c>
      <c r="P1302" s="1" t="s">
        <v>47</v>
      </c>
      <c r="Q1302" s="1">
        <v>29</v>
      </c>
      <c r="R1302" s="1">
        <v>4</v>
      </c>
      <c r="S1302" s="1" t="s">
        <v>33</v>
      </c>
      <c r="T1302" s="1" t="s">
        <v>33</v>
      </c>
      <c r="U1302" s="1">
        <v>4</v>
      </c>
      <c r="V1302" s="1">
        <v>68866</v>
      </c>
      <c r="W1302" s="7">
        <v>564.54</v>
      </c>
      <c r="X1302" s="1">
        <v>0.41</v>
      </c>
      <c r="Y1302" s="4">
        <v>44409</v>
      </c>
      <c r="Z1302" s="1" t="s">
        <v>38</v>
      </c>
      <c r="AA1302" s="1" t="s">
        <v>33</v>
      </c>
      <c r="AB1302" s="36" t="str" cm="1">
        <f t="array" ref="AB1302">_xlfn.IFS(K1302&gt;650,"LOW",K1302&gt;=550,"MEDIUM",K1302&lt;550,"HIGH")</f>
        <v>HIGH</v>
      </c>
    </row>
    <row r="1303" spans="3:28" x14ac:dyDescent="0.3">
      <c r="C1303" s="35" t="s">
        <v>2652</v>
      </c>
      <c r="D1303" s="1" t="s">
        <v>682</v>
      </c>
      <c r="E1303" s="1">
        <v>34</v>
      </c>
      <c r="F1303" s="1" t="s">
        <v>26</v>
      </c>
      <c r="G1303" s="1" t="s">
        <v>56</v>
      </c>
      <c r="H1303" s="1" t="s">
        <v>28</v>
      </c>
      <c r="I1303" s="1" t="s">
        <v>59</v>
      </c>
      <c r="J1303" s="7">
        <v>57420</v>
      </c>
      <c r="K1303" s="1">
        <v>493</v>
      </c>
      <c r="L1303" s="7">
        <v>28751</v>
      </c>
      <c r="M1303" s="1">
        <v>36</v>
      </c>
      <c r="N1303" s="6">
        <v>8.0799999999999997E-2</v>
      </c>
      <c r="O1303" s="1" t="s">
        <v>52</v>
      </c>
      <c r="P1303" s="1" t="s">
        <v>50</v>
      </c>
      <c r="Q1303" s="1">
        <v>9</v>
      </c>
      <c r="R1303" s="1">
        <v>4</v>
      </c>
      <c r="S1303" s="1" t="s">
        <v>31</v>
      </c>
      <c r="T1303" s="1" t="s">
        <v>31</v>
      </c>
      <c r="U1303" s="1">
        <v>1</v>
      </c>
      <c r="V1303" s="1">
        <v>20752</v>
      </c>
      <c r="W1303" s="7">
        <v>1717.15</v>
      </c>
      <c r="X1303" s="1">
        <v>0.23</v>
      </c>
      <c r="Y1303" s="4">
        <v>44932</v>
      </c>
      <c r="Z1303" s="1" t="s">
        <v>32</v>
      </c>
      <c r="AA1303" s="1" t="s">
        <v>31</v>
      </c>
      <c r="AB1303" s="36" t="str" cm="1">
        <f t="array" ref="AB1303">_xlfn.IFS(K1303&gt;650,"LOW",K1303&gt;=550,"MEDIUM",K1303&lt;550,"HIGH")</f>
        <v>HIGH</v>
      </c>
    </row>
    <row r="1304" spans="3:28" x14ac:dyDescent="0.3">
      <c r="C1304" s="35" t="s">
        <v>3607</v>
      </c>
      <c r="D1304" s="1" t="s">
        <v>1621</v>
      </c>
      <c r="E1304" s="1">
        <v>61</v>
      </c>
      <c r="F1304" s="1" t="s">
        <v>26</v>
      </c>
      <c r="G1304" s="1" t="s">
        <v>27</v>
      </c>
      <c r="H1304" s="1" t="s">
        <v>28</v>
      </c>
      <c r="I1304" s="1" t="s">
        <v>57</v>
      </c>
      <c r="J1304" s="7">
        <v>32178</v>
      </c>
      <c r="K1304" s="1">
        <v>493</v>
      </c>
      <c r="L1304" s="7">
        <v>18472</v>
      </c>
      <c r="M1304" s="1">
        <v>48</v>
      </c>
      <c r="N1304" s="6">
        <v>6.7000000000000004E-2</v>
      </c>
      <c r="O1304" s="1" t="s">
        <v>37</v>
      </c>
      <c r="P1304" s="1" t="s">
        <v>30</v>
      </c>
      <c r="Q1304" s="1">
        <v>21</v>
      </c>
      <c r="R1304" s="1">
        <v>2</v>
      </c>
      <c r="S1304" s="1" t="s">
        <v>31</v>
      </c>
      <c r="T1304" s="1" t="s">
        <v>31</v>
      </c>
      <c r="U1304" s="1">
        <v>3</v>
      </c>
      <c r="V1304" s="1">
        <v>66629</v>
      </c>
      <c r="W1304" s="7">
        <v>721.01</v>
      </c>
      <c r="X1304" s="1">
        <v>0.87</v>
      </c>
      <c r="Y1304" s="4">
        <v>44049</v>
      </c>
      <c r="Z1304" s="1" t="s">
        <v>32</v>
      </c>
      <c r="AA1304" s="1" t="s">
        <v>33</v>
      </c>
      <c r="AB1304" s="36" t="str" cm="1">
        <f t="array" ref="AB1304">_xlfn.IFS(K1304&gt;650,"LOW",K1304&gt;=550,"MEDIUM",K1304&lt;550,"HIGH")</f>
        <v>HIGH</v>
      </c>
    </row>
    <row r="1305" spans="3:28" x14ac:dyDescent="0.3">
      <c r="C1305" s="35" t="s">
        <v>2075</v>
      </c>
      <c r="D1305" s="1" t="s">
        <v>106</v>
      </c>
      <c r="E1305" s="1">
        <v>37</v>
      </c>
      <c r="F1305" s="1" t="s">
        <v>26</v>
      </c>
      <c r="G1305" s="1" t="s">
        <v>27</v>
      </c>
      <c r="H1305" s="1" t="s">
        <v>36</v>
      </c>
      <c r="I1305" s="1" t="s">
        <v>59</v>
      </c>
      <c r="J1305" s="7">
        <v>128984</v>
      </c>
      <c r="K1305" s="1">
        <v>492</v>
      </c>
      <c r="L1305" s="7">
        <v>45440</v>
      </c>
      <c r="M1305" s="1">
        <v>12</v>
      </c>
      <c r="N1305" s="6">
        <v>0.18510000000000001</v>
      </c>
      <c r="O1305" s="1" t="s">
        <v>52</v>
      </c>
      <c r="P1305" s="1" t="s">
        <v>47</v>
      </c>
      <c r="Q1305" s="1">
        <v>10</v>
      </c>
      <c r="R1305" s="1">
        <v>1</v>
      </c>
      <c r="S1305" s="1" t="s">
        <v>31</v>
      </c>
      <c r="T1305" s="1" t="s">
        <v>33</v>
      </c>
      <c r="U1305" s="1">
        <v>1</v>
      </c>
      <c r="V1305" s="1">
        <v>151382</v>
      </c>
      <c r="W1305" s="7">
        <v>1288.3900000000001</v>
      </c>
      <c r="X1305" s="1">
        <v>0.98</v>
      </c>
      <c r="Y1305" s="4">
        <v>45305</v>
      </c>
      <c r="Z1305" s="1" t="s">
        <v>38</v>
      </c>
      <c r="AA1305" s="1" t="s">
        <v>33</v>
      </c>
      <c r="AB1305" s="36" t="str" cm="1">
        <f t="array" ref="AB1305">_xlfn.IFS(K1305&gt;650,"LOW",K1305&gt;=550,"MEDIUM",K1305&lt;550,"HIGH")</f>
        <v>HIGH</v>
      </c>
    </row>
    <row r="1306" spans="3:28" x14ac:dyDescent="0.3">
      <c r="C1306" s="35" t="s">
        <v>2158</v>
      </c>
      <c r="D1306" s="1" t="s">
        <v>189</v>
      </c>
      <c r="E1306" s="1">
        <v>52</v>
      </c>
      <c r="F1306" s="1" t="s">
        <v>44</v>
      </c>
      <c r="G1306" s="1" t="s">
        <v>45</v>
      </c>
      <c r="H1306" s="1" t="s">
        <v>61</v>
      </c>
      <c r="I1306" s="1" t="s">
        <v>40</v>
      </c>
      <c r="J1306" s="7">
        <v>66505</v>
      </c>
      <c r="K1306" s="1">
        <v>492</v>
      </c>
      <c r="L1306" s="7">
        <v>25036</v>
      </c>
      <c r="M1306" s="1">
        <v>24</v>
      </c>
      <c r="N1306" s="6">
        <v>0.12609999999999999</v>
      </c>
      <c r="O1306" s="1" t="s">
        <v>41</v>
      </c>
      <c r="P1306" s="1" t="s">
        <v>50</v>
      </c>
      <c r="Q1306" s="1">
        <v>11</v>
      </c>
      <c r="R1306" s="1">
        <v>0</v>
      </c>
      <c r="S1306" s="1" t="s">
        <v>33</v>
      </c>
      <c r="T1306" s="1" t="s">
        <v>31</v>
      </c>
      <c r="U1306" s="1">
        <v>4</v>
      </c>
      <c r="V1306" s="1">
        <v>117458</v>
      </c>
      <c r="W1306" s="7">
        <v>893.76</v>
      </c>
      <c r="X1306" s="1">
        <v>0.13</v>
      </c>
      <c r="Y1306" s="4">
        <v>44100</v>
      </c>
      <c r="Z1306" s="1" t="s">
        <v>32</v>
      </c>
      <c r="AA1306" s="1" t="s">
        <v>33</v>
      </c>
      <c r="AB1306" s="36" t="str" cm="1">
        <f t="array" ref="AB1306">_xlfn.IFS(K1306&gt;650,"LOW",K1306&gt;=550,"MEDIUM",K1306&lt;550,"HIGH")</f>
        <v>HIGH</v>
      </c>
    </row>
    <row r="1307" spans="3:28" x14ac:dyDescent="0.3">
      <c r="C1307" s="35" t="s">
        <v>2267</v>
      </c>
      <c r="D1307" s="1" t="s">
        <v>298</v>
      </c>
      <c r="E1307" s="1">
        <v>51</v>
      </c>
      <c r="F1307" s="1" t="s">
        <v>44</v>
      </c>
      <c r="G1307" s="1" t="s">
        <v>27</v>
      </c>
      <c r="H1307" s="1" t="s">
        <v>36</v>
      </c>
      <c r="I1307" s="1" t="s">
        <v>40</v>
      </c>
      <c r="J1307" s="7">
        <v>108719</v>
      </c>
      <c r="K1307" s="1">
        <v>491</v>
      </c>
      <c r="L1307" s="7">
        <v>24402</v>
      </c>
      <c r="M1307" s="1">
        <v>12</v>
      </c>
      <c r="N1307" s="6">
        <v>9.2200000000000004E-2</v>
      </c>
      <c r="O1307" s="1" t="s">
        <v>5</v>
      </c>
      <c r="P1307" s="1" t="s">
        <v>50</v>
      </c>
      <c r="Q1307" s="1">
        <v>8</v>
      </c>
      <c r="R1307" s="1">
        <v>0</v>
      </c>
      <c r="S1307" s="1" t="s">
        <v>31</v>
      </c>
      <c r="T1307" s="1" t="s">
        <v>33</v>
      </c>
      <c r="U1307" s="1">
        <v>3</v>
      </c>
      <c r="V1307" s="1">
        <v>180664</v>
      </c>
      <c r="W1307" s="7">
        <v>592.30999999999995</v>
      </c>
      <c r="X1307" s="1">
        <v>0.76</v>
      </c>
      <c r="Y1307" s="4">
        <v>45616</v>
      </c>
      <c r="Z1307" s="1" t="s">
        <v>38</v>
      </c>
      <c r="AA1307" s="1" t="s">
        <v>31</v>
      </c>
      <c r="AB1307" s="36" t="str" cm="1">
        <f t="array" ref="AB1307">_xlfn.IFS(K1307&gt;650,"LOW",K1307&gt;=550,"MEDIUM",K1307&lt;550,"HIGH")</f>
        <v>HIGH</v>
      </c>
    </row>
    <row r="1308" spans="3:28" x14ac:dyDescent="0.3">
      <c r="C1308" s="35" t="s">
        <v>2651</v>
      </c>
      <c r="D1308" s="1" t="s">
        <v>681</v>
      </c>
      <c r="E1308" s="1">
        <v>61</v>
      </c>
      <c r="F1308" s="1" t="s">
        <v>44</v>
      </c>
      <c r="G1308" s="1" t="s">
        <v>45</v>
      </c>
      <c r="H1308" s="1" t="s">
        <v>61</v>
      </c>
      <c r="I1308" s="1" t="s">
        <v>59</v>
      </c>
      <c r="J1308" s="7">
        <v>111038</v>
      </c>
      <c r="K1308" s="1">
        <v>491</v>
      </c>
      <c r="L1308" s="7">
        <v>15551</v>
      </c>
      <c r="M1308" s="1">
        <v>12</v>
      </c>
      <c r="N1308" s="6">
        <v>8.9499999999999996E-2</v>
      </c>
      <c r="O1308" s="1" t="s">
        <v>41</v>
      </c>
      <c r="P1308" s="1" t="s">
        <v>50</v>
      </c>
      <c r="Q1308" s="1">
        <v>25</v>
      </c>
      <c r="R1308" s="1">
        <v>4</v>
      </c>
      <c r="S1308" s="1" t="s">
        <v>33</v>
      </c>
      <c r="T1308" s="1" t="s">
        <v>33</v>
      </c>
      <c r="U1308" s="1">
        <v>2</v>
      </c>
      <c r="V1308" s="1">
        <v>137335</v>
      </c>
      <c r="W1308" s="7">
        <v>865.46</v>
      </c>
      <c r="X1308" s="1">
        <v>0.81</v>
      </c>
      <c r="Y1308" s="4">
        <v>44214</v>
      </c>
      <c r="Z1308" s="1" t="s">
        <v>38</v>
      </c>
      <c r="AA1308" s="1" t="s">
        <v>33</v>
      </c>
      <c r="AB1308" s="36" t="str" cm="1">
        <f t="array" ref="AB1308">_xlfn.IFS(K1308&gt;650,"LOW",K1308&gt;=550,"MEDIUM",K1308&lt;550,"HIGH")</f>
        <v>HIGH</v>
      </c>
    </row>
    <row r="1309" spans="3:28" x14ac:dyDescent="0.3">
      <c r="C1309" s="35" t="s">
        <v>2730</v>
      </c>
      <c r="D1309" s="1" t="s">
        <v>760</v>
      </c>
      <c r="E1309" s="1">
        <v>34</v>
      </c>
      <c r="F1309" s="1" t="s">
        <v>44</v>
      </c>
      <c r="G1309" s="1" t="s">
        <v>35</v>
      </c>
      <c r="H1309" s="1" t="s">
        <v>36</v>
      </c>
      <c r="I1309" s="1" t="s">
        <v>40</v>
      </c>
      <c r="J1309" s="7">
        <v>120336</v>
      </c>
      <c r="K1309" s="1">
        <v>491</v>
      </c>
      <c r="L1309" s="7">
        <v>12596</v>
      </c>
      <c r="M1309" s="1">
        <v>48</v>
      </c>
      <c r="N1309" s="6">
        <v>0.16109999999999999</v>
      </c>
      <c r="O1309" s="1" t="s">
        <v>46</v>
      </c>
      <c r="P1309" s="1" t="s">
        <v>47</v>
      </c>
      <c r="Q1309" s="1">
        <v>24</v>
      </c>
      <c r="R1309" s="1">
        <v>3</v>
      </c>
      <c r="S1309" s="1" t="s">
        <v>31</v>
      </c>
      <c r="T1309" s="1" t="s">
        <v>33</v>
      </c>
      <c r="U1309" s="1">
        <v>0</v>
      </c>
      <c r="V1309" s="1">
        <v>199100</v>
      </c>
      <c r="W1309" s="7">
        <v>1237.8699999999999</v>
      </c>
      <c r="X1309" s="1">
        <v>0.71</v>
      </c>
      <c r="Y1309" s="4">
        <v>44193</v>
      </c>
      <c r="Z1309" s="1" t="s">
        <v>32</v>
      </c>
      <c r="AA1309" s="1" t="s">
        <v>33</v>
      </c>
      <c r="AB1309" s="36" t="str" cm="1">
        <f t="array" ref="AB1309">_xlfn.IFS(K1309&gt;650,"LOW",K1309&gt;=550,"MEDIUM",K1309&lt;550,"HIGH")</f>
        <v>HIGH</v>
      </c>
    </row>
    <row r="1310" spans="3:28" x14ac:dyDescent="0.3">
      <c r="C1310" s="35" t="s">
        <v>3156</v>
      </c>
      <c r="D1310" s="1" t="s">
        <v>1180</v>
      </c>
      <c r="E1310" s="1">
        <v>52</v>
      </c>
      <c r="F1310" s="1" t="s">
        <v>44</v>
      </c>
      <c r="G1310" s="1" t="s">
        <v>56</v>
      </c>
      <c r="H1310" s="1" t="s">
        <v>36</v>
      </c>
      <c r="I1310" s="1" t="s">
        <v>57</v>
      </c>
      <c r="J1310" s="7">
        <v>129331</v>
      </c>
      <c r="K1310" s="1">
        <v>491</v>
      </c>
      <c r="L1310" s="7">
        <v>47099</v>
      </c>
      <c r="M1310" s="1">
        <v>12</v>
      </c>
      <c r="N1310" s="6">
        <v>0.18359999999999999</v>
      </c>
      <c r="O1310" s="1" t="s">
        <v>52</v>
      </c>
      <c r="P1310" s="1" t="s">
        <v>30</v>
      </c>
      <c r="Q1310" s="1">
        <v>1</v>
      </c>
      <c r="R1310" s="1">
        <v>3</v>
      </c>
      <c r="S1310" s="1" t="s">
        <v>33</v>
      </c>
      <c r="T1310" s="1" t="s">
        <v>33</v>
      </c>
      <c r="U1310" s="1">
        <v>3</v>
      </c>
      <c r="V1310" s="1">
        <v>49874</v>
      </c>
      <c r="W1310" s="7">
        <v>1373.94</v>
      </c>
      <c r="X1310" s="1">
        <v>0.8</v>
      </c>
      <c r="Y1310" s="4">
        <v>44277</v>
      </c>
      <c r="Z1310" s="1" t="s">
        <v>38</v>
      </c>
      <c r="AA1310" s="1" t="s">
        <v>33</v>
      </c>
      <c r="AB1310" s="36" t="str" cm="1">
        <f t="array" ref="AB1310">_xlfn.IFS(K1310&gt;650,"LOW",K1310&gt;=550,"MEDIUM",K1310&lt;550,"HIGH")</f>
        <v>HIGH</v>
      </c>
    </row>
    <row r="1311" spans="3:28" x14ac:dyDescent="0.3">
      <c r="C1311" s="35" t="s">
        <v>3658</v>
      </c>
      <c r="D1311" s="1" t="s">
        <v>1670</v>
      </c>
      <c r="E1311" s="1">
        <v>49</v>
      </c>
      <c r="F1311" s="1" t="s">
        <v>44</v>
      </c>
      <c r="G1311" s="1" t="s">
        <v>45</v>
      </c>
      <c r="H1311" s="1" t="s">
        <v>61</v>
      </c>
      <c r="I1311" s="1" t="s">
        <v>59</v>
      </c>
      <c r="J1311" s="7">
        <v>21831</v>
      </c>
      <c r="K1311" s="1">
        <v>491</v>
      </c>
      <c r="L1311" s="7">
        <v>21561</v>
      </c>
      <c r="M1311" s="1">
        <v>48</v>
      </c>
      <c r="N1311" s="6">
        <v>0.16200000000000001</v>
      </c>
      <c r="O1311" s="1" t="s">
        <v>63</v>
      </c>
      <c r="P1311" s="1" t="s">
        <v>30</v>
      </c>
      <c r="Q1311" s="1">
        <v>19</v>
      </c>
      <c r="R1311" s="1">
        <v>1</v>
      </c>
      <c r="S1311" s="1" t="s">
        <v>33</v>
      </c>
      <c r="T1311" s="1" t="s">
        <v>33</v>
      </c>
      <c r="U1311" s="1">
        <v>0</v>
      </c>
      <c r="V1311" s="1">
        <v>63561</v>
      </c>
      <c r="W1311" s="7">
        <v>1317.24</v>
      </c>
      <c r="X1311" s="1">
        <v>0.39</v>
      </c>
      <c r="Y1311" s="4">
        <v>45528</v>
      </c>
      <c r="Z1311" s="1" t="s">
        <v>38</v>
      </c>
      <c r="AA1311" s="1" t="s">
        <v>31</v>
      </c>
      <c r="AB1311" s="36" t="str" cm="1">
        <f t="array" ref="AB1311">_xlfn.IFS(K1311&gt;650,"LOW",K1311&gt;=550,"MEDIUM",K1311&lt;550,"HIGH")</f>
        <v>HIGH</v>
      </c>
    </row>
    <row r="1312" spans="3:28" x14ac:dyDescent="0.3">
      <c r="C1312" s="35" t="s">
        <v>4009</v>
      </c>
      <c r="D1312" s="1" t="s">
        <v>2009</v>
      </c>
      <c r="E1312" s="1">
        <v>54</v>
      </c>
      <c r="F1312" s="1" t="s">
        <v>44</v>
      </c>
      <c r="G1312" s="1" t="s">
        <v>56</v>
      </c>
      <c r="H1312" s="1" t="s">
        <v>61</v>
      </c>
      <c r="I1312" s="1" t="s">
        <v>59</v>
      </c>
      <c r="J1312" s="7">
        <v>68367</v>
      </c>
      <c r="K1312" s="1">
        <v>491</v>
      </c>
      <c r="L1312" s="7">
        <v>5606</v>
      </c>
      <c r="M1312" s="1">
        <v>48</v>
      </c>
      <c r="N1312" s="6">
        <v>0.13339999999999999</v>
      </c>
      <c r="O1312" s="1" t="s">
        <v>46</v>
      </c>
      <c r="P1312" s="1" t="s">
        <v>47</v>
      </c>
      <c r="Q1312" s="1">
        <v>6</v>
      </c>
      <c r="R1312" s="1">
        <v>1</v>
      </c>
      <c r="S1312" s="1" t="s">
        <v>33</v>
      </c>
      <c r="T1312" s="1" t="s">
        <v>31</v>
      </c>
      <c r="U1312" s="1">
        <v>2</v>
      </c>
      <c r="V1312" s="1">
        <v>46996</v>
      </c>
      <c r="W1312" s="7">
        <v>1151.29</v>
      </c>
      <c r="X1312" s="1">
        <v>0.94</v>
      </c>
      <c r="Y1312" s="4">
        <v>45541</v>
      </c>
      <c r="Z1312" s="1" t="s">
        <v>38</v>
      </c>
      <c r="AA1312" s="1" t="s">
        <v>33</v>
      </c>
      <c r="AB1312" s="36" t="str" cm="1">
        <f t="array" ref="AB1312">_xlfn.IFS(K1312&gt;650,"LOW",K1312&gt;=550,"MEDIUM",K1312&lt;550,"HIGH")</f>
        <v>HIGH</v>
      </c>
    </row>
    <row r="1313" spans="3:28" x14ac:dyDescent="0.3">
      <c r="C1313" s="35" t="s">
        <v>2297</v>
      </c>
      <c r="D1313" s="1" t="s">
        <v>328</v>
      </c>
      <c r="E1313" s="1">
        <v>45</v>
      </c>
      <c r="F1313" s="1" t="s">
        <v>44</v>
      </c>
      <c r="G1313" s="1" t="s">
        <v>27</v>
      </c>
      <c r="H1313" s="1" t="s">
        <v>36</v>
      </c>
      <c r="I1313" s="1" t="s">
        <v>40</v>
      </c>
      <c r="J1313" s="7">
        <v>146150</v>
      </c>
      <c r="K1313" s="1">
        <v>490</v>
      </c>
      <c r="L1313" s="7">
        <v>2502</v>
      </c>
      <c r="M1313" s="1">
        <v>24</v>
      </c>
      <c r="N1313" s="6">
        <v>0.1308</v>
      </c>
      <c r="O1313" s="1" t="s">
        <v>37</v>
      </c>
      <c r="P1313" s="1" t="s">
        <v>50</v>
      </c>
      <c r="Q1313" s="1">
        <v>2</v>
      </c>
      <c r="R1313" s="1">
        <v>2</v>
      </c>
      <c r="S1313" s="1" t="s">
        <v>33</v>
      </c>
      <c r="T1313" s="1" t="s">
        <v>33</v>
      </c>
      <c r="U1313" s="1">
        <v>1</v>
      </c>
      <c r="V1313" s="1">
        <v>140324</v>
      </c>
      <c r="W1313" s="7">
        <v>464.87</v>
      </c>
      <c r="X1313" s="1">
        <v>0.97</v>
      </c>
      <c r="Y1313" s="4">
        <v>45048</v>
      </c>
      <c r="Z1313" s="1" t="s">
        <v>38</v>
      </c>
      <c r="AA1313" s="1" t="s">
        <v>33</v>
      </c>
      <c r="AB1313" s="36" t="str" cm="1">
        <f t="array" ref="AB1313">_xlfn.IFS(K1313&gt;650,"LOW",K1313&gt;=550,"MEDIUM",K1313&lt;550,"HIGH")</f>
        <v>HIGH</v>
      </c>
    </row>
    <row r="1314" spans="3:28" x14ac:dyDescent="0.3">
      <c r="C1314" s="35" t="s">
        <v>2580</v>
      </c>
      <c r="D1314" s="1" t="s">
        <v>610</v>
      </c>
      <c r="E1314" s="1">
        <v>25</v>
      </c>
      <c r="F1314" s="1" t="s">
        <v>44</v>
      </c>
      <c r="G1314" s="1" t="s">
        <v>45</v>
      </c>
      <c r="H1314" s="1" t="s">
        <v>36</v>
      </c>
      <c r="I1314" s="1" t="s">
        <v>29</v>
      </c>
      <c r="J1314" s="7">
        <v>103049</v>
      </c>
      <c r="K1314" s="1">
        <v>490</v>
      </c>
      <c r="L1314" s="7">
        <v>16701</v>
      </c>
      <c r="M1314" s="1">
        <v>60</v>
      </c>
      <c r="N1314" s="6">
        <v>0.16269999999999998</v>
      </c>
      <c r="O1314" s="1" t="s">
        <v>52</v>
      </c>
      <c r="P1314" s="1" t="s">
        <v>47</v>
      </c>
      <c r="Q1314" s="1">
        <v>10</v>
      </c>
      <c r="R1314" s="1">
        <v>4</v>
      </c>
      <c r="S1314" s="1" t="s">
        <v>33</v>
      </c>
      <c r="T1314" s="1" t="s">
        <v>33</v>
      </c>
      <c r="U1314" s="1">
        <v>4</v>
      </c>
      <c r="V1314" s="1">
        <v>127247</v>
      </c>
      <c r="W1314" s="7">
        <v>1433.74</v>
      </c>
      <c r="X1314" s="1">
        <v>0.91</v>
      </c>
      <c r="Y1314" s="4">
        <v>44058</v>
      </c>
      <c r="Z1314" s="1" t="s">
        <v>38</v>
      </c>
      <c r="AA1314" s="1" t="s">
        <v>33</v>
      </c>
      <c r="AB1314" s="36" t="str" cm="1">
        <f t="array" ref="AB1314">_xlfn.IFS(K1314&gt;650,"LOW",K1314&gt;=550,"MEDIUM",K1314&lt;550,"HIGH")</f>
        <v>HIGH</v>
      </c>
    </row>
    <row r="1315" spans="3:28" x14ac:dyDescent="0.3">
      <c r="C1315" s="35" t="s">
        <v>3421</v>
      </c>
      <c r="D1315" s="1" t="s">
        <v>1441</v>
      </c>
      <c r="E1315" s="1">
        <v>24</v>
      </c>
      <c r="F1315" s="1" t="s">
        <v>26</v>
      </c>
      <c r="G1315" s="1" t="s">
        <v>56</v>
      </c>
      <c r="H1315" s="1" t="s">
        <v>36</v>
      </c>
      <c r="I1315" s="1" t="s">
        <v>57</v>
      </c>
      <c r="J1315" s="7">
        <v>58231</v>
      </c>
      <c r="K1315" s="1">
        <v>490</v>
      </c>
      <c r="L1315" s="7">
        <v>39745</v>
      </c>
      <c r="M1315" s="1">
        <v>36</v>
      </c>
      <c r="N1315" s="6">
        <v>0.1084</v>
      </c>
      <c r="O1315" s="1" t="s">
        <v>37</v>
      </c>
      <c r="P1315" s="1" t="s">
        <v>50</v>
      </c>
      <c r="Q1315" s="1">
        <v>16</v>
      </c>
      <c r="R1315" s="1">
        <v>4</v>
      </c>
      <c r="S1315" s="1" t="s">
        <v>31</v>
      </c>
      <c r="T1315" s="1" t="s">
        <v>33</v>
      </c>
      <c r="U1315" s="1">
        <v>2</v>
      </c>
      <c r="V1315" s="1">
        <v>62907</v>
      </c>
      <c r="W1315" s="7">
        <v>957.52</v>
      </c>
      <c r="X1315" s="1">
        <v>0.24</v>
      </c>
      <c r="Y1315" s="4">
        <v>45600</v>
      </c>
      <c r="Z1315" s="1" t="s">
        <v>32</v>
      </c>
      <c r="AA1315" s="1" t="s">
        <v>33</v>
      </c>
      <c r="AB1315" s="36" t="str" cm="1">
        <f t="array" ref="AB1315">_xlfn.IFS(K1315&gt;650,"LOW",K1315&gt;=550,"MEDIUM",K1315&lt;550,"HIGH")</f>
        <v>HIGH</v>
      </c>
    </row>
    <row r="1316" spans="3:28" x14ac:dyDescent="0.3">
      <c r="C1316" s="35" t="s">
        <v>3600</v>
      </c>
      <c r="D1316" s="1" t="s">
        <v>1614</v>
      </c>
      <c r="E1316" s="1">
        <v>44</v>
      </c>
      <c r="F1316" s="1" t="s">
        <v>26</v>
      </c>
      <c r="G1316" s="1" t="s">
        <v>35</v>
      </c>
      <c r="H1316" s="1" t="s">
        <v>28</v>
      </c>
      <c r="I1316" s="1" t="s">
        <v>59</v>
      </c>
      <c r="J1316" s="7">
        <v>71040</v>
      </c>
      <c r="K1316" s="1">
        <v>490</v>
      </c>
      <c r="L1316" s="7">
        <v>47309</v>
      </c>
      <c r="M1316" s="1">
        <v>12</v>
      </c>
      <c r="N1316" s="6">
        <v>0.14710000000000001</v>
      </c>
      <c r="O1316" s="1" t="s">
        <v>41</v>
      </c>
      <c r="P1316" s="1" t="s">
        <v>47</v>
      </c>
      <c r="Q1316" s="1">
        <v>19</v>
      </c>
      <c r="R1316" s="1">
        <v>3</v>
      </c>
      <c r="S1316" s="1" t="s">
        <v>33</v>
      </c>
      <c r="T1316" s="1" t="s">
        <v>31</v>
      </c>
      <c r="U1316" s="1">
        <v>1</v>
      </c>
      <c r="V1316" s="1">
        <v>98684</v>
      </c>
      <c r="W1316" s="7">
        <v>958.57</v>
      </c>
      <c r="X1316" s="1">
        <v>0.99</v>
      </c>
      <c r="Y1316" s="4">
        <v>44811</v>
      </c>
      <c r="Z1316" s="1" t="s">
        <v>32</v>
      </c>
      <c r="AA1316" s="1" t="s">
        <v>31</v>
      </c>
      <c r="AB1316" s="36" t="str" cm="1">
        <f t="array" ref="AB1316">_xlfn.IFS(K1316&gt;650,"LOW",K1316&gt;=550,"MEDIUM",K1316&lt;550,"HIGH")</f>
        <v>HIGH</v>
      </c>
    </row>
    <row r="1317" spans="3:28" x14ac:dyDescent="0.3">
      <c r="C1317" s="35" t="s">
        <v>3770</v>
      </c>
      <c r="D1317" s="1" t="s">
        <v>1777</v>
      </c>
      <c r="E1317" s="1">
        <v>46</v>
      </c>
      <c r="F1317" s="1" t="s">
        <v>44</v>
      </c>
      <c r="G1317" s="1" t="s">
        <v>56</v>
      </c>
      <c r="H1317" s="1" t="s">
        <v>28</v>
      </c>
      <c r="I1317" s="1" t="s">
        <v>40</v>
      </c>
      <c r="J1317" s="7">
        <v>111228</v>
      </c>
      <c r="K1317" s="1">
        <v>490</v>
      </c>
      <c r="L1317" s="7">
        <v>3837</v>
      </c>
      <c r="M1317" s="1">
        <v>24</v>
      </c>
      <c r="N1317" s="6">
        <v>8.9499999999999996E-2</v>
      </c>
      <c r="O1317" s="1" t="s">
        <v>63</v>
      </c>
      <c r="P1317" s="1" t="s">
        <v>50</v>
      </c>
      <c r="Q1317" s="1">
        <v>11</v>
      </c>
      <c r="R1317" s="1">
        <v>0</v>
      </c>
      <c r="S1317" s="1" t="s">
        <v>31</v>
      </c>
      <c r="T1317" s="1" t="s">
        <v>31</v>
      </c>
      <c r="U1317" s="1">
        <v>1</v>
      </c>
      <c r="V1317" s="1">
        <v>68712</v>
      </c>
      <c r="W1317" s="7">
        <v>1168.47</v>
      </c>
      <c r="X1317" s="1">
        <v>0.96</v>
      </c>
      <c r="Y1317" s="4">
        <v>45014</v>
      </c>
      <c r="Z1317" s="1" t="s">
        <v>32</v>
      </c>
      <c r="AA1317" s="1" t="s">
        <v>33</v>
      </c>
      <c r="AB1317" s="36" t="str" cm="1">
        <f t="array" ref="AB1317">_xlfn.IFS(K1317&gt;650,"LOW",K1317&gt;=550,"MEDIUM",K1317&lt;550,"HIGH")</f>
        <v>HIGH</v>
      </c>
    </row>
    <row r="1318" spans="3:28" x14ac:dyDescent="0.3">
      <c r="C1318" s="35" t="s">
        <v>3568</v>
      </c>
      <c r="D1318" s="1" t="s">
        <v>1585</v>
      </c>
      <c r="E1318" s="1">
        <v>56</v>
      </c>
      <c r="F1318" s="1" t="s">
        <v>26</v>
      </c>
      <c r="G1318" s="1" t="s">
        <v>35</v>
      </c>
      <c r="H1318" s="1" t="s">
        <v>54</v>
      </c>
      <c r="I1318" s="1" t="s">
        <v>59</v>
      </c>
      <c r="J1318" s="7">
        <v>25141</v>
      </c>
      <c r="K1318" s="1">
        <v>489</v>
      </c>
      <c r="L1318" s="7">
        <v>47170</v>
      </c>
      <c r="M1318" s="1">
        <v>36</v>
      </c>
      <c r="N1318" s="6">
        <v>0.16870000000000002</v>
      </c>
      <c r="O1318" s="1" t="s">
        <v>5</v>
      </c>
      <c r="P1318" s="1" t="s">
        <v>30</v>
      </c>
      <c r="Q1318" s="1">
        <v>24</v>
      </c>
      <c r="R1318" s="1">
        <v>3</v>
      </c>
      <c r="S1318" s="1" t="s">
        <v>33</v>
      </c>
      <c r="T1318" s="1" t="s">
        <v>33</v>
      </c>
      <c r="U1318" s="1">
        <v>2</v>
      </c>
      <c r="V1318" s="1">
        <v>150772</v>
      </c>
      <c r="W1318" s="7">
        <v>1941.01</v>
      </c>
      <c r="X1318" s="1">
        <v>0.39</v>
      </c>
      <c r="Y1318" s="4">
        <v>44420</v>
      </c>
      <c r="Z1318" s="1" t="s">
        <v>32</v>
      </c>
      <c r="AA1318" s="1" t="s">
        <v>33</v>
      </c>
      <c r="AB1318" s="36" t="str" cm="1">
        <f t="array" ref="AB1318">_xlfn.IFS(K1318&gt;650,"LOW",K1318&gt;=550,"MEDIUM",K1318&lt;550,"HIGH")</f>
        <v>HIGH</v>
      </c>
    </row>
    <row r="1319" spans="3:28" x14ac:dyDescent="0.3">
      <c r="C1319" s="35" t="s">
        <v>3921</v>
      </c>
      <c r="D1319" s="1" t="s">
        <v>1925</v>
      </c>
      <c r="E1319" s="1">
        <v>32</v>
      </c>
      <c r="F1319" s="1" t="s">
        <v>44</v>
      </c>
      <c r="G1319" s="1" t="s">
        <v>56</v>
      </c>
      <c r="H1319" s="1" t="s">
        <v>28</v>
      </c>
      <c r="I1319" s="1" t="s">
        <v>29</v>
      </c>
      <c r="J1319" s="7">
        <v>144693</v>
      </c>
      <c r="K1319" s="1">
        <v>489</v>
      </c>
      <c r="L1319" s="7">
        <v>48117</v>
      </c>
      <c r="M1319" s="1">
        <v>48</v>
      </c>
      <c r="N1319" s="6">
        <v>0.17030000000000001</v>
      </c>
      <c r="O1319" s="1" t="s">
        <v>37</v>
      </c>
      <c r="P1319" s="1" t="s">
        <v>47</v>
      </c>
      <c r="Q1319" s="1">
        <v>1</v>
      </c>
      <c r="R1319" s="1">
        <v>0</v>
      </c>
      <c r="S1319" s="1" t="s">
        <v>33</v>
      </c>
      <c r="T1319" s="1" t="s">
        <v>33</v>
      </c>
      <c r="U1319" s="1">
        <v>0</v>
      </c>
      <c r="V1319" s="1">
        <v>68412</v>
      </c>
      <c r="W1319" s="7">
        <v>1214.29</v>
      </c>
      <c r="X1319" s="1">
        <v>0.64</v>
      </c>
      <c r="Y1319" s="4">
        <v>44851</v>
      </c>
      <c r="Z1319" s="1" t="s">
        <v>32</v>
      </c>
      <c r="AA1319" s="1" t="s">
        <v>33</v>
      </c>
      <c r="AB1319" s="36" t="str" cm="1">
        <f t="array" ref="AB1319">_xlfn.IFS(K1319&gt;650,"LOW",K1319&gt;=550,"MEDIUM",K1319&lt;550,"HIGH")</f>
        <v>HIGH</v>
      </c>
    </row>
    <row r="1320" spans="3:28" x14ac:dyDescent="0.3">
      <c r="C1320" s="35" t="s">
        <v>2771</v>
      </c>
      <c r="D1320" s="1" t="s">
        <v>799</v>
      </c>
      <c r="E1320" s="1">
        <v>53</v>
      </c>
      <c r="F1320" s="1" t="s">
        <v>26</v>
      </c>
      <c r="G1320" s="1" t="s">
        <v>56</v>
      </c>
      <c r="H1320" s="1" t="s">
        <v>61</v>
      </c>
      <c r="I1320" s="1" t="s">
        <v>29</v>
      </c>
      <c r="J1320" s="7">
        <v>147898</v>
      </c>
      <c r="K1320" s="1">
        <v>488</v>
      </c>
      <c r="L1320" s="7">
        <v>8820</v>
      </c>
      <c r="M1320" s="1">
        <v>12</v>
      </c>
      <c r="N1320" s="6">
        <v>0.1754</v>
      </c>
      <c r="O1320" s="1" t="s">
        <v>37</v>
      </c>
      <c r="P1320" s="1" t="s">
        <v>50</v>
      </c>
      <c r="Q1320" s="1">
        <v>17</v>
      </c>
      <c r="R1320" s="1">
        <v>2</v>
      </c>
      <c r="S1320" s="1" t="s">
        <v>33</v>
      </c>
      <c r="T1320" s="1" t="s">
        <v>33</v>
      </c>
      <c r="U1320" s="1">
        <v>1</v>
      </c>
      <c r="V1320" s="1">
        <v>185085</v>
      </c>
      <c r="W1320" s="7">
        <v>747.67</v>
      </c>
      <c r="X1320" s="1">
        <v>0.17</v>
      </c>
      <c r="Y1320" s="4">
        <v>44749</v>
      </c>
      <c r="Z1320" s="1" t="s">
        <v>38</v>
      </c>
      <c r="AA1320" s="1" t="s">
        <v>33</v>
      </c>
      <c r="AB1320" s="36" t="str" cm="1">
        <f t="array" ref="AB1320">_xlfn.IFS(K1320&gt;650,"LOW",K1320&gt;=550,"MEDIUM",K1320&lt;550,"HIGH")</f>
        <v>HIGH</v>
      </c>
    </row>
    <row r="1321" spans="3:28" x14ac:dyDescent="0.3">
      <c r="C1321" s="35" t="s">
        <v>2946</v>
      </c>
      <c r="D1321" s="1" t="s">
        <v>974</v>
      </c>
      <c r="E1321" s="1">
        <v>23</v>
      </c>
      <c r="F1321" s="1" t="s">
        <v>44</v>
      </c>
      <c r="G1321" s="1" t="s">
        <v>35</v>
      </c>
      <c r="H1321" s="1" t="s">
        <v>36</v>
      </c>
      <c r="I1321" s="1" t="s">
        <v>29</v>
      </c>
      <c r="J1321" s="7">
        <v>102674</v>
      </c>
      <c r="K1321" s="1">
        <v>488</v>
      </c>
      <c r="L1321" s="7">
        <v>16100</v>
      </c>
      <c r="M1321" s="1">
        <v>60</v>
      </c>
      <c r="N1321" s="6">
        <v>5.2600000000000001E-2</v>
      </c>
      <c r="O1321" s="1" t="s">
        <v>41</v>
      </c>
      <c r="P1321" s="1" t="s">
        <v>50</v>
      </c>
      <c r="Q1321" s="1">
        <v>21</v>
      </c>
      <c r="R1321" s="1">
        <v>0</v>
      </c>
      <c r="S1321" s="1" t="s">
        <v>33</v>
      </c>
      <c r="T1321" s="1" t="s">
        <v>31</v>
      </c>
      <c r="U1321" s="1">
        <v>1</v>
      </c>
      <c r="V1321" s="1">
        <v>177734</v>
      </c>
      <c r="W1321" s="7">
        <v>1789.97</v>
      </c>
      <c r="X1321" s="1">
        <v>0.86</v>
      </c>
      <c r="Y1321" s="4">
        <v>45625</v>
      </c>
      <c r="Z1321" s="1" t="s">
        <v>38</v>
      </c>
      <c r="AA1321" s="1" t="s">
        <v>33</v>
      </c>
      <c r="AB1321" s="36" t="str" cm="1">
        <f t="array" ref="AB1321">_xlfn.IFS(K1321&gt;650,"LOW",K1321&gt;=550,"MEDIUM",K1321&lt;550,"HIGH")</f>
        <v>HIGH</v>
      </c>
    </row>
    <row r="1322" spans="3:28" x14ac:dyDescent="0.3">
      <c r="C1322" s="35" t="s">
        <v>3014</v>
      </c>
      <c r="D1322" s="1" t="s">
        <v>1041</v>
      </c>
      <c r="E1322" s="1">
        <v>37</v>
      </c>
      <c r="F1322" s="1" t="s">
        <v>44</v>
      </c>
      <c r="G1322" s="1" t="s">
        <v>35</v>
      </c>
      <c r="H1322" s="1" t="s">
        <v>61</v>
      </c>
      <c r="I1322" s="1" t="s">
        <v>59</v>
      </c>
      <c r="J1322" s="7">
        <v>75718</v>
      </c>
      <c r="K1322" s="1">
        <v>488</v>
      </c>
      <c r="L1322" s="7">
        <v>17191</v>
      </c>
      <c r="M1322" s="1">
        <v>12</v>
      </c>
      <c r="N1322" s="6">
        <v>0.154</v>
      </c>
      <c r="O1322" s="1" t="s">
        <v>63</v>
      </c>
      <c r="P1322" s="1" t="s">
        <v>50</v>
      </c>
      <c r="Q1322" s="1">
        <v>9</v>
      </c>
      <c r="R1322" s="1">
        <v>2</v>
      </c>
      <c r="S1322" s="1" t="s">
        <v>31</v>
      </c>
      <c r="T1322" s="1" t="s">
        <v>31</v>
      </c>
      <c r="U1322" s="1">
        <v>3</v>
      </c>
      <c r="V1322" s="1">
        <v>15739</v>
      </c>
      <c r="W1322" s="7">
        <v>668.12</v>
      </c>
      <c r="X1322" s="1">
        <v>0.15</v>
      </c>
      <c r="Y1322" s="4">
        <v>44531</v>
      </c>
      <c r="Z1322" s="1" t="s">
        <v>32</v>
      </c>
      <c r="AA1322" s="1" t="s">
        <v>33</v>
      </c>
      <c r="AB1322" s="36" t="str" cm="1">
        <f t="array" ref="AB1322">_xlfn.IFS(K1322&gt;650,"LOW",K1322&gt;=550,"MEDIUM",K1322&lt;550,"HIGH")</f>
        <v>HIGH</v>
      </c>
    </row>
    <row r="1323" spans="3:28" x14ac:dyDescent="0.3">
      <c r="C1323" s="35" t="s">
        <v>3343</v>
      </c>
      <c r="D1323" s="1" t="s">
        <v>1365</v>
      </c>
      <c r="E1323" s="1">
        <v>45</v>
      </c>
      <c r="F1323" s="1" t="s">
        <v>44</v>
      </c>
      <c r="G1323" s="1" t="s">
        <v>27</v>
      </c>
      <c r="H1323" s="1" t="s">
        <v>28</v>
      </c>
      <c r="I1323" s="1" t="s">
        <v>57</v>
      </c>
      <c r="J1323" s="7">
        <v>59029</v>
      </c>
      <c r="K1323" s="1">
        <v>488</v>
      </c>
      <c r="L1323" s="7">
        <v>3369</v>
      </c>
      <c r="M1323" s="1">
        <v>60</v>
      </c>
      <c r="N1323" s="6">
        <v>0.12140000000000001</v>
      </c>
      <c r="O1323" s="1" t="s">
        <v>5</v>
      </c>
      <c r="P1323" s="1" t="s">
        <v>30</v>
      </c>
      <c r="Q1323" s="1">
        <v>28</v>
      </c>
      <c r="R1323" s="1">
        <v>0</v>
      </c>
      <c r="S1323" s="1" t="s">
        <v>31</v>
      </c>
      <c r="T1323" s="1" t="s">
        <v>33</v>
      </c>
      <c r="U1323" s="1">
        <v>4</v>
      </c>
      <c r="V1323" s="1">
        <v>17057</v>
      </c>
      <c r="W1323" s="7">
        <v>1521.39</v>
      </c>
      <c r="X1323" s="1">
        <v>0.24</v>
      </c>
      <c r="Y1323" s="4">
        <v>44279</v>
      </c>
      <c r="Z1323" s="1" t="s">
        <v>32</v>
      </c>
      <c r="AA1323" s="1" t="s">
        <v>33</v>
      </c>
      <c r="AB1323" s="36" t="str" cm="1">
        <f t="array" ref="AB1323">_xlfn.IFS(K1323&gt;650,"LOW",K1323&gt;=550,"MEDIUM",K1323&lt;550,"HIGH")</f>
        <v>HIGH</v>
      </c>
    </row>
    <row r="1324" spans="3:28" x14ac:dyDescent="0.3">
      <c r="C1324" s="35" t="s">
        <v>2323</v>
      </c>
      <c r="D1324" s="1" t="s">
        <v>354</v>
      </c>
      <c r="E1324" s="1">
        <v>58</v>
      </c>
      <c r="F1324" s="1" t="s">
        <v>44</v>
      </c>
      <c r="G1324" s="1" t="s">
        <v>27</v>
      </c>
      <c r="H1324" s="1" t="s">
        <v>36</v>
      </c>
      <c r="I1324" s="1" t="s">
        <v>59</v>
      </c>
      <c r="J1324" s="7">
        <v>40981</v>
      </c>
      <c r="K1324" s="1">
        <v>487</v>
      </c>
      <c r="L1324" s="7">
        <v>47870</v>
      </c>
      <c r="M1324" s="1">
        <v>12</v>
      </c>
      <c r="N1324" s="6">
        <v>0.16339999999999999</v>
      </c>
      <c r="O1324" s="1" t="s">
        <v>52</v>
      </c>
      <c r="P1324" s="1" t="s">
        <v>30</v>
      </c>
      <c r="Q1324" s="1">
        <v>5</v>
      </c>
      <c r="R1324" s="1">
        <v>2</v>
      </c>
      <c r="S1324" s="1" t="s">
        <v>31</v>
      </c>
      <c r="T1324" s="1" t="s">
        <v>33</v>
      </c>
      <c r="U1324" s="1">
        <v>4</v>
      </c>
      <c r="V1324" s="1">
        <v>70472</v>
      </c>
      <c r="W1324" s="7">
        <v>655.91</v>
      </c>
      <c r="X1324" s="1">
        <v>0.98</v>
      </c>
      <c r="Y1324" s="4">
        <v>44252</v>
      </c>
      <c r="Z1324" s="1" t="s">
        <v>38</v>
      </c>
      <c r="AA1324" s="1" t="s">
        <v>33</v>
      </c>
      <c r="AB1324" s="36" t="str" cm="1">
        <f t="array" ref="AB1324">_xlfn.IFS(K1324&gt;650,"LOW",K1324&gt;=550,"MEDIUM",K1324&lt;550,"HIGH")</f>
        <v>HIGH</v>
      </c>
    </row>
    <row r="1325" spans="3:28" x14ac:dyDescent="0.3">
      <c r="C1325" s="35" t="s">
        <v>3326</v>
      </c>
      <c r="D1325" s="1" t="s">
        <v>1349</v>
      </c>
      <c r="E1325" s="1">
        <v>55</v>
      </c>
      <c r="F1325" s="1" t="s">
        <v>26</v>
      </c>
      <c r="G1325" s="1" t="s">
        <v>56</v>
      </c>
      <c r="H1325" s="1" t="s">
        <v>54</v>
      </c>
      <c r="I1325" s="1" t="s">
        <v>57</v>
      </c>
      <c r="J1325" s="7">
        <v>52826</v>
      </c>
      <c r="K1325" s="1">
        <v>487</v>
      </c>
      <c r="L1325" s="7">
        <v>22326</v>
      </c>
      <c r="M1325" s="1">
        <v>48</v>
      </c>
      <c r="N1325" s="6">
        <v>0.1575</v>
      </c>
      <c r="O1325" s="1" t="s">
        <v>46</v>
      </c>
      <c r="P1325" s="1" t="s">
        <v>30</v>
      </c>
      <c r="Q1325" s="1">
        <v>29</v>
      </c>
      <c r="R1325" s="1">
        <v>2</v>
      </c>
      <c r="S1325" s="1" t="s">
        <v>31</v>
      </c>
      <c r="T1325" s="1" t="s">
        <v>33</v>
      </c>
      <c r="U1325" s="1">
        <v>3</v>
      </c>
      <c r="V1325" s="1">
        <v>165387</v>
      </c>
      <c r="W1325" s="7">
        <v>426.55</v>
      </c>
      <c r="X1325" s="1">
        <v>0.2</v>
      </c>
      <c r="Y1325" s="4">
        <v>44503</v>
      </c>
      <c r="Z1325" s="1" t="s">
        <v>32</v>
      </c>
      <c r="AA1325" s="1" t="s">
        <v>33</v>
      </c>
      <c r="AB1325" s="36" t="str" cm="1">
        <f t="array" ref="AB1325">_xlfn.IFS(K1325&gt;650,"LOW",K1325&gt;=550,"MEDIUM",K1325&lt;550,"HIGH")</f>
        <v>HIGH</v>
      </c>
    </row>
    <row r="1326" spans="3:28" x14ac:dyDescent="0.3">
      <c r="C1326" s="35" t="s">
        <v>3362</v>
      </c>
      <c r="D1326" s="1" t="s">
        <v>1384</v>
      </c>
      <c r="E1326" s="1">
        <v>39</v>
      </c>
      <c r="F1326" s="1" t="s">
        <v>44</v>
      </c>
      <c r="G1326" s="1" t="s">
        <v>27</v>
      </c>
      <c r="H1326" s="1" t="s">
        <v>61</v>
      </c>
      <c r="I1326" s="1" t="s">
        <v>59</v>
      </c>
      <c r="J1326" s="7">
        <v>31434</v>
      </c>
      <c r="K1326" s="1">
        <v>487</v>
      </c>
      <c r="L1326" s="7">
        <v>6950</v>
      </c>
      <c r="M1326" s="1">
        <v>24</v>
      </c>
      <c r="N1326" s="6">
        <v>0.16020000000000001</v>
      </c>
      <c r="O1326" s="1" t="s">
        <v>41</v>
      </c>
      <c r="P1326" s="1" t="s">
        <v>50</v>
      </c>
      <c r="Q1326" s="1">
        <v>12</v>
      </c>
      <c r="R1326" s="1">
        <v>3</v>
      </c>
      <c r="S1326" s="1" t="s">
        <v>33</v>
      </c>
      <c r="T1326" s="1" t="s">
        <v>33</v>
      </c>
      <c r="U1326" s="1">
        <v>4</v>
      </c>
      <c r="V1326" s="1">
        <v>109001</v>
      </c>
      <c r="W1326" s="7">
        <v>1512.98</v>
      </c>
      <c r="X1326" s="1">
        <v>0.64</v>
      </c>
      <c r="Y1326" s="4">
        <v>45557</v>
      </c>
      <c r="Z1326" s="1" t="s">
        <v>32</v>
      </c>
      <c r="AA1326" s="1" t="s">
        <v>33</v>
      </c>
      <c r="AB1326" s="36" t="str" cm="1">
        <f t="array" ref="AB1326">_xlfn.IFS(K1326&gt;650,"LOW",K1326&gt;=550,"MEDIUM",K1326&lt;550,"HIGH")</f>
        <v>HIGH</v>
      </c>
    </row>
    <row r="1327" spans="3:28" x14ac:dyDescent="0.3">
      <c r="C1327" s="35" t="s">
        <v>2228</v>
      </c>
      <c r="D1327" s="1" t="s">
        <v>259</v>
      </c>
      <c r="E1327" s="1">
        <v>26</v>
      </c>
      <c r="F1327" s="1" t="s">
        <v>44</v>
      </c>
      <c r="G1327" s="1" t="s">
        <v>45</v>
      </c>
      <c r="H1327" s="1" t="s">
        <v>61</v>
      </c>
      <c r="I1327" s="1" t="s">
        <v>29</v>
      </c>
      <c r="J1327" s="7">
        <v>121311</v>
      </c>
      <c r="K1327" s="1">
        <v>486</v>
      </c>
      <c r="L1327" s="7">
        <v>11315</v>
      </c>
      <c r="M1327" s="1">
        <v>12</v>
      </c>
      <c r="N1327" s="6">
        <v>9.8100000000000007E-2</v>
      </c>
      <c r="O1327" s="1" t="s">
        <v>52</v>
      </c>
      <c r="P1327" s="1" t="s">
        <v>50</v>
      </c>
      <c r="Q1327" s="1">
        <v>14</v>
      </c>
      <c r="R1327" s="1">
        <v>0</v>
      </c>
      <c r="S1327" s="1" t="s">
        <v>33</v>
      </c>
      <c r="T1327" s="1" t="s">
        <v>31</v>
      </c>
      <c r="U1327" s="1">
        <v>3</v>
      </c>
      <c r="V1327" s="1">
        <v>1063</v>
      </c>
      <c r="W1327" s="7">
        <v>1496.43</v>
      </c>
      <c r="X1327" s="1">
        <v>0.76</v>
      </c>
      <c r="Y1327" s="4">
        <v>44854</v>
      </c>
      <c r="Z1327" s="1" t="s">
        <v>32</v>
      </c>
      <c r="AA1327" s="1" t="s">
        <v>33</v>
      </c>
      <c r="AB1327" s="36" t="str" cm="1">
        <f t="array" ref="AB1327">_xlfn.IFS(K1327&gt;650,"LOW",K1327&gt;=550,"MEDIUM",K1327&lt;550,"HIGH")</f>
        <v>HIGH</v>
      </c>
    </row>
    <row r="1328" spans="3:28" x14ac:dyDescent="0.3">
      <c r="C1328" s="35" t="s">
        <v>2656</v>
      </c>
      <c r="D1328" s="1" t="s">
        <v>686</v>
      </c>
      <c r="E1328" s="1">
        <v>23</v>
      </c>
      <c r="F1328" s="1" t="s">
        <v>26</v>
      </c>
      <c r="G1328" s="1" t="s">
        <v>45</v>
      </c>
      <c r="H1328" s="1" t="s">
        <v>54</v>
      </c>
      <c r="I1328" s="1" t="s">
        <v>59</v>
      </c>
      <c r="J1328" s="7">
        <v>43840</v>
      </c>
      <c r="K1328" s="1">
        <v>486</v>
      </c>
      <c r="L1328" s="7">
        <v>3377</v>
      </c>
      <c r="M1328" s="1">
        <v>60</v>
      </c>
      <c r="N1328" s="6">
        <v>9.9299999999999999E-2</v>
      </c>
      <c r="O1328" s="1" t="s">
        <v>5</v>
      </c>
      <c r="P1328" s="1" t="s">
        <v>50</v>
      </c>
      <c r="Q1328" s="1">
        <v>9</v>
      </c>
      <c r="R1328" s="1">
        <v>3</v>
      </c>
      <c r="S1328" s="1" t="s">
        <v>33</v>
      </c>
      <c r="T1328" s="1" t="s">
        <v>31</v>
      </c>
      <c r="U1328" s="1">
        <v>4</v>
      </c>
      <c r="V1328" s="1">
        <v>60267</v>
      </c>
      <c r="W1328" s="7">
        <v>411.62</v>
      </c>
      <c r="X1328" s="1">
        <v>0.53</v>
      </c>
      <c r="Y1328" s="4">
        <v>44518</v>
      </c>
      <c r="Z1328" s="1" t="s">
        <v>32</v>
      </c>
      <c r="AA1328" s="1" t="s">
        <v>33</v>
      </c>
      <c r="AB1328" s="36" t="str" cm="1">
        <f t="array" ref="AB1328">_xlfn.IFS(K1328&gt;650,"LOW",K1328&gt;=550,"MEDIUM",K1328&lt;550,"HIGH")</f>
        <v>HIGH</v>
      </c>
    </row>
    <row r="1329" spans="3:28" x14ac:dyDescent="0.3">
      <c r="C1329" s="35" t="s">
        <v>2812</v>
      </c>
      <c r="D1329" s="1" t="s">
        <v>840</v>
      </c>
      <c r="E1329" s="1">
        <v>25</v>
      </c>
      <c r="F1329" s="1" t="s">
        <v>26</v>
      </c>
      <c r="G1329" s="1" t="s">
        <v>45</v>
      </c>
      <c r="H1329" s="1" t="s">
        <v>36</v>
      </c>
      <c r="I1329" s="1" t="s">
        <v>57</v>
      </c>
      <c r="J1329" s="7">
        <v>133430</v>
      </c>
      <c r="K1329" s="1">
        <v>486</v>
      </c>
      <c r="L1329" s="7">
        <v>45859</v>
      </c>
      <c r="M1329" s="1">
        <v>24</v>
      </c>
      <c r="N1329" s="6">
        <v>0.1137</v>
      </c>
      <c r="O1329" s="1" t="s">
        <v>46</v>
      </c>
      <c r="P1329" s="1" t="s">
        <v>30</v>
      </c>
      <c r="Q1329" s="1">
        <v>8</v>
      </c>
      <c r="R1329" s="1">
        <v>4</v>
      </c>
      <c r="S1329" s="1" t="s">
        <v>31</v>
      </c>
      <c r="T1329" s="1" t="s">
        <v>31</v>
      </c>
      <c r="U1329" s="1">
        <v>2</v>
      </c>
      <c r="V1329" s="1">
        <v>13417</v>
      </c>
      <c r="W1329" s="7">
        <v>920.88</v>
      </c>
      <c r="X1329" s="1">
        <v>0.96</v>
      </c>
      <c r="Y1329" s="4">
        <v>45431</v>
      </c>
      <c r="Z1329" s="1" t="s">
        <v>32</v>
      </c>
      <c r="AA1329" s="1" t="s">
        <v>33</v>
      </c>
      <c r="AB1329" s="36" t="str" cm="1">
        <f t="array" ref="AB1329">_xlfn.IFS(K1329&gt;650,"LOW",K1329&gt;=550,"MEDIUM",K1329&lt;550,"HIGH")</f>
        <v>HIGH</v>
      </c>
    </row>
    <row r="1330" spans="3:28" x14ac:dyDescent="0.3">
      <c r="C1330" s="35" t="s">
        <v>2831</v>
      </c>
      <c r="D1330" s="1" t="s">
        <v>859</v>
      </c>
      <c r="E1330" s="1">
        <v>50</v>
      </c>
      <c r="F1330" s="1" t="s">
        <v>44</v>
      </c>
      <c r="G1330" s="1" t="s">
        <v>45</v>
      </c>
      <c r="H1330" s="1" t="s">
        <v>61</v>
      </c>
      <c r="I1330" s="1" t="s">
        <v>59</v>
      </c>
      <c r="J1330" s="7">
        <v>26789</v>
      </c>
      <c r="K1330" s="1">
        <v>486</v>
      </c>
      <c r="L1330" s="7">
        <v>8207</v>
      </c>
      <c r="M1330" s="1">
        <v>60</v>
      </c>
      <c r="N1330" s="6">
        <v>0.17780000000000001</v>
      </c>
      <c r="O1330" s="1" t="s">
        <v>37</v>
      </c>
      <c r="P1330" s="1" t="s">
        <v>30</v>
      </c>
      <c r="Q1330" s="1">
        <v>16</v>
      </c>
      <c r="R1330" s="1">
        <v>0</v>
      </c>
      <c r="S1330" s="1" t="s">
        <v>31</v>
      </c>
      <c r="T1330" s="1" t="s">
        <v>31</v>
      </c>
      <c r="U1330" s="1">
        <v>3</v>
      </c>
      <c r="V1330" s="1">
        <v>33025</v>
      </c>
      <c r="W1330" s="7">
        <v>150.07</v>
      </c>
      <c r="X1330" s="1">
        <v>0.32</v>
      </c>
      <c r="Y1330" s="4">
        <v>44936</v>
      </c>
      <c r="Z1330" s="1" t="s">
        <v>32</v>
      </c>
      <c r="AA1330" s="1" t="s">
        <v>31</v>
      </c>
      <c r="AB1330" s="36" t="str" cm="1">
        <f t="array" ref="AB1330">_xlfn.IFS(K1330&gt;650,"LOW",K1330&gt;=550,"MEDIUM",K1330&lt;550,"HIGH")</f>
        <v>HIGH</v>
      </c>
    </row>
    <row r="1331" spans="3:28" x14ac:dyDescent="0.3">
      <c r="C1331" s="35" t="s">
        <v>3772</v>
      </c>
      <c r="D1331" s="1" t="s">
        <v>1779</v>
      </c>
      <c r="E1331" s="1">
        <v>54</v>
      </c>
      <c r="F1331" s="1" t="s">
        <v>26</v>
      </c>
      <c r="G1331" s="1" t="s">
        <v>27</v>
      </c>
      <c r="H1331" s="1" t="s">
        <v>54</v>
      </c>
      <c r="I1331" s="1" t="s">
        <v>57</v>
      </c>
      <c r="J1331" s="7">
        <v>114491</v>
      </c>
      <c r="K1331" s="1">
        <v>486</v>
      </c>
      <c r="L1331" s="7">
        <v>16911</v>
      </c>
      <c r="M1331" s="1">
        <v>60</v>
      </c>
      <c r="N1331" s="6">
        <v>0.1517</v>
      </c>
      <c r="O1331" s="1" t="s">
        <v>52</v>
      </c>
      <c r="P1331" s="1" t="s">
        <v>50</v>
      </c>
      <c r="Q1331" s="1">
        <v>26</v>
      </c>
      <c r="R1331" s="1">
        <v>3</v>
      </c>
      <c r="S1331" s="1" t="s">
        <v>31</v>
      </c>
      <c r="T1331" s="1" t="s">
        <v>31</v>
      </c>
      <c r="U1331" s="1">
        <v>1</v>
      </c>
      <c r="V1331" s="1">
        <v>171508</v>
      </c>
      <c r="W1331" s="7">
        <v>586.11</v>
      </c>
      <c r="X1331" s="1">
        <v>0.65</v>
      </c>
      <c r="Y1331" s="4">
        <v>44075</v>
      </c>
      <c r="Z1331" s="1" t="s">
        <v>32</v>
      </c>
      <c r="AA1331" s="1" t="s">
        <v>33</v>
      </c>
      <c r="AB1331" s="36" t="str" cm="1">
        <f t="array" ref="AB1331">_xlfn.IFS(K1331&gt;650,"LOW",K1331&gt;=550,"MEDIUM",K1331&lt;550,"HIGH")</f>
        <v>HIGH</v>
      </c>
    </row>
    <row r="1332" spans="3:28" x14ac:dyDescent="0.3">
      <c r="C1332" s="35" t="s">
        <v>3775</v>
      </c>
      <c r="D1332" s="1" t="s">
        <v>1782</v>
      </c>
      <c r="E1332" s="1">
        <v>60</v>
      </c>
      <c r="F1332" s="1" t="s">
        <v>26</v>
      </c>
      <c r="G1332" s="1" t="s">
        <v>45</v>
      </c>
      <c r="H1332" s="1" t="s">
        <v>61</v>
      </c>
      <c r="I1332" s="1" t="s">
        <v>57</v>
      </c>
      <c r="J1332" s="7">
        <v>70830</v>
      </c>
      <c r="K1332" s="1">
        <v>486</v>
      </c>
      <c r="L1332" s="7">
        <v>24813</v>
      </c>
      <c r="M1332" s="1">
        <v>12</v>
      </c>
      <c r="N1332" s="6">
        <v>8.539999999999999E-2</v>
      </c>
      <c r="O1332" s="1" t="s">
        <v>41</v>
      </c>
      <c r="P1332" s="1" t="s">
        <v>50</v>
      </c>
      <c r="Q1332" s="1">
        <v>5</v>
      </c>
      <c r="R1332" s="1">
        <v>3</v>
      </c>
      <c r="S1332" s="1" t="s">
        <v>31</v>
      </c>
      <c r="T1332" s="1" t="s">
        <v>33</v>
      </c>
      <c r="U1332" s="1">
        <v>2</v>
      </c>
      <c r="V1332" s="1">
        <v>1229</v>
      </c>
      <c r="W1332" s="7">
        <v>1210.55</v>
      </c>
      <c r="X1332" s="1">
        <v>0.27</v>
      </c>
      <c r="Y1332" s="4">
        <v>45333</v>
      </c>
      <c r="Z1332" s="1" t="s">
        <v>38</v>
      </c>
      <c r="AA1332" s="1" t="s">
        <v>33</v>
      </c>
      <c r="AB1332" s="36" t="str" cm="1">
        <f t="array" ref="AB1332">_xlfn.IFS(K1332&gt;650,"LOW",K1332&gt;=550,"MEDIUM",K1332&lt;550,"HIGH")</f>
        <v>HIGH</v>
      </c>
    </row>
    <row r="1333" spans="3:28" x14ac:dyDescent="0.3">
      <c r="C1333" s="35" t="s">
        <v>2144</v>
      </c>
      <c r="D1333" s="1" t="s">
        <v>175</v>
      </c>
      <c r="E1333" s="1">
        <v>34</v>
      </c>
      <c r="F1333" s="1" t="s">
        <v>44</v>
      </c>
      <c r="G1333" s="1" t="s">
        <v>56</v>
      </c>
      <c r="H1333" s="1" t="s">
        <v>28</v>
      </c>
      <c r="I1333" s="1" t="s">
        <v>59</v>
      </c>
      <c r="J1333" s="7">
        <v>33403</v>
      </c>
      <c r="K1333" s="1">
        <v>485</v>
      </c>
      <c r="L1333" s="7">
        <v>31048</v>
      </c>
      <c r="M1333" s="1">
        <v>48</v>
      </c>
      <c r="N1333" s="6">
        <v>0.12330000000000001</v>
      </c>
      <c r="O1333" s="1" t="s">
        <v>41</v>
      </c>
      <c r="P1333" s="1" t="s">
        <v>47</v>
      </c>
      <c r="Q1333" s="1">
        <v>25</v>
      </c>
      <c r="R1333" s="1">
        <v>2</v>
      </c>
      <c r="S1333" s="1" t="s">
        <v>33</v>
      </c>
      <c r="T1333" s="1" t="s">
        <v>33</v>
      </c>
      <c r="U1333" s="1">
        <v>3</v>
      </c>
      <c r="V1333" s="1">
        <v>4852</v>
      </c>
      <c r="W1333" s="7">
        <v>155.80000000000001</v>
      </c>
      <c r="X1333" s="1">
        <v>0.63</v>
      </c>
      <c r="Y1333" s="4">
        <v>44497</v>
      </c>
      <c r="Z1333" s="1" t="s">
        <v>32</v>
      </c>
      <c r="AA1333" s="1" t="s">
        <v>33</v>
      </c>
      <c r="AB1333" s="36" t="str" cm="1">
        <f t="array" ref="AB1333">_xlfn.IFS(K1333&gt;650,"LOW",K1333&gt;=550,"MEDIUM",K1333&lt;550,"HIGH")</f>
        <v>HIGH</v>
      </c>
    </row>
    <row r="1334" spans="3:28" x14ac:dyDescent="0.3">
      <c r="C1334" s="35" t="s">
        <v>2449</v>
      </c>
      <c r="D1334" s="1" t="s">
        <v>479</v>
      </c>
      <c r="E1334" s="1">
        <v>46</v>
      </c>
      <c r="F1334" s="1" t="s">
        <v>26</v>
      </c>
      <c r="G1334" s="1" t="s">
        <v>27</v>
      </c>
      <c r="H1334" s="1" t="s">
        <v>61</v>
      </c>
      <c r="I1334" s="1" t="s">
        <v>59</v>
      </c>
      <c r="J1334" s="7">
        <v>81554</v>
      </c>
      <c r="K1334" s="1">
        <v>485</v>
      </c>
      <c r="L1334" s="7">
        <v>45291</v>
      </c>
      <c r="M1334" s="1">
        <v>12</v>
      </c>
      <c r="N1334" s="6">
        <v>0.11509999999999999</v>
      </c>
      <c r="O1334" s="1" t="s">
        <v>46</v>
      </c>
      <c r="P1334" s="1" t="s">
        <v>30</v>
      </c>
      <c r="Q1334" s="1">
        <v>17</v>
      </c>
      <c r="R1334" s="1">
        <v>0</v>
      </c>
      <c r="S1334" s="1" t="s">
        <v>31</v>
      </c>
      <c r="T1334" s="1" t="s">
        <v>33</v>
      </c>
      <c r="U1334" s="1">
        <v>3</v>
      </c>
      <c r="V1334" s="1">
        <v>144544</v>
      </c>
      <c r="W1334" s="7">
        <v>1463.21</v>
      </c>
      <c r="X1334" s="1">
        <v>0.23</v>
      </c>
      <c r="Y1334" s="4">
        <v>44780</v>
      </c>
      <c r="Z1334" s="1" t="s">
        <v>38</v>
      </c>
      <c r="AA1334" s="1" t="s">
        <v>33</v>
      </c>
      <c r="AB1334" s="36" t="str" cm="1">
        <f t="array" ref="AB1334">_xlfn.IFS(K1334&gt;650,"LOW",K1334&gt;=550,"MEDIUM",K1334&lt;550,"HIGH")</f>
        <v>HIGH</v>
      </c>
    </row>
    <row r="1335" spans="3:28" x14ac:dyDescent="0.3">
      <c r="C1335" s="35" t="s">
        <v>2740</v>
      </c>
      <c r="D1335" s="1" t="s">
        <v>770</v>
      </c>
      <c r="E1335" s="1">
        <v>51</v>
      </c>
      <c r="F1335" s="1" t="s">
        <v>26</v>
      </c>
      <c r="G1335" s="1" t="s">
        <v>27</v>
      </c>
      <c r="H1335" s="1" t="s">
        <v>36</v>
      </c>
      <c r="I1335" s="1" t="s">
        <v>59</v>
      </c>
      <c r="J1335" s="7">
        <v>118919</v>
      </c>
      <c r="K1335" s="1">
        <v>485</v>
      </c>
      <c r="L1335" s="7">
        <v>34758</v>
      </c>
      <c r="M1335" s="1">
        <v>60</v>
      </c>
      <c r="N1335" s="6">
        <v>0.11470000000000001</v>
      </c>
      <c r="O1335" s="1" t="s">
        <v>37</v>
      </c>
      <c r="P1335" s="1" t="s">
        <v>50</v>
      </c>
      <c r="Q1335" s="1">
        <v>27</v>
      </c>
      <c r="R1335" s="1">
        <v>4</v>
      </c>
      <c r="S1335" s="1" t="s">
        <v>33</v>
      </c>
      <c r="T1335" s="1" t="s">
        <v>33</v>
      </c>
      <c r="U1335" s="1">
        <v>4</v>
      </c>
      <c r="V1335" s="1">
        <v>102654</v>
      </c>
      <c r="W1335" s="7">
        <v>1569.86</v>
      </c>
      <c r="X1335" s="1">
        <v>0.6</v>
      </c>
      <c r="Y1335" s="4">
        <v>44737</v>
      </c>
      <c r="Z1335" s="1" t="s">
        <v>38</v>
      </c>
      <c r="AA1335" s="1" t="s">
        <v>33</v>
      </c>
      <c r="AB1335" s="36" t="str" cm="1">
        <f t="array" ref="AB1335">_xlfn.IFS(K1335&gt;650,"LOW",K1335&gt;=550,"MEDIUM",K1335&lt;550,"HIGH")</f>
        <v>HIGH</v>
      </c>
    </row>
    <row r="1336" spans="3:28" x14ac:dyDescent="0.3">
      <c r="C1336" s="35" t="s">
        <v>3005</v>
      </c>
      <c r="D1336" s="1" t="s">
        <v>1032</v>
      </c>
      <c r="E1336" s="1">
        <v>60</v>
      </c>
      <c r="F1336" s="1" t="s">
        <v>44</v>
      </c>
      <c r="G1336" s="1" t="s">
        <v>35</v>
      </c>
      <c r="H1336" s="1" t="s">
        <v>28</v>
      </c>
      <c r="I1336" s="1" t="s">
        <v>59</v>
      </c>
      <c r="J1336" s="7">
        <v>106282</v>
      </c>
      <c r="K1336" s="1">
        <v>485</v>
      </c>
      <c r="L1336" s="7">
        <v>41750</v>
      </c>
      <c r="M1336" s="1">
        <v>36</v>
      </c>
      <c r="N1336" s="6">
        <v>0.1648</v>
      </c>
      <c r="O1336" s="1" t="s">
        <v>52</v>
      </c>
      <c r="P1336" s="1" t="s">
        <v>47</v>
      </c>
      <c r="Q1336" s="1">
        <v>13</v>
      </c>
      <c r="R1336" s="1">
        <v>3</v>
      </c>
      <c r="S1336" s="1" t="s">
        <v>33</v>
      </c>
      <c r="T1336" s="1" t="s">
        <v>33</v>
      </c>
      <c r="U1336" s="1">
        <v>4</v>
      </c>
      <c r="V1336" s="1">
        <v>13021</v>
      </c>
      <c r="W1336" s="7">
        <v>1845.51</v>
      </c>
      <c r="X1336" s="1">
        <v>0.73</v>
      </c>
      <c r="Y1336" s="4">
        <v>44590</v>
      </c>
      <c r="Z1336" s="1" t="s">
        <v>38</v>
      </c>
      <c r="AA1336" s="1" t="s">
        <v>33</v>
      </c>
      <c r="AB1336" s="36" t="str" cm="1">
        <f t="array" ref="AB1336">_xlfn.IFS(K1336&gt;650,"LOW",K1336&gt;=550,"MEDIUM",K1336&lt;550,"HIGH")</f>
        <v>HIGH</v>
      </c>
    </row>
    <row r="1337" spans="3:28" x14ac:dyDescent="0.3">
      <c r="C1337" s="35" t="s">
        <v>2170</v>
      </c>
      <c r="D1337" s="1" t="s">
        <v>201</v>
      </c>
      <c r="E1337" s="1">
        <v>33</v>
      </c>
      <c r="F1337" s="1" t="s">
        <v>26</v>
      </c>
      <c r="G1337" s="1" t="s">
        <v>45</v>
      </c>
      <c r="H1337" s="1" t="s">
        <v>28</v>
      </c>
      <c r="I1337" s="1" t="s">
        <v>29</v>
      </c>
      <c r="J1337" s="7">
        <v>124601</v>
      </c>
      <c r="K1337" s="1">
        <v>483</v>
      </c>
      <c r="L1337" s="7">
        <v>44075</v>
      </c>
      <c r="M1337" s="1">
        <v>60</v>
      </c>
      <c r="N1337" s="6">
        <v>0.10249999999999999</v>
      </c>
      <c r="O1337" s="1" t="s">
        <v>52</v>
      </c>
      <c r="P1337" s="1" t="s">
        <v>30</v>
      </c>
      <c r="Q1337" s="1">
        <v>20</v>
      </c>
      <c r="R1337" s="1">
        <v>2</v>
      </c>
      <c r="S1337" s="1" t="s">
        <v>31</v>
      </c>
      <c r="T1337" s="1" t="s">
        <v>33</v>
      </c>
      <c r="U1337" s="1">
        <v>2</v>
      </c>
      <c r="V1337" s="1">
        <v>109165</v>
      </c>
      <c r="W1337" s="7">
        <v>1596.58</v>
      </c>
      <c r="X1337" s="1">
        <v>0.96</v>
      </c>
      <c r="Y1337" s="4">
        <v>45108</v>
      </c>
      <c r="Z1337" s="1" t="s">
        <v>32</v>
      </c>
      <c r="AA1337" s="1" t="s">
        <v>33</v>
      </c>
      <c r="AB1337" s="36" t="str" cm="1">
        <f t="array" ref="AB1337">_xlfn.IFS(K1337&gt;650,"LOW",K1337&gt;=550,"MEDIUM",K1337&lt;550,"HIGH")</f>
        <v>HIGH</v>
      </c>
    </row>
    <row r="1338" spans="3:28" x14ac:dyDescent="0.3">
      <c r="C1338" s="35" t="s">
        <v>3000</v>
      </c>
      <c r="D1338" s="1" t="s">
        <v>1027</v>
      </c>
      <c r="E1338" s="1">
        <v>45</v>
      </c>
      <c r="F1338" s="1" t="s">
        <v>26</v>
      </c>
      <c r="G1338" s="1" t="s">
        <v>27</v>
      </c>
      <c r="H1338" s="1" t="s">
        <v>36</v>
      </c>
      <c r="I1338" s="1" t="s">
        <v>59</v>
      </c>
      <c r="J1338" s="7">
        <v>55030</v>
      </c>
      <c r="K1338" s="1">
        <v>483</v>
      </c>
      <c r="L1338" s="7">
        <v>21293</v>
      </c>
      <c r="M1338" s="1">
        <v>36</v>
      </c>
      <c r="N1338" s="6">
        <v>6.1699999999999998E-2</v>
      </c>
      <c r="O1338" s="1" t="s">
        <v>46</v>
      </c>
      <c r="P1338" s="1" t="s">
        <v>47</v>
      </c>
      <c r="Q1338" s="1">
        <v>26</v>
      </c>
      <c r="R1338" s="1">
        <v>3</v>
      </c>
      <c r="S1338" s="1" t="s">
        <v>31</v>
      </c>
      <c r="T1338" s="1" t="s">
        <v>33</v>
      </c>
      <c r="U1338" s="1">
        <v>3</v>
      </c>
      <c r="V1338" s="1">
        <v>112225</v>
      </c>
      <c r="W1338" s="7">
        <v>1077.5999999999999</v>
      </c>
      <c r="X1338" s="1">
        <v>0.32</v>
      </c>
      <c r="Y1338" s="4">
        <v>44696</v>
      </c>
      <c r="Z1338" s="1" t="s">
        <v>38</v>
      </c>
      <c r="AA1338" s="1" t="s">
        <v>33</v>
      </c>
      <c r="AB1338" s="36" t="str" cm="1">
        <f t="array" ref="AB1338">_xlfn.IFS(K1338&gt;650,"LOW",K1338&gt;=550,"MEDIUM",K1338&lt;550,"HIGH")</f>
        <v>HIGH</v>
      </c>
    </row>
    <row r="1339" spans="3:28" x14ac:dyDescent="0.3">
      <c r="C1339" s="35" t="s">
        <v>3153</v>
      </c>
      <c r="D1339" s="1" t="s">
        <v>1177</v>
      </c>
      <c r="E1339" s="1">
        <v>60</v>
      </c>
      <c r="F1339" s="1" t="s">
        <v>26</v>
      </c>
      <c r="G1339" s="1" t="s">
        <v>35</v>
      </c>
      <c r="H1339" s="1" t="s">
        <v>28</v>
      </c>
      <c r="I1339" s="1" t="s">
        <v>57</v>
      </c>
      <c r="J1339" s="7">
        <v>120537</v>
      </c>
      <c r="K1339" s="1">
        <v>483</v>
      </c>
      <c r="L1339" s="7">
        <v>40451</v>
      </c>
      <c r="M1339" s="1">
        <v>12</v>
      </c>
      <c r="N1339" s="6">
        <v>6.0700000000000004E-2</v>
      </c>
      <c r="O1339" s="1" t="s">
        <v>5</v>
      </c>
      <c r="P1339" s="1" t="s">
        <v>30</v>
      </c>
      <c r="Q1339" s="1">
        <v>9</v>
      </c>
      <c r="R1339" s="1">
        <v>3</v>
      </c>
      <c r="S1339" s="1" t="s">
        <v>31</v>
      </c>
      <c r="T1339" s="1" t="s">
        <v>31</v>
      </c>
      <c r="U1339" s="1">
        <v>3</v>
      </c>
      <c r="V1339" s="1">
        <v>2589</v>
      </c>
      <c r="W1339" s="7">
        <v>888.08</v>
      </c>
      <c r="X1339" s="1">
        <v>0.96</v>
      </c>
      <c r="Y1339" s="4">
        <v>44051</v>
      </c>
      <c r="Z1339" s="1" t="s">
        <v>38</v>
      </c>
      <c r="AA1339" s="1" t="s">
        <v>33</v>
      </c>
      <c r="AB1339" s="36" t="str" cm="1">
        <f t="array" ref="AB1339">_xlfn.IFS(K1339&gt;650,"LOW",K1339&gt;=550,"MEDIUM",K1339&lt;550,"HIGH")</f>
        <v>HIGH</v>
      </c>
    </row>
    <row r="1340" spans="3:28" x14ac:dyDescent="0.3">
      <c r="C1340" s="35" t="s">
        <v>3870</v>
      </c>
      <c r="D1340" s="1" t="s">
        <v>1876</v>
      </c>
      <c r="E1340" s="1">
        <v>64</v>
      </c>
      <c r="F1340" s="1" t="s">
        <v>44</v>
      </c>
      <c r="G1340" s="1" t="s">
        <v>56</v>
      </c>
      <c r="H1340" s="1" t="s">
        <v>61</v>
      </c>
      <c r="I1340" s="1" t="s">
        <v>57</v>
      </c>
      <c r="J1340" s="7">
        <v>30150</v>
      </c>
      <c r="K1340" s="1">
        <v>483</v>
      </c>
      <c r="L1340" s="7">
        <v>25855</v>
      </c>
      <c r="M1340" s="1">
        <v>36</v>
      </c>
      <c r="N1340" s="6">
        <v>8.1099999999999992E-2</v>
      </c>
      <c r="O1340" s="1" t="s">
        <v>37</v>
      </c>
      <c r="P1340" s="1" t="s">
        <v>47</v>
      </c>
      <c r="Q1340" s="1">
        <v>18</v>
      </c>
      <c r="R1340" s="1">
        <v>0</v>
      </c>
      <c r="S1340" s="1" t="s">
        <v>31</v>
      </c>
      <c r="T1340" s="1" t="s">
        <v>33</v>
      </c>
      <c r="U1340" s="1">
        <v>3</v>
      </c>
      <c r="V1340" s="1">
        <v>100584</v>
      </c>
      <c r="W1340" s="7">
        <v>1694.99</v>
      </c>
      <c r="X1340" s="1">
        <v>0.32</v>
      </c>
      <c r="Y1340" s="4">
        <v>45190</v>
      </c>
      <c r="Z1340" s="1" t="s">
        <v>38</v>
      </c>
      <c r="AA1340" s="1" t="s">
        <v>33</v>
      </c>
      <c r="AB1340" s="36" t="str" cm="1">
        <f t="array" ref="AB1340">_xlfn.IFS(K1340&gt;650,"LOW",K1340&gt;=550,"MEDIUM",K1340&lt;550,"HIGH")</f>
        <v>HIGH</v>
      </c>
    </row>
    <row r="1341" spans="3:28" x14ac:dyDescent="0.3">
      <c r="C1341" s="35" t="s">
        <v>3903</v>
      </c>
      <c r="D1341" s="1" t="s">
        <v>1907</v>
      </c>
      <c r="E1341" s="1">
        <v>30</v>
      </c>
      <c r="F1341" s="1" t="s">
        <v>26</v>
      </c>
      <c r="G1341" s="1" t="s">
        <v>35</v>
      </c>
      <c r="H1341" s="1" t="s">
        <v>54</v>
      </c>
      <c r="I1341" s="1" t="s">
        <v>59</v>
      </c>
      <c r="J1341" s="7">
        <v>53161</v>
      </c>
      <c r="K1341" s="1">
        <v>483</v>
      </c>
      <c r="L1341" s="7">
        <v>14715</v>
      </c>
      <c r="M1341" s="1">
        <v>36</v>
      </c>
      <c r="N1341" s="6">
        <v>7.8E-2</v>
      </c>
      <c r="O1341" s="1" t="s">
        <v>41</v>
      </c>
      <c r="P1341" s="1" t="s">
        <v>50</v>
      </c>
      <c r="Q1341" s="1">
        <v>24</v>
      </c>
      <c r="R1341" s="1">
        <v>1</v>
      </c>
      <c r="S1341" s="1" t="s">
        <v>33</v>
      </c>
      <c r="T1341" s="1" t="s">
        <v>31</v>
      </c>
      <c r="U1341" s="1">
        <v>3</v>
      </c>
      <c r="V1341" s="1">
        <v>184681</v>
      </c>
      <c r="W1341" s="7">
        <v>643.42999999999995</v>
      </c>
      <c r="X1341" s="1">
        <v>0.68</v>
      </c>
      <c r="Y1341" s="4">
        <v>45830</v>
      </c>
      <c r="Z1341" s="1" t="s">
        <v>38</v>
      </c>
      <c r="AA1341" s="1" t="s">
        <v>31</v>
      </c>
      <c r="AB1341" s="36" t="str" cm="1">
        <f t="array" ref="AB1341">_xlfn.IFS(K1341&gt;650,"LOW",K1341&gt;=550,"MEDIUM",K1341&lt;550,"HIGH")</f>
        <v>HIGH</v>
      </c>
    </row>
    <row r="1342" spans="3:28" x14ac:dyDescent="0.3">
      <c r="C1342" s="35" t="s">
        <v>2631</v>
      </c>
      <c r="D1342" s="1" t="s">
        <v>661</v>
      </c>
      <c r="E1342" s="1">
        <v>21</v>
      </c>
      <c r="F1342" s="1" t="s">
        <v>44</v>
      </c>
      <c r="G1342" s="1" t="s">
        <v>56</v>
      </c>
      <c r="H1342" s="1" t="s">
        <v>54</v>
      </c>
      <c r="I1342" s="1" t="s">
        <v>59</v>
      </c>
      <c r="J1342" s="7">
        <v>43097</v>
      </c>
      <c r="K1342" s="1">
        <v>482</v>
      </c>
      <c r="L1342" s="7">
        <v>38921</v>
      </c>
      <c r="M1342" s="1">
        <v>60</v>
      </c>
      <c r="N1342" s="6">
        <v>5.4699999999999999E-2</v>
      </c>
      <c r="O1342" s="1" t="s">
        <v>41</v>
      </c>
      <c r="P1342" s="1" t="s">
        <v>47</v>
      </c>
      <c r="Q1342" s="1">
        <v>27</v>
      </c>
      <c r="R1342" s="1">
        <v>0</v>
      </c>
      <c r="S1342" s="1" t="s">
        <v>33</v>
      </c>
      <c r="T1342" s="1" t="s">
        <v>33</v>
      </c>
      <c r="U1342" s="1">
        <v>0</v>
      </c>
      <c r="V1342" s="1">
        <v>134520</v>
      </c>
      <c r="W1342" s="7">
        <v>477.96</v>
      </c>
      <c r="X1342" s="1">
        <v>0.14000000000000001</v>
      </c>
      <c r="Y1342" s="4">
        <v>45078</v>
      </c>
      <c r="Z1342" s="1" t="s">
        <v>32</v>
      </c>
      <c r="AA1342" s="1" t="s">
        <v>31</v>
      </c>
      <c r="AB1342" s="36" t="str" cm="1">
        <f t="array" ref="AB1342">_xlfn.IFS(K1342&gt;650,"LOW",K1342&gt;=550,"MEDIUM",K1342&lt;550,"HIGH")</f>
        <v>HIGH</v>
      </c>
    </row>
    <row r="1343" spans="3:28" x14ac:dyDescent="0.3">
      <c r="C1343" s="35" t="s">
        <v>2983</v>
      </c>
      <c r="D1343" s="1" t="s">
        <v>1011</v>
      </c>
      <c r="E1343" s="1">
        <v>49</v>
      </c>
      <c r="F1343" s="1" t="s">
        <v>26</v>
      </c>
      <c r="G1343" s="1" t="s">
        <v>27</v>
      </c>
      <c r="H1343" s="1" t="s">
        <v>61</v>
      </c>
      <c r="I1343" s="1" t="s">
        <v>59</v>
      </c>
      <c r="J1343" s="7">
        <v>110467</v>
      </c>
      <c r="K1343" s="1">
        <v>482</v>
      </c>
      <c r="L1343" s="7">
        <v>28498</v>
      </c>
      <c r="M1343" s="1">
        <v>12</v>
      </c>
      <c r="N1343" s="6">
        <v>6.8000000000000005E-2</v>
      </c>
      <c r="O1343" s="1" t="s">
        <v>5</v>
      </c>
      <c r="P1343" s="1" t="s">
        <v>47</v>
      </c>
      <c r="Q1343" s="1">
        <v>7</v>
      </c>
      <c r="R1343" s="1">
        <v>4</v>
      </c>
      <c r="S1343" s="1" t="s">
        <v>33</v>
      </c>
      <c r="T1343" s="1" t="s">
        <v>33</v>
      </c>
      <c r="U1343" s="1">
        <v>3</v>
      </c>
      <c r="V1343" s="1">
        <v>85675</v>
      </c>
      <c r="W1343" s="7">
        <v>290.7</v>
      </c>
      <c r="X1343" s="1">
        <v>0.44</v>
      </c>
      <c r="Y1343" s="4">
        <v>45631</v>
      </c>
      <c r="Z1343" s="1" t="s">
        <v>32</v>
      </c>
      <c r="AA1343" s="1" t="s">
        <v>33</v>
      </c>
      <c r="AB1343" s="36" t="str" cm="1">
        <f t="array" ref="AB1343">_xlfn.IFS(K1343&gt;650,"LOW",K1343&gt;=550,"MEDIUM",K1343&lt;550,"HIGH")</f>
        <v>HIGH</v>
      </c>
    </row>
    <row r="1344" spans="3:28" x14ac:dyDescent="0.3">
      <c r="C1344" s="35" t="s">
        <v>3323</v>
      </c>
      <c r="D1344" s="1" t="s">
        <v>1346</v>
      </c>
      <c r="E1344" s="1">
        <v>56</v>
      </c>
      <c r="F1344" s="1" t="s">
        <v>44</v>
      </c>
      <c r="G1344" s="1" t="s">
        <v>56</v>
      </c>
      <c r="H1344" s="1" t="s">
        <v>54</v>
      </c>
      <c r="I1344" s="1" t="s">
        <v>59</v>
      </c>
      <c r="J1344" s="7">
        <v>133457</v>
      </c>
      <c r="K1344" s="1">
        <v>482</v>
      </c>
      <c r="L1344" s="7">
        <v>21593</v>
      </c>
      <c r="M1344" s="1">
        <v>36</v>
      </c>
      <c r="N1344" s="6">
        <v>0.14269999999999999</v>
      </c>
      <c r="O1344" s="1" t="s">
        <v>5</v>
      </c>
      <c r="P1344" s="1" t="s">
        <v>30</v>
      </c>
      <c r="Q1344" s="1">
        <v>24</v>
      </c>
      <c r="R1344" s="1">
        <v>4</v>
      </c>
      <c r="S1344" s="1" t="s">
        <v>33</v>
      </c>
      <c r="T1344" s="1" t="s">
        <v>31</v>
      </c>
      <c r="U1344" s="1">
        <v>0</v>
      </c>
      <c r="V1344" s="1">
        <v>94527</v>
      </c>
      <c r="W1344" s="7">
        <v>1332.32</v>
      </c>
      <c r="X1344" s="1">
        <v>0.5</v>
      </c>
      <c r="Y1344" s="4">
        <v>44886</v>
      </c>
      <c r="Z1344" s="1" t="s">
        <v>38</v>
      </c>
      <c r="AA1344" s="1" t="s">
        <v>33</v>
      </c>
      <c r="AB1344" s="36" t="str" cm="1">
        <f t="array" ref="AB1344">_xlfn.IFS(K1344&gt;650,"LOW",K1344&gt;=550,"MEDIUM",K1344&lt;550,"HIGH")</f>
        <v>HIGH</v>
      </c>
    </row>
    <row r="1345" spans="3:28" x14ac:dyDescent="0.3">
      <c r="C1345" s="35" t="s">
        <v>3898</v>
      </c>
      <c r="D1345" s="1" t="s">
        <v>1902</v>
      </c>
      <c r="E1345" s="1">
        <v>31</v>
      </c>
      <c r="F1345" s="1" t="s">
        <v>44</v>
      </c>
      <c r="G1345" s="1" t="s">
        <v>56</v>
      </c>
      <c r="H1345" s="1" t="s">
        <v>36</v>
      </c>
      <c r="I1345" s="1" t="s">
        <v>57</v>
      </c>
      <c r="J1345" s="7">
        <v>83321</v>
      </c>
      <c r="K1345" s="1">
        <v>481</v>
      </c>
      <c r="L1345" s="7">
        <v>41622</v>
      </c>
      <c r="M1345" s="1">
        <v>36</v>
      </c>
      <c r="N1345" s="6">
        <v>7.9199999999999993E-2</v>
      </c>
      <c r="O1345" s="1" t="s">
        <v>37</v>
      </c>
      <c r="P1345" s="1" t="s">
        <v>50</v>
      </c>
      <c r="Q1345" s="1">
        <v>14</v>
      </c>
      <c r="R1345" s="1">
        <v>1</v>
      </c>
      <c r="S1345" s="1" t="s">
        <v>31</v>
      </c>
      <c r="T1345" s="1" t="s">
        <v>33</v>
      </c>
      <c r="U1345" s="1">
        <v>4</v>
      </c>
      <c r="V1345" s="1">
        <v>53739</v>
      </c>
      <c r="W1345" s="7">
        <v>1850.97</v>
      </c>
      <c r="X1345" s="1">
        <v>0.61</v>
      </c>
      <c r="Y1345" s="4">
        <v>44354</v>
      </c>
      <c r="Z1345" s="1" t="s">
        <v>38</v>
      </c>
      <c r="AA1345" s="1" t="s">
        <v>33</v>
      </c>
      <c r="AB1345" s="36" t="str" cm="1">
        <f t="array" ref="AB1345">_xlfn.IFS(K1345&gt;650,"LOW",K1345&gt;=550,"MEDIUM",K1345&lt;550,"HIGH")</f>
        <v>HIGH</v>
      </c>
    </row>
    <row r="1346" spans="3:28" x14ac:dyDescent="0.3">
      <c r="C1346" s="35" t="s">
        <v>2913</v>
      </c>
      <c r="D1346" s="1" t="s">
        <v>941</v>
      </c>
      <c r="E1346" s="1">
        <v>22</v>
      </c>
      <c r="F1346" s="1" t="s">
        <v>26</v>
      </c>
      <c r="G1346" s="1" t="s">
        <v>56</v>
      </c>
      <c r="H1346" s="1" t="s">
        <v>36</v>
      </c>
      <c r="I1346" s="1" t="s">
        <v>29</v>
      </c>
      <c r="J1346" s="7">
        <v>76017</v>
      </c>
      <c r="K1346" s="1">
        <v>480</v>
      </c>
      <c r="L1346" s="7">
        <v>21939</v>
      </c>
      <c r="M1346" s="1">
        <v>60</v>
      </c>
      <c r="N1346" s="6">
        <v>0.17230000000000001</v>
      </c>
      <c r="O1346" s="1" t="s">
        <v>52</v>
      </c>
      <c r="P1346" s="1" t="s">
        <v>30</v>
      </c>
      <c r="Q1346" s="1">
        <v>14</v>
      </c>
      <c r="R1346" s="1">
        <v>3</v>
      </c>
      <c r="S1346" s="1" t="s">
        <v>33</v>
      </c>
      <c r="T1346" s="1" t="s">
        <v>33</v>
      </c>
      <c r="U1346" s="1">
        <v>2</v>
      </c>
      <c r="V1346" s="1">
        <v>31722</v>
      </c>
      <c r="W1346" s="7">
        <v>1732.42</v>
      </c>
      <c r="X1346" s="1">
        <v>0.37</v>
      </c>
      <c r="Y1346" s="4">
        <v>44413</v>
      </c>
      <c r="Z1346" s="1" t="s">
        <v>38</v>
      </c>
      <c r="AA1346" s="1" t="s">
        <v>31</v>
      </c>
      <c r="AB1346" s="36" t="str" cm="1">
        <f t="array" ref="AB1346">_xlfn.IFS(K1346&gt;650,"LOW",K1346&gt;=550,"MEDIUM",K1346&lt;550,"HIGH")</f>
        <v>HIGH</v>
      </c>
    </row>
    <row r="1347" spans="3:28" x14ac:dyDescent="0.3">
      <c r="C1347" s="35" t="s">
        <v>3783</v>
      </c>
      <c r="D1347" s="1" t="s">
        <v>1790</v>
      </c>
      <c r="E1347" s="1">
        <v>51</v>
      </c>
      <c r="F1347" s="1" t="s">
        <v>26</v>
      </c>
      <c r="G1347" s="1" t="s">
        <v>27</v>
      </c>
      <c r="H1347" s="1" t="s">
        <v>36</v>
      </c>
      <c r="I1347" s="1" t="s">
        <v>40</v>
      </c>
      <c r="J1347" s="7">
        <v>34692</v>
      </c>
      <c r="K1347" s="1">
        <v>480</v>
      </c>
      <c r="L1347" s="7">
        <v>12549</v>
      </c>
      <c r="M1347" s="1">
        <v>12</v>
      </c>
      <c r="N1347" s="6">
        <v>7.3899999999999993E-2</v>
      </c>
      <c r="O1347" s="1" t="s">
        <v>63</v>
      </c>
      <c r="P1347" s="1" t="s">
        <v>47</v>
      </c>
      <c r="Q1347" s="1">
        <v>19</v>
      </c>
      <c r="R1347" s="1">
        <v>1</v>
      </c>
      <c r="S1347" s="1" t="s">
        <v>33</v>
      </c>
      <c r="T1347" s="1" t="s">
        <v>31</v>
      </c>
      <c r="U1347" s="1">
        <v>1</v>
      </c>
      <c r="V1347" s="1">
        <v>49729</v>
      </c>
      <c r="W1347" s="7">
        <v>1407.78</v>
      </c>
      <c r="X1347" s="1">
        <v>0.47</v>
      </c>
      <c r="Y1347" s="4">
        <v>44557</v>
      </c>
      <c r="Z1347" s="1" t="s">
        <v>32</v>
      </c>
      <c r="AA1347" s="1" t="s">
        <v>33</v>
      </c>
      <c r="AB1347" s="36" t="str" cm="1">
        <f t="array" ref="AB1347">_xlfn.IFS(K1347&gt;650,"LOW",K1347&gt;=550,"MEDIUM",K1347&lt;550,"HIGH")</f>
        <v>HIGH</v>
      </c>
    </row>
    <row r="1348" spans="3:28" x14ac:dyDescent="0.3">
      <c r="C1348" s="35" t="s">
        <v>3977</v>
      </c>
      <c r="D1348" s="1" t="s">
        <v>1977</v>
      </c>
      <c r="E1348" s="1">
        <v>37</v>
      </c>
      <c r="F1348" s="1" t="s">
        <v>44</v>
      </c>
      <c r="G1348" s="1" t="s">
        <v>56</v>
      </c>
      <c r="H1348" s="1" t="s">
        <v>61</v>
      </c>
      <c r="I1348" s="1" t="s">
        <v>59</v>
      </c>
      <c r="J1348" s="7">
        <v>124675</v>
      </c>
      <c r="K1348" s="1">
        <v>480</v>
      </c>
      <c r="L1348" s="7">
        <v>8311</v>
      </c>
      <c r="M1348" s="1">
        <v>12</v>
      </c>
      <c r="N1348" s="6">
        <v>0.1076</v>
      </c>
      <c r="O1348" s="1" t="s">
        <v>63</v>
      </c>
      <c r="P1348" s="1" t="s">
        <v>50</v>
      </c>
      <c r="Q1348" s="1">
        <v>8</v>
      </c>
      <c r="R1348" s="1">
        <v>0</v>
      </c>
      <c r="S1348" s="1" t="s">
        <v>31</v>
      </c>
      <c r="T1348" s="1" t="s">
        <v>33</v>
      </c>
      <c r="U1348" s="1">
        <v>0</v>
      </c>
      <c r="V1348" s="1">
        <v>101438</v>
      </c>
      <c r="W1348" s="7">
        <v>207.67</v>
      </c>
      <c r="X1348" s="1">
        <v>0.83</v>
      </c>
      <c r="Y1348" s="4">
        <v>45648</v>
      </c>
      <c r="Z1348" s="1" t="s">
        <v>38</v>
      </c>
      <c r="AA1348" s="1" t="s">
        <v>33</v>
      </c>
      <c r="AB1348" s="36" t="str" cm="1">
        <f t="array" ref="AB1348">_xlfn.IFS(K1348&gt;650,"LOW",K1348&gt;=550,"MEDIUM",K1348&lt;550,"HIGH")</f>
        <v>HIGH</v>
      </c>
    </row>
    <row r="1349" spans="3:28" x14ac:dyDescent="0.3">
      <c r="C1349" s="35" t="s">
        <v>2717</v>
      </c>
      <c r="D1349" s="1" t="s">
        <v>747</v>
      </c>
      <c r="E1349" s="1">
        <v>25</v>
      </c>
      <c r="F1349" s="1" t="s">
        <v>44</v>
      </c>
      <c r="G1349" s="1" t="s">
        <v>45</v>
      </c>
      <c r="H1349" s="1" t="s">
        <v>36</v>
      </c>
      <c r="I1349" s="1" t="s">
        <v>59</v>
      </c>
      <c r="J1349" s="7">
        <v>57260</v>
      </c>
      <c r="K1349" s="1">
        <v>479</v>
      </c>
      <c r="L1349" s="7">
        <v>37725</v>
      </c>
      <c r="M1349" s="1">
        <v>60</v>
      </c>
      <c r="N1349" s="6">
        <v>0.13789999999999999</v>
      </c>
      <c r="O1349" s="1" t="s">
        <v>46</v>
      </c>
      <c r="P1349" s="1" t="s">
        <v>50</v>
      </c>
      <c r="Q1349" s="1">
        <v>8</v>
      </c>
      <c r="R1349" s="1">
        <v>3</v>
      </c>
      <c r="S1349" s="1" t="s">
        <v>31</v>
      </c>
      <c r="T1349" s="1" t="s">
        <v>31</v>
      </c>
      <c r="U1349" s="1">
        <v>1</v>
      </c>
      <c r="V1349" s="1">
        <v>38921</v>
      </c>
      <c r="W1349" s="7">
        <v>1884.21</v>
      </c>
      <c r="X1349" s="1">
        <v>0.2</v>
      </c>
      <c r="Y1349" s="4">
        <v>45062</v>
      </c>
      <c r="Z1349" s="1" t="s">
        <v>32</v>
      </c>
      <c r="AA1349" s="1" t="s">
        <v>33</v>
      </c>
      <c r="AB1349" s="36" t="str" cm="1">
        <f t="array" ref="AB1349">_xlfn.IFS(K1349&gt;650,"LOW",K1349&gt;=550,"MEDIUM",K1349&lt;550,"HIGH")</f>
        <v>HIGH</v>
      </c>
    </row>
    <row r="1350" spans="3:28" x14ac:dyDescent="0.3">
      <c r="C1350" s="35" t="s">
        <v>3681</v>
      </c>
      <c r="D1350" s="1" t="s">
        <v>1693</v>
      </c>
      <c r="E1350" s="1">
        <v>58</v>
      </c>
      <c r="F1350" s="1" t="s">
        <v>26</v>
      </c>
      <c r="G1350" s="1" t="s">
        <v>35</v>
      </c>
      <c r="H1350" s="1" t="s">
        <v>28</v>
      </c>
      <c r="I1350" s="1" t="s">
        <v>29</v>
      </c>
      <c r="J1350" s="7">
        <v>107236</v>
      </c>
      <c r="K1350" s="1">
        <v>479</v>
      </c>
      <c r="L1350" s="7">
        <v>9747</v>
      </c>
      <c r="M1350" s="1">
        <v>48</v>
      </c>
      <c r="N1350" s="6">
        <v>0.18679999999999999</v>
      </c>
      <c r="O1350" s="1" t="s">
        <v>41</v>
      </c>
      <c r="P1350" s="1" t="s">
        <v>30</v>
      </c>
      <c r="Q1350" s="1">
        <v>13</v>
      </c>
      <c r="R1350" s="1">
        <v>1</v>
      </c>
      <c r="S1350" s="1" t="s">
        <v>31</v>
      </c>
      <c r="T1350" s="1" t="s">
        <v>31</v>
      </c>
      <c r="U1350" s="1">
        <v>2</v>
      </c>
      <c r="V1350" s="1">
        <v>153450</v>
      </c>
      <c r="W1350" s="7">
        <v>1538.01</v>
      </c>
      <c r="X1350" s="1">
        <v>0.99</v>
      </c>
      <c r="Y1350" s="4">
        <v>45213</v>
      </c>
      <c r="Z1350" s="1" t="s">
        <v>38</v>
      </c>
      <c r="AA1350" s="1" t="s">
        <v>31</v>
      </c>
      <c r="AB1350" s="36" t="str" cm="1">
        <f t="array" ref="AB1350">_xlfn.IFS(K1350&gt;650,"LOW",K1350&gt;=550,"MEDIUM",K1350&lt;550,"HIGH")</f>
        <v>HIGH</v>
      </c>
    </row>
    <row r="1351" spans="3:28" x14ac:dyDescent="0.3">
      <c r="C1351" s="35" t="s">
        <v>3754</v>
      </c>
      <c r="D1351" s="1" t="s">
        <v>1762</v>
      </c>
      <c r="E1351" s="1">
        <v>52</v>
      </c>
      <c r="F1351" s="1" t="s">
        <v>26</v>
      </c>
      <c r="G1351" s="1" t="s">
        <v>45</v>
      </c>
      <c r="H1351" s="1" t="s">
        <v>36</v>
      </c>
      <c r="I1351" s="1" t="s">
        <v>40</v>
      </c>
      <c r="J1351" s="7">
        <v>128775</v>
      </c>
      <c r="K1351" s="1">
        <v>479</v>
      </c>
      <c r="L1351" s="7">
        <v>48249</v>
      </c>
      <c r="M1351" s="1">
        <v>24</v>
      </c>
      <c r="N1351" s="6">
        <v>0.1482</v>
      </c>
      <c r="O1351" s="1" t="s">
        <v>52</v>
      </c>
      <c r="P1351" s="1" t="s">
        <v>47</v>
      </c>
      <c r="Q1351" s="1">
        <v>8</v>
      </c>
      <c r="R1351" s="1">
        <v>1</v>
      </c>
      <c r="S1351" s="1" t="s">
        <v>31</v>
      </c>
      <c r="T1351" s="1" t="s">
        <v>31</v>
      </c>
      <c r="U1351" s="1">
        <v>4</v>
      </c>
      <c r="V1351" s="1">
        <v>21053</v>
      </c>
      <c r="W1351" s="7">
        <v>725.6</v>
      </c>
      <c r="X1351" s="1">
        <v>0.89</v>
      </c>
      <c r="Y1351" s="4">
        <v>44990</v>
      </c>
      <c r="Z1351" s="1" t="s">
        <v>38</v>
      </c>
      <c r="AA1351" s="1" t="s">
        <v>33</v>
      </c>
      <c r="AB1351" s="36" t="str" cm="1">
        <f t="array" ref="AB1351">_xlfn.IFS(K1351&gt;650,"LOW",K1351&gt;=550,"MEDIUM",K1351&lt;550,"HIGH")</f>
        <v>HIGH</v>
      </c>
    </row>
    <row r="1352" spans="3:28" x14ac:dyDescent="0.3">
      <c r="C1352" s="35" t="s">
        <v>3859</v>
      </c>
      <c r="D1352" s="1" t="s">
        <v>1865</v>
      </c>
      <c r="E1352" s="1">
        <v>60</v>
      </c>
      <c r="F1352" s="1" t="s">
        <v>44</v>
      </c>
      <c r="G1352" s="1" t="s">
        <v>27</v>
      </c>
      <c r="H1352" s="1" t="s">
        <v>36</v>
      </c>
      <c r="I1352" s="1" t="s">
        <v>40</v>
      </c>
      <c r="J1352" s="7">
        <v>90248</v>
      </c>
      <c r="K1352" s="1">
        <v>479</v>
      </c>
      <c r="L1352" s="7">
        <v>3076</v>
      </c>
      <c r="M1352" s="1">
        <v>12</v>
      </c>
      <c r="N1352" s="6">
        <v>0.18059999999999998</v>
      </c>
      <c r="O1352" s="1" t="s">
        <v>41</v>
      </c>
      <c r="P1352" s="1" t="s">
        <v>47</v>
      </c>
      <c r="Q1352" s="1">
        <v>5</v>
      </c>
      <c r="R1352" s="1">
        <v>2</v>
      </c>
      <c r="S1352" s="1" t="s">
        <v>33</v>
      </c>
      <c r="T1352" s="1" t="s">
        <v>31</v>
      </c>
      <c r="U1352" s="1">
        <v>4</v>
      </c>
      <c r="V1352" s="1">
        <v>133135</v>
      </c>
      <c r="W1352" s="7">
        <v>478.73</v>
      </c>
      <c r="X1352" s="1">
        <v>0.13</v>
      </c>
      <c r="Y1352" s="4">
        <v>44788</v>
      </c>
      <c r="Z1352" s="1" t="s">
        <v>32</v>
      </c>
      <c r="AA1352" s="1" t="s">
        <v>31</v>
      </c>
      <c r="AB1352" s="36" t="str" cm="1">
        <f t="array" ref="AB1352">_xlfn.IFS(K1352&gt;650,"LOW",K1352&gt;=550,"MEDIUM",K1352&lt;550,"HIGH")</f>
        <v>HIGH</v>
      </c>
    </row>
    <row r="1353" spans="3:28" x14ac:dyDescent="0.3">
      <c r="C1353" s="35" t="s">
        <v>2399</v>
      </c>
      <c r="D1353" s="1" t="s">
        <v>429</v>
      </c>
      <c r="E1353" s="1">
        <v>43</v>
      </c>
      <c r="F1353" s="1" t="s">
        <v>44</v>
      </c>
      <c r="G1353" s="1" t="s">
        <v>56</v>
      </c>
      <c r="H1353" s="1" t="s">
        <v>61</v>
      </c>
      <c r="I1353" s="1" t="s">
        <v>57</v>
      </c>
      <c r="J1353" s="7">
        <v>117382</v>
      </c>
      <c r="K1353" s="1">
        <v>478</v>
      </c>
      <c r="L1353" s="7">
        <v>49205</v>
      </c>
      <c r="M1353" s="1">
        <v>60</v>
      </c>
      <c r="N1353" s="6">
        <v>0.18030000000000002</v>
      </c>
      <c r="O1353" s="1" t="s">
        <v>37</v>
      </c>
      <c r="P1353" s="1" t="s">
        <v>47</v>
      </c>
      <c r="Q1353" s="1">
        <v>22</v>
      </c>
      <c r="R1353" s="1">
        <v>3</v>
      </c>
      <c r="S1353" s="1" t="s">
        <v>31</v>
      </c>
      <c r="T1353" s="1" t="s">
        <v>33</v>
      </c>
      <c r="U1353" s="1">
        <v>4</v>
      </c>
      <c r="V1353" s="1">
        <v>35927</v>
      </c>
      <c r="W1353" s="7">
        <v>1622.36</v>
      </c>
      <c r="X1353" s="1">
        <v>0.86</v>
      </c>
      <c r="Y1353" s="4">
        <v>44660</v>
      </c>
      <c r="Z1353" s="1" t="s">
        <v>32</v>
      </c>
      <c r="AA1353" s="1" t="s">
        <v>33</v>
      </c>
      <c r="AB1353" s="36" t="str" cm="1">
        <f t="array" ref="AB1353">_xlfn.IFS(K1353&gt;650,"LOW",K1353&gt;=550,"MEDIUM",K1353&lt;550,"HIGH")</f>
        <v>HIGH</v>
      </c>
    </row>
    <row r="1354" spans="3:28" x14ac:dyDescent="0.3">
      <c r="C1354" s="35" t="s">
        <v>3339</v>
      </c>
      <c r="D1354" s="1" t="s">
        <v>1361</v>
      </c>
      <c r="E1354" s="1">
        <v>45</v>
      </c>
      <c r="F1354" s="1" t="s">
        <v>44</v>
      </c>
      <c r="G1354" s="1" t="s">
        <v>35</v>
      </c>
      <c r="H1354" s="1" t="s">
        <v>61</v>
      </c>
      <c r="I1354" s="1" t="s">
        <v>29</v>
      </c>
      <c r="J1354" s="7">
        <v>137174</v>
      </c>
      <c r="K1354" s="1">
        <v>478</v>
      </c>
      <c r="L1354" s="7">
        <v>14412</v>
      </c>
      <c r="M1354" s="1">
        <v>12</v>
      </c>
      <c r="N1354" s="6">
        <v>5.6900000000000006E-2</v>
      </c>
      <c r="O1354" s="1" t="s">
        <v>37</v>
      </c>
      <c r="P1354" s="1" t="s">
        <v>47</v>
      </c>
      <c r="Q1354" s="1">
        <v>17</v>
      </c>
      <c r="R1354" s="1">
        <v>4</v>
      </c>
      <c r="S1354" s="1" t="s">
        <v>31</v>
      </c>
      <c r="T1354" s="1" t="s">
        <v>33</v>
      </c>
      <c r="U1354" s="1">
        <v>4</v>
      </c>
      <c r="V1354" s="1">
        <v>124458</v>
      </c>
      <c r="W1354" s="7">
        <v>880.81</v>
      </c>
      <c r="X1354" s="1">
        <v>0.83</v>
      </c>
      <c r="Y1354" s="4">
        <v>44707</v>
      </c>
      <c r="Z1354" s="1" t="s">
        <v>38</v>
      </c>
      <c r="AA1354" s="1" t="s">
        <v>33</v>
      </c>
      <c r="AB1354" s="36" t="str" cm="1">
        <f t="array" ref="AB1354">_xlfn.IFS(K1354&gt;650,"LOW",K1354&gt;=550,"MEDIUM",K1354&lt;550,"HIGH")</f>
        <v>HIGH</v>
      </c>
    </row>
    <row r="1355" spans="3:28" x14ac:dyDescent="0.3">
      <c r="C1355" s="35" t="s">
        <v>4013</v>
      </c>
      <c r="D1355" s="1" t="s">
        <v>2013</v>
      </c>
      <c r="E1355" s="1">
        <v>39</v>
      </c>
      <c r="F1355" s="1" t="s">
        <v>44</v>
      </c>
      <c r="G1355" s="1" t="s">
        <v>35</v>
      </c>
      <c r="H1355" s="1" t="s">
        <v>61</v>
      </c>
      <c r="I1355" s="1" t="s">
        <v>59</v>
      </c>
      <c r="J1355" s="7">
        <v>145610</v>
      </c>
      <c r="K1355" s="1">
        <v>478</v>
      </c>
      <c r="L1355" s="7">
        <v>41134</v>
      </c>
      <c r="M1355" s="1">
        <v>24</v>
      </c>
      <c r="N1355" s="6">
        <v>7.690000000000001E-2</v>
      </c>
      <c r="O1355" s="1" t="s">
        <v>63</v>
      </c>
      <c r="P1355" s="1" t="s">
        <v>50</v>
      </c>
      <c r="Q1355" s="1">
        <v>13</v>
      </c>
      <c r="R1355" s="1">
        <v>2</v>
      </c>
      <c r="S1355" s="1" t="s">
        <v>31</v>
      </c>
      <c r="T1355" s="1" t="s">
        <v>33</v>
      </c>
      <c r="U1355" s="1">
        <v>2</v>
      </c>
      <c r="V1355" s="1">
        <v>151818</v>
      </c>
      <c r="W1355" s="7">
        <v>284.33999999999997</v>
      </c>
      <c r="X1355" s="1">
        <v>0.18</v>
      </c>
      <c r="Y1355" s="4">
        <v>44615</v>
      </c>
      <c r="Z1355" s="1" t="s">
        <v>38</v>
      </c>
      <c r="AA1355" s="1" t="s">
        <v>33</v>
      </c>
      <c r="AB1355" s="36" t="str" cm="1">
        <f t="array" ref="AB1355">_xlfn.IFS(K1355&gt;650,"LOW",K1355&gt;=550,"MEDIUM",K1355&lt;550,"HIGH")</f>
        <v>HIGH</v>
      </c>
    </row>
    <row r="1356" spans="3:28" x14ac:dyDescent="0.3">
      <c r="C1356" s="35" t="s">
        <v>2386</v>
      </c>
      <c r="D1356" s="1" t="s">
        <v>416</v>
      </c>
      <c r="E1356" s="1">
        <v>56</v>
      </c>
      <c r="F1356" s="1" t="s">
        <v>26</v>
      </c>
      <c r="G1356" s="1" t="s">
        <v>27</v>
      </c>
      <c r="H1356" s="1" t="s">
        <v>61</v>
      </c>
      <c r="I1356" s="1" t="s">
        <v>29</v>
      </c>
      <c r="J1356" s="7">
        <v>143193</v>
      </c>
      <c r="K1356" s="1">
        <v>477</v>
      </c>
      <c r="L1356" s="7">
        <v>6239</v>
      </c>
      <c r="M1356" s="1">
        <v>48</v>
      </c>
      <c r="N1356" s="6">
        <v>0.1573</v>
      </c>
      <c r="O1356" s="1" t="s">
        <v>5</v>
      </c>
      <c r="P1356" s="1" t="s">
        <v>47</v>
      </c>
      <c r="Q1356" s="1">
        <v>14</v>
      </c>
      <c r="R1356" s="1">
        <v>3</v>
      </c>
      <c r="S1356" s="1" t="s">
        <v>31</v>
      </c>
      <c r="T1356" s="1" t="s">
        <v>33</v>
      </c>
      <c r="U1356" s="1">
        <v>3</v>
      </c>
      <c r="V1356" s="1">
        <v>189749</v>
      </c>
      <c r="W1356" s="7">
        <v>1183.67</v>
      </c>
      <c r="X1356" s="1">
        <v>0.79</v>
      </c>
      <c r="Y1356" s="4">
        <v>45287</v>
      </c>
      <c r="Z1356" s="1" t="s">
        <v>38</v>
      </c>
      <c r="AA1356" s="1" t="s">
        <v>33</v>
      </c>
      <c r="AB1356" s="36" t="str" cm="1">
        <f t="array" ref="AB1356">_xlfn.IFS(K1356&gt;650,"LOW",K1356&gt;=550,"MEDIUM",K1356&lt;550,"HIGH")</f>
        <v>HIGH</v>
      </c>
    </row>
    <row r="1357" spans="3:28" x14ac:dyDescent="0.3">
      <c r="C1357" s="35" t="s">
        <v>2884</v>
      </c>
      <c r="D1357" s="1" t="s">
        <v>912</v>
      </c>
      <c r="E1357" s="1">
        <v>39</v>
      </c>
      <c r="F1357" s="1" t="s">
        <v>44</v>
      </c>
      <c r="G1357" s="1" t="s">
        <v>56</v>
      </c>
      <c r="H1357" s="1" t="s">
        <v>61</v>
      </c>
      <c r="I1357" s="1" t="s">
        <v>57</v>
      </c>
      <c r="J1357" s="7">
        <v>147717</v>
      </c>
      <c r="K1357" s="1">
        <v>477</v>
      </c>
      <c r="L1357" s="7">
        <v>22354</v>
      </c>
      <c r="M1357" s="1">
        <v>24</v>
      </c>
      <c r="N1357" s="6">
        <v>0.14249999999999999</v>
      </c>
      <c r="O1357" s="1" t="s">
        <v>37</v>
      </c>
      <c r="P1357" s="1" t="s">
        <v>47</v>
      </c>
      <c r="Q1357" s="1">
        <v>8</v>
      </c>
      <c r="R1357" s="1">
        <v>0</v>
      </c>
      <c r="S1357" s="1" t="s">
        <v>31</v>
      </c>
      <c r="T1357" s="1" t="s">
        <v>31</v>
      </c>
      <c r="U1357" s="1">
        <v>1</v>
      </c>
      <c r="V1357" s="1">
        <v>47674</v>
      </c>
      <c r="W1357" s="7">
        <v>573.28</v>
      </c>
      <c r="X1357" s="1">
        <v>0.24</v>
      </c>
      <c r="Y1357" s="4">
        <v>44599</v>
      </c>
      <c r="Z1357" s="1" t="s">
        <v>38</v>
      </c>
      <c r="AA1357" s="1" t="s">
        <v>33</v>
      </c>
      <c r="AB1357" s="36" t="str" cm="1">
        <f t="array" ref="AB1357">_xlfn.IFS(K1357&gt;650,"LOW",K1357&gt;=550,"MEDIUM",K1357&lt;550,"HIGH")</f>
        <v>HIGH</v>
      </c>
    </row>
    <row r="1358" spans="3:28" x14ac:dyDescent="0.3">
      <c r="C1358" s="35" t="s">
        <v>2960</v>
      </c>
      <c r="D1358" s="1" t="s">
        <v>988</v>
      </c>
      <c r="E1358" s="1">
        <v>57</v>
      </c>
      <c r="F1358" s="1" t="s">
        <v>26</v>
      </c>
      <c r="G1358" s="1" t="s">
        <v>27</v>
      </c>
      <c r="H1358" s="1" t="s">
        <v>61</v>
      </c>
      <c r="I1358" s="1" t="s">
        <v>40</v>
      </c>
      <c r="J1358" s="7">
        <v>97567</v>
      </c>
      <c r="K1358" s="1">
        <v>477</v>
      </c>
      <c r="L1358" s="7">
        <v>19677</v>
      </c>
      <c r="M1358" s="1">
        <v>48</v>
      </c>
      <c r="N1358" s="6">
        <v>0.1462</v>
      </c>
      <c r="O1358" s="1" t="s">
        <v>5</v>
      </c>
      <c r="P1358" s="1" t="s">
        <v>50</v>
      </c>
      <c r="Q1358" s="1">
        <v>13</v>
      </c>
      <c r="R1358" s="1">
        <v>1</v>
      </c>
      <c r="S1358" s="1" t="s">
        <v>33</v>
      </c>
      <c r="T1358" s="1" t="s">
        <v>31</v>
      </c>
      <c r="U1358" s="1">
        <v>4</v>
      </c>
      <c r="V1358" s="1">
        <v>3687</v>
      </c>
      <c r="W1358" s="7">
        <v>460.69</v>
      </c>
      <c r="X1358" s="1">
        <v>0.44</v>
      </c>
      <c r="Y1358" s="4">
        <v>44427</v>
      </c>
      <c r="Z1358" s="1" t="s">
        <v>38</v>
      </c>
      <c r="AA1358" s="1" t="s">
        <v>33</v>
      </c>
      <c r="AB1358" s="36" t="str" cm="1">
        <f t="array" ref="AB1358">_xlfn.IFS(K1358&gt;650,"LOW",K1358&gt;=550,"MEDIUM",K1358&lt;550,"HIGH")</f>
        <v>HIGH</v>
      </c>
    </row>
    <row r="1359" spans="3:28" x14ac:dyDescent="0.3">
      <c r="C1359" s="35" t="s">
        <v>3229</v>
      </c>
      <c r="D1359" s="1" t="s">
        <v>1253</v>
      </c>
      <c r="E1359" s="1">
        <v>22</v>
      </c>
      <c r="F1359" s="1" t="s">
        <v>44</v>
      </c>
      <c r="G1359" s="1" t="s">
        <v>35</v>
      </c>
      <c r="H1359" s="1" t="s">
        <v>28</v>
      </c>
      <c r="I1359" s="1" t="s">
        <v>59</v>
      </c>
      <c r="J1359" s="7">
        <v>68037</v>
      </c>
      <c r="K1359" s="1">
        <v>477</v>
      </c>
      <c r="L1359" s="7">
        <v>12519</v>
      </c>
      <c r="M1359" s="1">
        <v>48</v>
      </c>
      <c r="N1359" s="6">
        <v>6.3500000000000001E-2</v>
      </c>
      <c r="O1359" s="1" t="s">
        <v>37</v>
      </c>
      <c r="P1359" s="1" t="s">
        <v>47</v>
      </c>
      <c r="Q1359" s="1">
        <v>15</v>
      </c>
      <c r="R1359" s="1">
        <v>0</v>
      </c>
      <c r="S1359" s="1" t="s">
        <v>31</v>
      </c>
      <c r="T1359" s="1" t="s">
        <v>31</v>
      </c>
      <c r="U1359" s="1">
        <v>4</v>
      </c>
      <c r="V1359" s="1">
        <v>107596</v>
      </c>
      <c r="W1359" s="7">
        <v>797.77</v>
      </c>
      <c r="X1359" s="1">
        <v>0.21</v>
      </c>
      <c r="Y1359" s="4">
        <v>44726</v>
      </c>
      <c r="Z1359" s="1" t="s">
        <v>32</v>
      </c>
      <c r="AA1359" s="1" t="s">
        <v>33</v>
      </c>
      <c r="AB1359" s="36" t="str" cm="1">
        <f t="array" ref="AB1359">_xlfn.IFS(K1359&gt;650,"LOW",K1359&gt;=550,"MEDIUM",K1359&lt;550,"HIGH")</f>
        <v>HIGH</v>
      </c>
    </row>
    <row r="1360" spans="3:28" x14ac:dyDescent="0.3">
      <c r="C1360" s="35" t="s">
        <v>3919</v>
      </c>
      <c r="D1360" s="1" t="s">
        <v>1923</v>
      </c>
      <c r="E1360" s="1">
        <v>57</v>
      </c>
      <c r="F1360" s="1" t="s">
        <v>26</v>
      </c>
      <c r="G1360" s="1" t="s">
        <v>27</v>
      </c>
      <c r="H1360" s="1" t="s">
        <v>28</v>
      </c>
      <c r="I1360" s="1" t="s">
        <v>40</v>
      </c>
      <c r="J1360" s="7">
        <v>125909</v>
      </c>
      <c r="K1360" s="1">
        <v>477</v>
      </c>
      <c r="L1360" s="7">
        <v>19672</v>
      </c>
      <c r="M1360" s="1">
        <v>24</v>
      </c>
      <c r="N1360" s="6">
        <v>0.11710000000000001</v>
      </c>
      <c r="O1360" s="1" t="s">
        <v>37</v>
      </c>
      <c r="P1360" s="1" t="s">
        <v>47</v>
      </c>
      <c r="Q1360" s="1">
        <v>6</v>
      </c>
      <c r="R1360" s="1">
        <v>4</v>
      </c>
      <c r="S1360" s="1" t="s">
        <v>31</v>
      </c>
      <c r="T1360" s="1" t="s">
        <v>31</v>
      </c>
      <c r="U1360" s="1">
        <v>2</v>
      </c>
      <c r="V1360" s="1">
        <v>108987</v>
      </c>
      <c r="W1360" s="7">
        <v>742.58</v>
      </c>
      <c r="X1360" s="1">
        <v>0.68</v>
      </c>
      <c r="Y1360" s="4">
        <v>44228</v>
      </c>
      <c r="Z1360" s="1" t="s">
        <v>32</v>
      </c>
      <c r="AA1360" s="1" t="s">
        <v>33</v>
      </c>
      <c r="AB1360" s="36" t="str" cm="1">
        <f t="array" ref="AB1360">_xlfn.IFS(K1360&gt;650,"LOW",K1360&gt;=550,"MEDIUM",K1360&lt;550,"HIGH")</f>
        <v>HIGH</v>
      </c>
    </row>
    <row r="1361" spans="3:28" x14ac:dyDescent="0.3">
      <c r="C1361" s="35" t="s">
        <v>2131</v>
      </c>
      <c r="D1361" s="1" t="s">
        <v>162</v>
      </c>
      <c r="E1361" s="1">
        <v>53</v>
      </c>
      <c r="F1361" s="1" t="s">
        <v>44</v>
      </c>
      <c r="G1361" s="1" t="s">
        <v>35</v>
      </c>
      <c r="H1361" s="1" t="s">
        <v>54</v>
      </c>
      <c r="I1361" s="1" t="s">
        <v>40</v>
      </c>
      <c r="J1361" s="7">
        <v>37205</v>
      </c>
      <c r="K1361" s="1">
        <v>476</v>
      </c>
      <c r="L1361" s="7">
        <v>26989</v>
      </c>
      <c r="M1361" s="1">
        <v>60</v>
      </c>
      <c r="N1361" s="6">
        <v>0.10210000000000001</v>
      </c>
      <c r="O1361" s="1" t="s">
        <v>46</v>
      </c>
      <c r="P1361" s="1" t="s">
        <v>50</v>
      </c>
      <c r="Q1361" s="1">
        <v>14</v>
      </c>
      <c r="R1361" s="1">
        <v>1</v>
      </c>
      <c r="S1361" s="1" t="s">
        <v>33</v>
      </c>
      <c r="T1361" s="1" t="s">
        <v>31</v>
      </c>
      <c r="U1361" s="1">
        <v>3</v>
      </c>
      <c r="V1361" s="1">
        <v>53602</v>
      </c>
      <c r="W1361" s="7">
        <v>1926.59</v>
      </c>
      <c r="X1361" s="1">
        <v>0.1</v>
      </c>
      <c r="Y1361" s="4">
        <v>45746</v>
      </c>
      <c r="Z1361" s="1" t="s">
        <v>38</v>
      </c>
      <c r="AA1361" s="1" t="s">
        <v>33</v>
      </c>
      <c r="AB1361" s="36" t="str" cm="1">
        <f t="array" ref="AB1361">_xlfn.IFS(K1361&gt;650,"LOW",K1361&gt;=550,"MEDIUM",K1361&lt;550,"HIGH")</f>
        <v>HIGH</v>
      </c>
    </row>
    <row r="1362" spans="3:28" x14ac:dyDescent="0.3">
      <c r="C1362" s="35" t="s">
        <v>2512</v>
      </c>
      <c r="D1362" s="1" t="s">
        <v>542</v>
      </c>
      <c r="E1362" s="1">
        <v>46</v>
      </c>
      <c r="F1362" s="1" t="s">
        <v>44</v>
      </c>
      <c r="G1362" s="1" t="s">
        <v>35</v>
      </c>
      <c r="H1362" s="1" t="s">
        <v>54</v>
      </c>
      <c r="I1362" s="1" t="s">
        <v>40</v>
      </c>
      <c r="J1362" s="7">
        <v>83668</v>
      </c>
      <c r="K1362" s="1">
        <v>476</v>
      </c>
      <c r="L1362" s="7">
        <v>34586</v>
      </c>
      <c r="M1362" s="1">
        <v>12</v>
      </c>
      <c r="N1362" s="6">
        <v>7.3200000000000001E-2</v>
      </c>
      <c r="O1362" s="1" t="s">
        <v>46</v>
      </c>
      <c r="P1362" s="1" t="s">
        <v>30</v>
      </c>
      <c r="Q1362" s="1">
        <v>1</v>
      </c>
      <c r="R1362" s="1">
        <v>0</v>
      </c>
      <c r="S1362" s="1" t="s">
        <v>31</v>
      </c>
      <c r="T1362" s="1" t="s">
        <v>33</v>
      </c>
      <c r="U1362" s="1">
        <v>0</v>
      </c>
      <c r="V1362" s="1">
        <v>75012</v>
      </c>
      <c r="W1362" s="7">
        <v>1865.42</v>
      </c>
      <c r="X1362" s="1">
        <v>0.64</v>
      </c>
      <c r="Y1362" s="4">
        <v>45039</v>
      </c>
      <c r="Z1362" s="1" t="s">
        <v>32</v>
      </c>
      <c r="AA1362" s="1" t="s">
        <v>31</v>
      </c>
      <c r="AB1362" s="36" t="str" cm="1">
        <f t="array" ref="AB1362">_xlfn.IFS(K1362&gt;650,"LOW",K1362&gt;=550,"MEDIUM",K1362&lt;550,"HIGH")</f>
        <v>HIGH</v>
      </c>
    </row>
    <row r="1363" spans="3:28" x14ac:dyDescent="0.3">
      <c r="C1363" s="35" t="s">
        <v>2154</v>
      </c>
      <c r="D1363" s="1" t="s">
        <v>185</v>
      </c>
      <c r="E1363" s="1">
        <v>35</v>
      </c>
      <c r="F1363" s="1" t="s">
        <v>26</v>
      </c>
      <c r="G1363" s="1" t="s">
        <v>45</v>
      </c>
      <c r="H1363" s="1" t="s">
        <v>61</v>
      </c>
      <c r="I1363" s="1" t="s">
        <v>29</v>
      </c>
      <c r="J1363" s="7">
        <v>119226</v>
      </c>
      <c r="K1363" s="1">
        <v>475</v>
      </c>
      <c r="L1363" s="7">
        <v>24052</v>
      </c>
      <c r="M1363" s="1">
        <v>24</v>
      </c>
      <c r="N1363" s="6">
        <v>0.17</v>
      </c>
      <c r="O1363" s="1" t="s">
        <v>46</v>
      </c>
      <c r="P1363" s="1" t="s">
        <v>50</v>
      </c>
      <c r="Q1363" s="1">
        <v>18</v>
      </c>
      <c r="R1363" s="1">
        <v>3</v>
      </c>
      <c r="S1363" s="1" t="s">
        <v>31</v>
      </c>
      <c r="T1363" s="1" t="s">
        <v>33</v>
      </c>
      <c r="U1363" s="1">
        <v>0</v>
      </c>
      <c r="V1363" s="1">
        <v>53482</v>
      </c>
      <c r="W1363" s="7">
        <v>217.53</v>
      </c>
      <c r="X1363" s="1">
        <v>0.61</v>
      </c>
      <c r="Y1363" s="4">
        <v>45420</v>
      </c>
      <c r="Z1363" s="1" t="s">
        <v>38</v>
      </c>
      <c r="AA1363" s="1" t="s">
        <v>31</v>
      </c>
      <c r="AB1363" s="36" t="str" cm="1">
        <f t="array" ref="AB1363">_xlfn.IFS(K1363&gt;650,"LOW",K1363&gt;=550,"MEDIUM",K1363&lt;550,"HIGH")</f>
        <v>HIGH</v>
      </c>
    </row>
    <row r="1364" spans="3:28" x14ac:dyDescent="0.3">
      <c r="C1364" s="35" t="s">
        <v>2280</v>
      </c>
      <c r="D1364" s="1" t="s">
        <v>311</v>
      </c>
      <c r="E1364" s="1">
        <v>29</v>
      </c>
      <c r="F1364" s="1" t="s">
        <v>26</v>
      </c>
      <c r="G1364" s="1" t="s">
        <v>56</v>
      </c>
      <c r="H1364" s="1" t="s">
        <v>54</v>
      </c>
      <c r="I1364" s="1" t="s">
        <v>29</v>
      </c>
      <c r="J1364" s="7">
        <v>36532</v>
      </c>
      <c r="K1364" s="1">
        <v>475</v>
      </c>
      <c r="L1364" s="7">
        <v>8043</v>
      </c>
      <c r="M1364" s="1">
        <v>12</v>
      </c>
      <c r="N1364" s="6">
        <v>0.183</v>
      </c>
      <c r="O1364" s="1" t="s">
        <v>63</v>
      </c>
      <c r="P1364" s="1" t="s">
        <v>30</v>
      </c>
      <c r="Q1364" s="1">
        <v>21</v>
      </c>
      <c r="R1364" s="1">
        <v>2</v>
      </c>
      <c r="S1364" s="1" t="s">
        <v>31</v>
      </c>
      <c r="T1364" s="1" t="s">
        <v>31</v>
      </c>
      <c r="U1364" s="1">
        <v>4</v>
      </c>
      <c r="V1364" s="1">
        <v>81254</v>
      </c>
      <c r="W1364" s="7">
        <v>1532.52</v>
      </c>
      <c r="X1364" s="1">
        <v>0.19</v>
      </c>
      <c r="Y1364" s="4">
        <v>44476</v>
      </c>
      <c r="Z1364" s="1" t="s">
        <v>32</v>
      </c>
      <c r="AA1364" s="1" t="s">
        <v>33</v>
      </c>
      <c r="AB1364" s="36" t="str" cm="1">
        <f t="array" ref="AB1364">_xlfn.IFS(K1364&gt;650,"LOW",K1364&gt;=550,"MEDIUM",K1364&lt;550,"HIGH")</f>
        <v>HIGH</v>
      </c>
    </row>
    <row r="1365" spans="3:28" x14ac:dyDescent="0.3">
      <c r="C1365" s="35" t="s">
        <v>2542</v>
      </c>
      <c r="D1365" s="1" t="s">
        <v>572</v>
      </c>
      <c r="E1365" s="1">
        <v>32</v>
      </c>
      <c r="F1365" s="1" t="s">
        <v>44</v>
      </c>
      <c r="G1365" s="1" t="s">
        <v>27</v>
      </c>
      <c r="H1365" s="1" t="s">
        <v>61</v>
      </c>
      <c r="I1365" s="1" t="s">
        <v>57</v>
      </c>
      <c r="J1365" s="7">
        <v>123496</v>
      </c>
      <c r="K1365" s="1">
        <v>475</v>
      </c>
      <c r="L1365" s="7">
        <v>26714</v>
      </c>
      <c r="M1365" s="1">
        <v>36</v>
      </c>
      <c r="N1365" s="6">
        <v>0.1993</v>
      </c>
      <c r="O1365" s="1" t="s">
        <v>63</v>
      </c>
      <c r="P1365" s="1" t="s">
        <v>30</v>
      </c>
      <c r="Q1365" s="1">
        <v>16</v>
      </c>
      <c r="R1365" s="1">
        <v>4</v>
      </c>
      <c r="S1365" s="1" t="s">
        <v>33</v>
      </c>
      <c r="T1365" s="1" t="s">
        <v>31</v>
      </c>
      <c r="U1365" s="1">
        <v>3</v>
      </c>
      <c r="V1365" s="1">
        <v>4418</v>
      </c>
      <c r="W1365" s="7">
        <v>1173.1500000000001</v>
      </c>
      <c r="X1365" s="1">
        <v>0.89</v>
      </c>
      <c r="Y1365" s="4">
        <v>44927</v>
      </c>
      <c r="Z1365" s="1" t="s">
        <v>32</v>
      </c>
      <c r="AA1365" s="1" t="s">
        <v>33</v>
      </c>
      <c r="AB1365" s="36" t="str" cm="1">
        <f t="array" ref="AB1365">_xlfn.IFS(K1365&gt;650,"LOW",K1365&gt;=550,"MEDIUM",K1365&lt;550,"HIGH")</f>
        <v>HIGH</v>
      </c>
    </row>
    <row r="1366" spans="3:28" x14ac:dyDescent="0.3">
      <c r="C1366" s="35" t="s">
        <v>3018</v>
      </c>
      <c r="D1366" s="1" t="s">
        <v>1045</v>
      </c>
      <c r="E1366" s="1">
        <v>60</v>
      </c>
      <c r="F1366" s="1" t="s">
        <v>26</v>
      </c>
      <c r="G1366" s="1" t="s">
        <v>45</v>
      </c>
      <c r="H1366" s="1" t="s">
        <v>54</v>
      </c>
      <c r="I1366" s="1" t="s">
        <v>57</v>
      </c>
      <c r="J1366" s="7">
        <v>59131</v>
      </c>
      <c r="K1366" s="1">
        <v>475</v>
      </c>
      <c r="L1366" s="7">
        <v>18675</v>
      </c>
      <c r="M1366" s="1">
        <v>60</v>
      </c>
      <c r="N1366" s="6">
        <v>6.3700000000000007E-2</v>
      </c>
      <c r="O1366" s="1" t="s">
        <v>63</v>
      </c>
      <c r="P1366" s="1" t="s">
        <v>50</v>
      </c>
      <c r="Q1366" s="1">
        <v>6</v>
      </c>
      <c r="R1366" s="1">
        <v>4</v>
      </c>
      <c r="S1366" s="1" t="s">
        <v>31</v>
      </c>
      <c r="T1366" s="1" t="s">
        <v>31</v>
      </c>
      <c r="U1366" s="1">
        <v>0</v>
      </c>
      <c r="V1366" s="1">
        <v>179976</v>
      </c>
      <c r="W1366" s="7">
        <v>1203.5999999999999</v>
      </c>
      <c r="X1366" s="1">
        <v>0.67</v>
      </c>
      <c r="Y1366" s="4">
        <v>45473</v>
      </c>
      <c r="Z1366" s="1" t="s">
        <v>32</v>
      </c>
      <c r="AA1366" s="1" t="s">
        <v>33</v>
      </c>
      <c r="AB1366" s="36" t="str" cm="1">
        <f t="array" ref="AB1366">_xlfn.IFS(K1366&gt;650,"LOW",K1366&gt;=550,"MEDIUM",K1366&lt;550,"HIGH")</f>
        <v>HIGH</v>
      </c>
    </row>
    <row r="1367" spans="3:28" x14ac:dyDescent="0.3">
      <c r="C1367" s="35" t="s">
        <v>3889</v>
      </c>
      <c r="D1367" s="1" t="s">
        <v>1894</v>
      </c>
      <c r="E1367" s="1">
        <v>55</v>
      </c>
      <c r="F1367" s="1" t="s">
        <v>44</v>
      </c>
      <c r="G1367" s="1" t="s">
        <v>27</v>
      </c>
      <c r="H1367" s="1" t="s">
        <v>54</v>
      </c>
      <c r="I1367" s="1" t="s">
        <v>29</v>
      </c>
      <c r="J1367" s="7">
        <v>40661</v>
      </c>
      <c r="K1367" s="1">
        <v>475</v>
      </c>
      <c r="L1367" s="7">
        <v>33210</v>
      </c>
      <c r="M1367" s="1">
        <v>36</v>
      </c>
      <c r="N1367" s="6">
        <v>0.11470000000000001</v>
      </c>
      <c r="O1367" s="1" t="s">
        <v>63</v>
      </c>
      <c r="P1367" s="1" t="s">
        <v>30</v>
      </c>
      <c r="Q1367" s="1">
        <v>20</v>
      </c>
      <c r="R1367" s="1">
        <v>3</v>
      </c>
      <c r="S1367" s="1" t="s">
        <v>31</v>
      </c>
      <c r="T1367" s="1" t="s">
        <v>33</v>
      </c>
      <c r="U1367" s="1">
        <v>0</v>
      </c>
      <c r="V1367" s="1">
        <v>70499</v>
      </c>
      <c r="W1367" s="7">
        <v>1520.14</v>
      </c>
      <c r="X1367" s="1">
        <v>0.66</v>
      </c>
      <c r="Y1367" s="4">
        <v>44415</v>
      </c>
      <c r="Z1367" s="1" t="s">
        <v>32</v>
      </c>
      <c r="AA1367" s="1" t="s">
        <v>33</v>
      </c>
      <c r="AB1367" s="36" t="str" cm="1">
        <f t="array" ref="AB1367">_xlfn.IFS(K1367&gt;650,"LOW",K1367&gt;=550,"MEDIUM",K1367&lt;550,"HIGH")</f>
        <v>HIGH</v>
      </c>
    </row>
    <row r="1368" spans="3:28" x14ac:dyDescent="0.3">
      <c r="C1368" s="35" t="s">
        <v>3405</v>
      </c>
      <c r="D1368" s="1" t="s">
        <v>1425</v>
      </c>
      <c r="E1368" s="1">
        <v>37</v>
      </c>
      <c r="F1368" s="1" t="s">
        <v>26</v>
      </c>
      <c r="G1368" s="1" t="s">
        <v>45</v>
      </c>
      <c r="H1368" s="1" t="s">
        <v>28</v>
      </c>
      <c r="I1368" s="1" t="s">
        <v>29</v>
      </c>
      <c r="J1368" s="7">
        <v>37806</v>
      </c>
      <c r="K1368" s="1">
        <v>474</v>
      </c>
      <c r="L1368" s="7">
        <v>23658</v>
      </c>
      <c r="M1368" s="1">
        <v>60</v>
      </c>
      <c r="N1368" s="6">
        <v>7.4200000000000002E-2</v>
      </c>
      <c r="O1368" s="1" t="s">
        <v>37</v>
      </c>
      <c r="P1368" s="1" t="s">
        <v>47</v>
      </c>
      <c r="Q1368" s="1">
        <v>28</v>
      </c>
      <c r="R1368" s="1">
        <v>1</v>
      </c>
      <c r="S1368" s="1" t="s">
        <v>33</v>
      </c>
      <c r="T1368" s="1" t="s">
        <v>33</v>
      </c>
      <c r="U1368" s="1">
        <v>4</v>
      </c>
      <c r="V1368" s="1">
        <v>96544</v>
      </c>
      <c r="W1368" s="7">
        <v>1421.24</v>
      </c>
      <c r="X1368" s="1">
        <v>0.92</v>
      </c>
      <c r="Y1368" s="4">
        <v>44976</v>
      </c>
      <c r="Z1368" s="1" t="s">
        <v>38</v>
      </c>
      <c r="AA1368" s="1" t="s">
        <v>33</v>
      </c>
      <c r="AB1368" s="36" t="str" cm="1">
        <f t="array" ref="AB1368">_xlfn.IFS(K1368&gt;650,"LOW",K1368&gt;=550,"MEDIUM",K1368&lt;550,"HIGH")</f>
        <v>HIGH</v>
      </c>
    </row>
    <row r="1369" spans="3:28" x14ac:dyDescent="0.3">
      <c r="C1369" s="35" t="s">
        <v>3435</v>
      </c>
      <c r="D1369" s="1" t="s">
        <v>1454</v>
      </c>
      <c r="E1369" s="1">
        <v>50</v>
      </c>
      <c r="F1369" s="1" t="s">
        <v>26</v>
      </c>
      <c r="G1369" s="1" t="s">
        <v>27</v>
      </c>
      <c r="H1369" s="1" t="s">
        <v>36</v>
      </c>
      <c r="I1369" s="1" t="s">
        <v>59</v>
      </c>
      <c r="J1369" s="7">
        <v>23285</v>
      </c>
      <c r="K1369" s="1">
        <v>474</v>
      </c>
      <c r="L1369" s="7">
        <v>19130</v>
      </c>
      <c r="M1369" s="1">
        <v>48</v>
      </c>
      <c r="N1369" s="6">
        <v>0.10619999999999999</v>
      </c>
      <c r="O1369" s="1" t="s">
        <v>52</v>
      </c>
      <c r="P1369" s="1" t="s">
        <v>50</v>
      </c>
      <c r="Q1369" s="1">
        <v>25</v>
      </c>
      <c r="R1369" s="1">
        <v>4</v>
      </c>
      <c r="S1369" s="1" t="s">
        <v>31</v>
      </c>
      <c r="T1369" s="1" t="s">
        <v>31</v>
      </c>
      <c r="U1369" s="1">
        <v>3</v>
      </c>
      <c r="V1369" s="1">
        <v>15205</v>
      </c>
      <c r="W1369" s="7">
        <v>1707.57</v>
      </c>
      <c r="X1369" s="1">
        <v>0.89</v>
      </c>
      <c r="Y1369" s="4">
        <v>44330</v>
      </c>
      <c r="Z1369" s="1" t="s">
        <v>32</v>
      </c>
      <c r="AA1369" s="1" t="s">
        <v>33</v>
      </c>
      <c r="AB1369" s="36" t="str" cm="1">
        <f t="array" ref="AB1369">_xlfn.IFS(K1369&gt;650,"LOW",K1369&gt;=550,"MEDIUM",K1369&lt;550,"HIGH")</f>
        <v>HIGH</v>
      </c>
    </row>
    <row r="1370" spans="3:28" x14ac:dyDescent="0.3">
      <c r="C1370" s="35" t="s">
        <v>3683</v>
      </c>
      <c r="D1370" s="1" t="s">
        <v>1695</v>
      </c>
      <c r="E1370" s="1">
        <v>54</v>
      </c>
      <c r="F1370" s="1" t="s">
        <v>26</v>
      </c>
      <c r="G1370" s="1" t="s">
        <v>56</v>
      </c>
      <c r="H1370" s="1" t="s">
        <v>61</v>
      </c>
      <c r="I1370" s="1" t="s">
        <v>29</v>
      </c>
      <c r="J1370" s="7">
        <v>56613</v>
      </c>
      <c r="K1370" s="1">
        <v>474</v>
      </c>
      <c r="L1370" s="7">
        <v>1824</v>
      </c>
      <c r="M1370" s="1">
        <v>36</v>
      </c>
      <c r="N1370" s="6">
        <v>0.17519999999999999</v>
      </c>
      <c r="O1370" s="1" t="s">
        <v>5</v>
      </c>
      <c r="P1370" s="1" t="s">
        <v>47</v>
      </c>
      <c r="Q1370" s="1">
        <v>1</v>
      </c>
      <c r="R1370" s="1">
        <v>1</v>
      </c>
      <c r="S1370" s="1" t="s">
        <v>31</v>
      </c>
      <c r="T1370" s="1" t="s">
        <v>31</v>
      </c>
      <c r="U1370" s="1">
        <v>4</v>
      </c>
      <c r="V1370" s="1">
        <v>181498</v>
      </c>
      <c r="W1370" s="7">
        <v>1168.56</v>
      </c>
      <c r="X1370" s="1">
        <v>0.39</v>
      </c>
      <c r="Y1370" s="4">
        <v>45712</v>
      </c>
      <c r="Z1370" s="1" t="s">
        <v>32</v>
      </c>
      <c r="AA1370" s="1" t="s">
        <v>33</v>
      </c>
      <c r="AB1370" s="36" t="str" cm="1">
        <f t="array" ref="AB1370">_xlfn.IFS(K1370&gt;650,"LOW",K1370&gt;=550,"MEDIUM",K1370&lt;550,"HIGH")</f>
        <v>HIGH</v>
      </c>
    </row>
    <row r="1371" spans="3:28" x14ac:dyDescent="0.3">
      <c r="C1371" s="35" t="s">
        <v>3789</v>
      </c>
      <c r="D1371" s="1" t="s">
        <v>1795</v>
      </c>
      <c r="E1371" s="1">
        <v>48</v>
      </c>
      <c r="F1371" s="1" t="s">
        <v>26</v>
      </c>
      <c r="G1371" s="1" t="s">
        <v>56</v>
      </c>
      <c r="H1371" s="1" t="s">
        <v>61</v>
      </c>
      <c r="I1371" s="1" t="s">
        <v>40</v>
      </c>
      <c r="J1371" s="7">
        <v>35629</v>
      </c>
      <c r="K1371" s="1">
        <v>474</v>
      </c>
      <c r="L1371" s="7">
        <v>34800</v>
      </c>
      <c r="M1371" s="1">
        <v>12</v>
      </c>
      <c r="N1371" s="6">
        <v>0.11509999999999999</v>
      </c>
      <c r="O1371" s="1" t="s">
        <v>52</v>
      </c>
      <c r="P1371" s="1" t="s">
        <v>30</v>
      </c>
      <c r="Q1371" s="1">
        <v>9</v>
      </c>
      <c r="R1371" s="1">
        <v>3</v>
      </c>
      <c r="S1371" s="1" t="s">
        <v>33</v>
      </c>
      <c r="T1371" s="1" t="s">
        <v>33</v>
      </c>
      <c r="U1371" s="1">
        <v>4</v>
      </c>
      <c r="V1371" s="1">
        <v>82102</v>
      </c>
      <c r="W1371" s="7">
        <v>1089.28</v>
      </c>
      <c r="X1371" s="1">
        <v>0.44</v>
      </c>
      <c r="Y1371" s="4">
        <v>45148</v>
      </c>
      <c r="Z1371" s="1" t="s">
        <v>38</v>
      </c>
      <c r="AA1371" s="1" t="s">
        <v>33</v>
      </c>
      <c r="AB1371" s="36" t="str" cm="1">
        <f t="array" ref="AB1371">_xlfn.IFS(K1371&gt;650,"LOW",K1371&gt;=550,"MEDIUM",K1371&lt;550,"HIGH")</f>
        <v>HIGH</v>
      </c>
    </row>
    <row r="1372" spans="3:28" x14ac:dyDescent="0.3">
      <c r="C1372" s="35" t="s">
        <v>3352</v>
      </c>
      <c r="D1372" s="1" t="s">
        <v>1374</v>
      </c>
      <c r="E1372" s="1">
        <v>54</v>
      </c>
      <c r="F1372" s="1" t="s">
        <v>26</v>
      </c>
      <c r="G1372" s="1" t="s">
        <v>35</v>
      </c>
      <c r="H1372" s="1" t="s">
        <v>28</v>
      </c>
      <c r="I1372" s="1" t="s">
        <v>40</v>
      </c>
      <c r="J1372" s="7">
        <v>148692</v>
      </c>
      <c r="K1372" s="1">
        <v>473</v>
      </c>
      <c r="L1372" s="7">
        <v>36109</v>
      </c>
      <c r="M1372" s="1">
        <v>48</v>
      </c>
      <c r="N1372" s="6">
        <v>0.1668</v>
      </c>
      <c r="O1372" s="1" t="s">
        <v>46</v>
      </c>
      <c r="P1372" s="1" t="s">
        <v>30</v>
      </c>
      <c r="Q1372" s="1">
        <v>8</v>
      </c>
      <c r="R1372" s="1">
        <v>3</v>
      </c>
      <c r="S1372" s="1" t="s">
        <v>33</v>
      </c>
      <c r="T1372" s="1" t="s">
        <v>33</v>
      </c>
      <c r="U1372" s="1">
        <v>1</v>
      </c>
      <c r="V1372" s="1">
        <v>184530</v>
      </c>
      <c r="W1372" s="7">
        <v>426.35</v>
      </c>
      <c r="X1372" s="1">
        <v>0.63</v>
      </c>
      <c r="Y1372" s="4">
        <v>45158</v>
      </c>
      <c r="Z1372" s="1" t="s">
        <v>38</v>
      </c>
      <c r="AA1372" s="1" t="s">
        <v>33</v>
      </c>
      <c r="AB1372" s="36" t="str" cm="1">
        <f t="array" ref="AB1372">_xlfn.IFS(K1372&gt;650,"LOW",K1372&gt;=550,"MEDIUM",K1372&lt;550,"HIGH")</f>
        <v>HIGH</v>
      </c>
    </row>
    <row r="1373" spans="3:28" x14ac:dyDescent="0.3">
      <c r="C1373" s="35" t="s">
        <v>3138</v>
      </c>
      <c r="D1373" s="1" t="s">
        <v>1163</v>
      </c>
      <c r="E1373" s="1">
        <v>44</v>
      </c>
      <c r="F1373" s="1" t="s">
        <v>44</v>
      </c>
      <c r="G1373" s="1" t="s">
        <v>45</v>
      </c>
      <c r="H1373" s="1" t="s">
        <v>54</v>
      </c>
      <c r="I1373" s="1" t="s">
        <v>40</v>
      </c>
      <c r="J1373" s="7">
        <v>59385</v>
      </c>
      <c r="K1373" s="1">
        <v>472</v>
      </c>
      <c r="L1373" s="7">
        <v>29109</v>
      </c>
      <c r="M1373" s="1">
        <v>36</v>
      </c>
      <c r="N1373" s="6">
        <v>9.5899999999999999E-2</v>
      </c>
      <c r="O1373" s="1" t="s">
        <v>41</v>
      </c>
      <c r="P1373" s="1" t="s">
        <v>50</v>
      </c>
      <c r="Q1373" s="1">
        <v>3</v>
      </c>
      <c r="R1373" s="1">
        <v>2</v>
      </c>
      <c r="S1373" s="1" t="s">
        <v>33</v>
      </c>
      <c r="T1373" s="1" t="s">
        <v>31</v>
      </c>
      <c r="U1373" s="1">
        <v>3</v>
      </c>
      <c r="V1373" s="1">
        <v>147870</v>
      </c>
      <c r="W1373" s="7">
        <v>602.55999999999995</v>
      </c>
      <c r="X1373" s="1">
        <v>0.17</v>
      </c>
      <c r="Y1373" s="4">
        <v>44748</v>
      </c>
      <c r="Z1373" s="1" t="s">
        <v>32</v>
      </c>
      <c r="AA1373" s="1" t="s">
        <v>33</v>
      </c>
      <c r="AB1373" s="36" t="str" cm="1">
        <f t="array" ref="AB1373">_xlfn.IFS(K1373&gt;650,"LOW",K1373&gt;=550,"MEDIUM",K1373&lt;550,"HIGH")</f>
        <v>HIGH</v>
      </c>
    </row>
    <row r="1374" spans="3:28" x14ac:dyDescent="0.3">
      <c r="C1374" s="35" t="s">
        <v>3214</v>
      </c>
      <c r="D1374" s="1" t="s">
        <v>1238</v>
      </c>
      <c r="E1374" s="1">
        <v>41</v>
      </c>
      <c r="F1374" s="1" t="s">
        <v>26</v>
      </c>
      <c r="G1374" s="1" t="s">
        <v>27</v>
      </c>
      <c r="H1374" s="1" t="s">
        <v>28</v>
      </c>
      <c r="I1374" s="1" t="s">
        <v>40</v>
      </c>
      <c r="J1374" s="7">
        <v>145155</v>
      </c>
      <c r="K1374" s="1">
        <v>472</v>
      </c>
      <c r="L1374" s="7">
        <v>15732</v>
      </c>
      <c r="M1374" s="1">
        <v>24</v>
      </c>
      <c r="N1374" s="6">
        <v>0.1358</v>
      </c>
      <c r="O1374" s="1" t="s">
        <v>63</v>
      </c>
      <c r="P1374" s="1" t="s">
        <v>47</v>
      </c>
      <c r="Q1374" s="1">
        <v>20</v>
      </c>
      <c r="R1374" s="1">
        <v>1</v>
      </c>
      <c r="S1374" s="1" t="s">
        <v>33</v>
      </c>
      <c r="T1374" s="1" t="s">
        <v>33</v>
      </c>
      <c r="U1374" s="1">
        <v>3</v>
      </c>
      <c r="V1374" s="1">
        <v>114059</v>
      </c>
      <c r="W1374" s="7">
        <v>751.44</v>
      </c>
      <c r="X1374" s="1">
        <v>0.56000000000000005</v>
      </c>
      <c r="Y1374" s="4">
        <v>45056</v>
      </c>
      <c r="Z1374" s="1" t="s">
        <v>32</v>
      </c>
      <c r="AA1374" s="1" t="s">
        <v>33</v>
      </c>
      <c r="AB1374" s="36" t="str" cm="1">
        <f t="array" ref="AB1374">_xlfn.IFS(K1374&gt;650,"LOW",K1374&gt;=550,"MEDIUM",K1374&lt;550,"HIGH")</f>
        <v>HIGH</v>
      </c>
    </row>
    <row r="1375" spans="3:28" x14ac:dyDescent="0.3">
      <c r="C1375" s="35" t="s">
        <v>3497</v>
      </c>
      <c r="D1375" s="1" t="s">
        <v>1514</v>
      </c>
      <c r="E1375" s="1">
        <v>40</v>
      </c>
      <c r="F1375" s="1" t="s">
        <v>26</v>
      </c>
      <c r="G1375" s="1" t="s">
        <v>27</v>
      </c>
      <c r="H1375" s="1" t="s">
        <v>61</v>
      </c>
      <c r="I1375" s="1" t="s">
        <v>57</v>
      </c>
      <c r="J1375" s="7">
        <v>35089</v>
      </c>
      <c r="K1375" s="1">
        <v>472</v>
      </c>
      <c r="L1375" s="7">
        <v>9367</v>
      </c>
      <c r="M1375" s="1">
        <v>48</v>
      </c>
      <c r="N1375" s="6">
        <v>0.18969999999999998</v>
      </c>
      <c r="O1375" s="1" t="s">
        <v>5</v>
      </c>
      <c r="P1375" s="1" t="s">
        <v>47</v>
      </c>
      <c r="Q1375" s="1">
        <v>28</v>
      </c>
      <c r="R1375" s="1">
        <v>2</v>
      </c>
      <c r="S1375" s="1" t="s">
        <v>31</v>
      </c>
      <c r="T1375" s="1" t="s">
        <v>33</v>
      </c>
      <c r="U1375" s="1">
        <v>1</v>
      </c>
      <c r="V1375" s="1">
        <v>116909</v>
      </c>
      <c r="W1375" s="7">
        <v>853.09</v>
      </c>
      <c r="X1375" s="1">
        <v>0.22</v>
      </c>
      <c r="Y1375" s="4">
        <v>44691</v>
      </c>
      <c r="Z1375" s="1" t="s">
        <v>38</v>
      </c>
      <c r="AA1375" s="1" t="s">
        <v>31</v>
      </c>
      <c r="AB1375" s="36" t="str" cm="1">
        <f t="array" ref="AB1375">_xlfn.IFS(K1375&gt;650,"LOW",K1375&gt;=550,"MEDIUM",K1375&lt;550,"HIGH")</f>
        <v>HIGH</v>
      </c>
    </row>
    <row r="1376" spans="3:28" x14ac:dyDescent="0.3">
      <c r="C1376" s="35" t="s">
        <v>2626</v>
      </c>
      <c r="D1376" s="1" t="s">
        <v>656</v>
      </c>
      <c r="E1376" s="1">
        <v>40</v>
      </c>
      <c r="F1376" s="1" t="s">
        <v>26</v>
      </c>
      <c r="G1376" s="1" t="s">
        <v>35</v>
      </c>
      <c r="H1376" s="1" t="s">
        <v>36</v>
      </c>
      <c r="I1376" s="1" t="s">
        <v>29</v>
      </c>
      <c r="J1376" s="7">
        <v>49545</v>
      </c>
      <c r="K1376" s="1">
        <v>471</v>
      </c>
      <c r="L1376" s="7">
        <v>11327</v>
      </c>
      <c r="M1376" s="1">
        <v>12</v>
      </c>
      <c r="N1376" s="6">
        <v>5.5099999999999996E-2</v>
      </c>
      <c r="O1376" s="1" t="s">
        <v>46</v>
      </c>
      <c r="P1376" s="1" t="s">
        <v>30</v>
      </c>
      <c r="Q1376" s="1">
        <v>18</v>
      </c>
      <c r="R1376" s="1">
        <v>3</v>
      </c>
      <c r="S1376" s="1" t="s">
        <v>31</v>
      </c>
      <c r="T1376" s="1" t="s">
        <v>31</v>
      </c>
      <c r="U1376" s="1">
        <v>0</v>
      </c>
      <c r="V1376" s="1">
        <v>29581</v>
      </c>
      <c r="W1376" s="7">
        <v>1876.07</v>
      </c>
      <c r="X1376" s="1">
        <v>0.22</v>
      </c>
      <c r="Y1376" s="4">
        <v>44545</v>
      </c>
      <c r="Z1376" s="1" t="s">
        <v>32</v>
      </c>
      <c r="AA1376" s="1" t="s">
        <v>33</v>
      </c>
      <c r="AB1376" s="36" t="str" cm="1">
        <f t="array" ref="AB1376">_xlfn.IFS(K1376&gt;650,"LOW",K1376&gt;=550,"MEDIUM",K1376&lt;550,"HIGH")</f>
        <v>HIGH</v>
      </c>
    </row>
    <row r="1377" spans="3:28" x14ac:dyDescent="0.3">
      <c r="C1377" s="35" t="s">
        <v>3556</v>
      </c>
      <c r="D1377" s="1" t="s">
        <v>1573</v>
      </c>
      <c r="E1377" s="1">
        <v>26</v>
      </c>
      <c r="F1377" s="1" t="s">
        <v>44</v>
      </c>
      <c r="G1377" s="1" t="s">
        <v>56</v>
      </c>
      <c r="H1377" s="1" t="s">
        <v>61</v>
      </c>
      <c r="I1377" s="1" t="s">
        <v>29</v>
      </c>
      <c r="J1377" s="7">
        <v>109234</v>
      </c>
      <c r="K1377" s="1">
        <v>471</v>
      </c>
      <c r="L1377" s="7">
        <v>11518</v>
      </c>
      <c r="M1377" s="1">
        <v>36</v>
      </c>
      <c r="N1377" s="6">
        <v>0.1522</v>
      </c>
      <c r="O1377" s="1" t="s">
        <v>41</v>
      </c>
      <c r="P1377" s="1" t="s">
        <v>30</v>
      </c>
      <c r="Q1377" s="1">
        <v>2</v>
      </c>
      <c r="R1377" s="1">
        <v>4</v>
      </c>
      <c r="S1377" s="1" t="s">
        <v>31</v>
      </c>
      <c r="T1377" s="1" t="s">
        <v>33</v>
      </c>
      <c r="U1377" s="1">
        <v>1</v>
      </c>
      <c r="V1377" s="1">
        <v>48610</v>
      </c>
      <c r="W1377" s="7">
        <v>1192.6500000000001</v>
      </c>
      <c r="X1377" s="1">
        <v>0.22</v>
      </c>
      <c r="Y1377" s="4">
        <v>44531</v>
      </c>
      <c r="Z1377" s="1" t="s">
        <v>32</v>
      </c>
      <c r="AA1377" s="1" t="s">
        <v>33</v>
      </c>
      <c r="AB1377" s="36" t="str" cm="1">
        <f t="array" ref="AB1377">_xlfn.IFS(K1377&gt;650,"LOW",K1377&gt;=550,"MEDIUM",K1377&lt;550,"HIGH")</f>
        <v>HIGH</v>
      </c>
    </row>
    <row r="1378" spans="3:28" x14ac:dyDescent="0.3">
      <c r="C1378" s="35" t="s">
        <v>4008</v>
      </c>
      <c r="D1378" s="1" t="s">
        <v>2008</v>
      </c>
      <c r="E1378" s="1">
        <v>24</v>
      </c>
      <c r="F1378" s="1" t="s">
        <v>26</v>
      </c>
      <c r="G1378" s="1" t="s">
        <v>56</v>
      </c>
      <c r="H1378" s="1" t="s">
        <v>61</v>
      </c>
      <c r="I1378" s="1" t="s">
        <v>40</v>
      </c>
      <c r="J1378" s="7">
        <v>140007</v>
      </c>
      <c r="K1378" s="1">
        <v>471</v>
      </c>
      <c r="L1378" s="7">
        <v>5429</v>
      </c>
      <c r="M1378" s="1">
        <v>60</v>
      </c>
      <c r="N1378" s="6">
        <v>0.16789999999999999</v>
      </c>
      <c r="O1378" s="1" t="s">
        <v>46</v>
      </c>
      <c r="P1378" s="1" t="s">
        <v>47</v>
      </c>
      <c r="Q1378" s="1">
        <v>7</v>
      </c>
      <c r="R1378" s="1">
        <v>0</v>
      </c>
      <c r="S1378" s="1" t="s">
        <v>33</v>
      </c>
      <c r="T1378" s="1" t="s">
        <v>31</v>
      </c>
      <c r="U1378" s="1">
        <v>4</v>
      </c>
      <c r="V1378" s="1">
        <v>27068</v>
      </c>
      <c r="W1378" s="7">
        <v>154.86000000000001</v>
      </c>
      <c r="X1378" s="1">
        <v>0.23</v>
      </c>
      <c r="Y1378" s="4">
        <v>44555</v>
      </c>
      <c r="Z1378" s="1" t="s">
        <v>32</v>
      </c>
      <c r="AA1378" s="1" t="s">
        <v>33</v>
      </c>
      <c r="AB1378" s="36" t="str" cm="1">
        <f t="array" ref="AB1378">_xlfn.IFS(K1378&gt;650,"LOW",K1378&gt;=550,"MEDIUM",K1378&lt;550,"HIGH")</f>
        <v>HIGH</v>
      </c>
    </row>
    <row r="1379" spans="3:28" x14ac:dyDescent="0.3">
      <c r="C1379" s="35" t="s">
        <v>2991</v>
      </c>
      <c r="D1379" s="1" t="s">
        <v>1018</v>
      </c>
      <c r="E1379" s="1">
        <v>41</v>
      </c>
      <c r="F1379" s="1" t="s">
        <v>44</v>
      </c>
      <c r="G1379" s="1" t="s">
        <v>27</v>
      </c>
      <c r="H1379" s="1" t="s">
        <v>36</v>
      </c>
      <c r="I1379" s="1" t="s">
        <v>57</v>
      </c>
      <c r="J1379" s="7">
        <v>21779</v>
      </c>
      <c r="K1379" s="1">
        <v>470</v>
      </c>
      <c r="L1379" s="7">
        <v>8741</v>
      </c>
      <c r="M1379" s="1">
        <v>12</v>
      </c>
      <c r="N1379" s="6">
        <v>0.1245</v>
      </c>
      <c r="O1379" s="1" t="s">
        <v>41</v>
      </c>
      <c r="P1379" s="1" t="s">
        <v>30</v>
      </c>
      <c r="Q1379" s="1">
        <v>4</v>
      </c>
      <c r="R1379" s="1">
        <v>0</v>
      </c>
      <c r="S1379" s="1" t="s">
        <v>33</v>
      </c>
      <c r="T1379" s="1" t="s">
        <v>33</v>
      </c>
      <c r="U1379" s="1">
        <v>3</v>
      </c>
      <c r="V1379" s="1">
        <v>65266</v>
      </c>
      <c r="W1379" s="7">
        <v>919.25</v>
      </c>
      <c r="X1379" s="1">
        <v>0.73</v>
      </c>
      <c r="Y1379" s="4">
        <v>45745</v>
      </c>
      <c r="Z1379" s="1" t="s">
        <v>32</v>
      </c>
      <c r="AA1379" s="1" t="s">
        <v>33</v>
      </c>
      <c r="AB1379" s="36" t="str" cm="1">
        <f t="array" ref="AB1379">_xlfn.IFS(K1379&gt;650,"LOW",K1379&gt;=550,"MEDIUM",K1379&lt;550,"HIGH")</f>
        <v>HIGH</v>
      </c>
    </row>
    <row r="1380" spans="3:28" x14ac:dyDescent="0.3">
      <c r="C1380" s="35" t="s">
        <v>3025</v>
      </c>
      <c r="D1380" s="1" t="s">
        <v>1052</v>
      </c>
      <c r="E1380" s="1">
        <v>28</v>
      </c>
      <c r="F1380" s="1" t="s">
        <v>26</v>
      </c>
      <c r="G1380" s="1" t="s">
        <v>35</v>
      </c>
      <c r="H1380" s="1" t="s">
        <v>61</v>
      </c>
      <c r="I1380" s="1" t="s">
        <v>40</v>
      </c>
      <c r="J1380" s="7">
        <v>56839</v>
      </c>
      <c r="K1380" s="1">
        <v>470</v>
      </c>
      <c r="L1380" s="7">
        <v>8394</v>
      </c>
      <c r="M1380" s="1">
        <v>36</v>
      </c>
      <c r="N1380" s="6">
        <v>0.15229999999999999</v>
      </c>
      <c r="O1380" s="1" t="s">
        <v>46</v>
      </c>
      <c r="P1380" s="1" t="s">
        <v>50</v>
      </c>
      <c r="Q1380" s="1">
        <v>17</v>
      </c>
      <c r="R1380" s="1">
        <v>2</v>
      </c>
      <c r="S1380" s="1" t="s">
        <v>31</v>
      </c>
      <c r="T1380" s="1" t="s">
        <v>33</v>
      </c>
      <c r="U1380" s="1">
        <v>0</v>
      </c>
      <c r="V1380" s="1">
        <v>63012</v>
      </c>
      <c r="W1380" s="7">
        <v>1170.52</v>
      </c>
      <c r="X1380" s="1">
        <v>0.68</v>
      </c>
      <c r="Y1380" s="4">
        <v>45032</v>
      </c>
      <c r="Z1380" s="1" t="s">
        <v>32</v>
      </c>
      <c r="AA1380" s="1" t="s">
        <v>33</v>
      </c>
      <c r="AB1380" s="36" t="str" cm="1">
        <f t="array" ref="AB1380">_xlfn.IFS(K1380&gt;650,"LOW",K1380&gt;=550,"MEDIUM",K1380&lt;550,"HIGH")</f>
        <v>HIGH</v>
      </c>
    </row>
    <row r="1381" spans="3:28" x14ac:dyDescent="0.3">
      <c r="C1381" s="35" t="s">
        <v>3232</v>
      </c>
      <c r="D1381" s="1" t="s">
        <v>1256</v>
      </c>
      <c r="E1381" s="1">
        <v>40</v>
      </c>
      <c r="F1381" s="1" t="s">
        <v>44</v>
      </c>
      <c r="G1381" s="1" t="s">
        <v>27</v>
      </c>
      <c r="H1381" s="1" t="s">
        <v>36</v>
      </c>
      <c r="I1381" s="1" t="s">
        <v>59</v>
      </c>
      <c r="J1381" s="7">
        <v>91621</v>
      </c>
      <c r="K1381" s="1">
        <v>470</v>
      </c>
      <c r="L1381" s="7">
        <v>2832</v>
      </c>
      <c r="M1381" s="1">
        <v>60</v>
      </c>
      <c r="N1381" s="6">
        <v>9.1300000000000006E-2</v>
      </c>
      <c r="O1381" s="1" t="s">
        <v>5</v>
      </c>
      <c r="P1381" s="1" t="s">
        <v>30</v>
      </c>
      <c r="Q1381" s="1">
        <v>25</v>
      </c>
      <c r="R1381" s="1">
        <v>0</v>
      </c>
      <c r="S1381" s="1" t="s">
        <v>33</v>
      </c>
      <c r="T1381" s="1" t="s">
        <v>33</v>
      </c>
      <c r="U1381" s="1">
        <v>4</v>
      </c>
      <c r="V1381" s="1">
        <v>9627</v>
      </c>
      <c r="W1381" s="7">
        <v>1911.03</v>
      </c>
      <c r="X1381" s="1">
        <v>0.18</v>
      </c>
      <c r="Y1381" s="4">
        <v>45220</v>
      </c>
      <c r="Z1381" s="1" t="s">
        <v>32</v>
      </c>
      <c r="AA1381" s="1" t="s">
        <v>31</v>
      </c>
      <c r="AB1381" s="36" t="str" cm="1">
        <f t="array" ref="AB1381">_xlfn.IFS(K1381&gt;650,"LOW",K1381&gt;=550,"MEDIUM",K1381&lt;550,"HIGH")</f>
        <v>HIGH</v>
      </c>
    </row>
    <row r="1382" spans="3:28" x14ac:dyDescent="0.3">
      <c r="C1382" s="35" t="s">
        <v>3780</v>
      </c>
      <c r="D1382" s="1" t="s">
        <v>1787</v>
      </c>
      <c r="E1382" s="1">
        <v>26</v>
      </c>
      <c r="F1382" s="1" t="s">
        <v>44</v>
      </c>
      <c r="G1382" s="1" t="s">
        <v>45</v>
      </c>
      <c r="H1382" s="1" t="s">
        <v>36</v>
      </c>
      <c r="I1382" s="1" t="s">
        <v>57</v>
      </c>
      <c r="J1382" s="7">
        <v>31539</v>
      </c>
      <c r="K1382" s="1">
        <v>470</v>
      </c>
      <c r="L1382" s="7">
        <v>1236</v>
      </c>
      <c r="M1382" s="1">
        <v>24</v>
      </c>
      <c r="N1382" s="6">
        <v>0.1545</v>
      </c>
      <c r="O1382" s="1" t="s">
        <v>37</v>
      </c>
      <c r="P1382" s="1" t="s">
        <v>30</v>
      </c>
      <c r="Q1382" s="1">
        <v>21</v>
      </c>
      <c r="R1382" s="1">
        <v>4</v>
      </c>
      <c r="S1382" s="1" t="s">
        <v>31</v>
      </c>
      <c r="T1382" s="1" t="s">
        <v>31</v>
      </c>
      <c r="U1382" s="1">
        <v>2</v>
      </c>
      <c r="V1382" s="1">
        <v>102806</v>
      </c>
      <c r="W1382" s="7">
        <v>1315.41</v>
      </c>
      <c r="X1382" s="1">
        <v>0.92</v>
      </c>
      <c r="Y1382" s="4">
        <v>45322</v>
      </c>
      <c r="Z1382" s="1" t="s">
        <v>32</v>
      </c>
      <c r="AA1382" s="1" t="s">
        <v>33</v>
      </c>
      <c r="AB1382" s="36" t="str" cm="1">
        <f t="array" ref="AB1382">_xlfn.IFS(K1382&gt;650,"LOW",K1382&gt;=550,"MEDIUM",K1382&lt;550,"HIGH")</f>
        <v>HIGH</v>
      </c>
    </row>
    <row r="1383" spans="3:28" x14ac:dyDescent="0.3">
      <c r="C1383" s="35" t="s">
        <v>2163</v>
      </c>
      <c r="D1383" s="1" t="s">
        <v>194</v>
      </c>
      <c r="E1383" s="1">
        <v>57</v>
      </c>
      <c r="F1383" s="1" t="s">
        <v>26</v>
      </c>
      <c r="G1383" s="1" t="s">
        <v>35</v>
      </c>
      <c r="H1383" s="1" t="s">
        <v>28</v>
      </c>
      <c r="I1383" s="1" t="s">
        <v>40</v>
      </c>
      <c r="J1383" s="7">
        <v>55268</v>
      </c>
      <c r="K1383" s="1">
        <v>469</v>
      </c>
      <c r="L1383" s="7">
        <v>3419</v>
      </c>
      <c r="M1383" s="1">
        <v>12</v>
      </c>
      <c r="N1383" s="6">
        <v>8.7899999999999992E-2</v>
      </c>
      <c r="O1383" s="1" t="s">
        <v>37</v>
      </c>
      <c r="P1383" s="1" t="s">
        <v>47</v>
      </c>
      <c r="Q1383" s="1">
        <v>13</v>
      </c>
      <c r="R1383" s="1">
        <v>0</v>
      </c>
      <c r="S1383" s="1" t="s">
        <v>31</v>
      </c>
      <c r="T1383" s="1" t="s">
        <v>31</v>
      </c>
      <c r="U1383" s="1">
        <v>0</v>
      </c>
      <c r="V1383" s="1">
        <v>145050</v>
      </c>
      <c r="W1383" s="7">
        <v>1666.39</v>
      </c>
      <c r="X1383" s="1">
        <v>0.74</v>
      </c>
      <c r="Y1383" s="4">
        <v>45495</v>
      </c>
      <c r="Z1383" s="1" t="s">
        <v>32</v>
      </c>
      <c r="AA1383" s="1" t="s">
        <v>33</v>
      </c>
      <c r="AB1383" s="36" t="str" cm="1">
        <f t="array" ref="AB1383">_xlfn.IFS(K1383&gt;650,"LOW",K1383&gt;=550,"MEDIUM",K1383&lt;550,"HIGH")</f>
        <v>HIGH</v>
      </c>
    </row>
    <row r="1384" spans="3:28" x14ac:dyDescent="0.3">
      <c r="C1384" s="35" t="s">
        <v>2887</v>
      </c>
      <c r="D1384" s="1" t="s">
        <v>915</v>
      </c>
      <c r="E1384" s="1">
        <v>57</v>
      </c>
      <c r="F1384" s="1" t="s">
        <v>44</v>
      </c>
      <c r="G1384" s="1" t="s">
        <v>35</v>
      </c>
      <c r="H1384" s="1" t="s">
        <v>61</v>
      </c>
      <c r="I1384" s="1" t="s">
        <v>40</v>
      </c>
      <c r="J1384" s="7">
        <v>96407</v>
      </c>
      <c r="K1384" s="1">
        <v>469</v>
      </c>
      <c r="L1384" s="7">
        <v>18993</v>
      </c>
      <c r="M1384" s="1">
        <v>12</v>
      </c>
      <c r="N1384" s="6">
        <v>0.14760000000000001</v>
      </c>
      <c r="O1384" s="1" t="s">
        <v>37</v>
      </c>
      <c r="P1384" s="1" t="s">
        <v>50</v>
      </c>
      <c r="Q1384" s="1">
        <v>11</v>
      </c>
      <c r="R1384" s="1">
        <v>2</v>
      </c>
      <c r="S1384" s="1" t="s">
        <v>33</v>
      </c>
      <c r="T1384" s="1" t="s">
        <v>33</v>
      </c>
      <c r="U1384" s="1">
        <v>0</v>
      </c>
      <c r="V1384" s="1">
        <v>154574</v>
      </c>
      <c r="W1384" s="7">
        <v>1516.11</v>
      </c>
      <c r="X1384" s="1">
        <v>0.4</v>
      </c>
      <c r="Y1384" s="4">
        <v>45798</v>
      </c>
      <c r="Z1384" s="1" t="s">
        <v>32</v>
      </c>
      <c r="AA1384" s="1" t="s">
        <v>33</v>
      </c>
      <c r="AB1384" s="36" t="str" cm="1">
        <f t="array" ref="AB1384">_xlfn.IFS(K1384&gt;650,"LOW",K1384&gt;=550,"MEDIUM",K1384&lt;550,"HIGH")</f>
        <v>HIGH</v>
      </c>
    </row>
    <row r="1385" spans="3:28" x14ac:dyDescent="0.3">
      <c r="C1385" s="35" t="s">
        <v>2953</v>
      </c>
      <c r="D1385" s="1" t="s">
        <v>981</v>
      </c>
      <c r="E1385" s="1">
        <v>64</v>
      </c>
      <c r="F1385" s="1" t="s">
        <v>26</v>
      </c>
      <c r="G1385" s="1" t="s">
        <v>27</v>
      </c>
      <c r="H1385" s="1" t="s">
        <v>36</v>
      </c>
      <c r="I1385" s="1" t="s">
        <v>59</v>
      </c>
      <c r="J1385" s="7">
        <v>21906</v>
      </c>
      <c r="K1385" s="1">
        <v>469</v>
      </c>
      <c r="L1385" s="7">
        <v>15866</v>
      </c>
      <c r="M1385" s="1">
        <v>12</v>
      </c>
      <c r="N1385" s="6">
        <v>0.1099</v>
      </c>
      <c r="O1385" s="1" t="s">
        <v>41</v>
      </c>
      <c r="P1385" s="1" t="s">
        <v>47</v>
      </c>
      <c r="Q1385" s="1">
        <v>9</v>
      </c>
      <c r="R1385" s="1">
        <v>0</v>
      </c>
      <c r="S1385" s="1" t="s">
        <v>33</v>
      </c>
      <c r="T1385" s="1" t="s">
        <v>33</v>
      </c>
      <c r="U1385" s="1">
        <v>2</v>
      </c>
      <c r="V1385" s="1">
        <v>166286</v>
      </c>
      <c r="W1385" s="7">
        <v>1109.32</v>
      </c>
      <c r="X1385" s="1">
        <v>0.22</v>
      </c>
      <c r="Y1385" s="4">
        <v>45206</v>
      </c>
      <c r="Z1385" s="1" t="s">
        <v>38</v>
      </c>
      <c r="AA1385" s="1" t="s">
        <v>33</v>
      </c>
      <c r="AB1385" s="36" t="str" cm="1">
        <f t="array" ref="AB1385">_xlfn.IFS(K1385&gt;650,"LOW",K1385&gt;=550,"MEDIUM",K1385&lt;550,"HIGH")</f>
        <v>HIGH</v>
      </c>
    </row>
    <row r="1386" spans="3:28" x14ac:dyDescent="0.3">
      <c r="C1386" s="35" t="s">
        <v>3350</v>
      </c>
      <c r="D1386" s="1" t="s">
        <v>1372</v>
      </c>
      <c r="E1386" s="1">
        <v>50</v>
      </c>
      <c r="F1386" s="1" t="s">
        <v>26</v>
      </c>
      <c r="G1386" s="1" t="s">
        <v>27</v>
      </c>
      <c r="H1386" s="1" t="s">
        <v>61</v>
      </c>
      <c r="I1386" s="1" t="s">
        <v>57</v>
      </c>
      <c r="J1386" s="7">
        <v>130027</v>
      </c>
      <c r="K1386" s="1">
        <v>469</v>
      </c>
      <c r="L1386" s="7">
        <v>19047</v>
      </c>
      <c r="M1386" s="1">
        <v>12</v>
      </c>
      <c r="N1386" s="6">
        <v>6.3899999999999998E-2</v>
      </c>
      <c r="O1386" s="1" t="s">
        <v>37</v>
      </c>
      <c r="P1386" s="1" t="s">
        <v>50</v>
      </c>
      <c r="Q1386" s="1">
        <v>3</v>
      </c>
      <c r="R1386" s="1">
        <v>4</v>
      </c>
      <c r="S1386" s="1" t="s">
        <v>31</v>
      </c>
      <c r="T1386" s="1" t="s">
        <v>33</v>
      </c>
      <c r="U1386" s="1">
        <v>4</v>
      </c>
      <c r="V1386" s="1">
        <v>29347</v>
      </c>
      <c r="W1386" s="7">
        <v>394.92</v>
      </c>
      <c r="X1386" s="1">
        <v>0.41</v>
      </c>
      <c r="Y1386" s="4">
        <v>44053</v>
      </c>
      <c r="Z1386" s="1" t="s">
        <v>32</v>
      </c>
      <c r="AA1386" s="1" t="s">
        <v>33</v>
      </c>
      <c r="AB1386" s="36" t="str" cm="1">
        <f t="array" ref="AB1386">_xlfn.IFS(K1386&gt;650,"LOW",K1386&gt;=550,"MEDIUM",K1386&lt;550,"HIGH")</f>
        <v>HIGH</v>
      </c>
    </row>
    <row r="1387" spans="3:28" x14ac:dyDescent="0.3">
      <c r="C1387" s="35" t="s">
        <v>3954</v>
      </c>
      <c r="D1387" s="1" t="s">
        <v>1956</v>
      </c>
      <c r="E1387" s="1">
        <v>43</v>
      </c>
      <c r="F1387" s="1" t="s">
        <v>44</v>
      </c>
      <c r="G1387" s="1" t="s">
        <v>27</v>
      </c>
      <c r="H1387" s="1" t="s">
        <v>61</v>
      </c>
      <c r="I1387" s="1" t="s">
        <v>57</v>
      </c>
      <c r="J1387" s="7">
        <v>96794</v>
      </c>
      <c r="K1387" s="1">
        <v>469</v>
      </c>
      <c r="L1387" s="7">
        <v>9831</v>
      </c>
      <c r="M1387" s="1">
        <v>48</v>
      </c>
      <c r="N1387" s="6">
        <v>0.11560000000000001</v>
      </c>
      <c r="O1387" s="1" t="s">
        <v>63</v>
      </c>
      <c r="P1387" s="1" t="s">
        <v>30</v>
      </c>
      <c r="Q1387" s="1">
        <v>6</v>
      </c>
      <c r="R1387" s="1">
        <v>0</v>
      </c>
      <c r="S1387" s="1" t="s">
        <v>33</v>
      </c>
      <c r="T1387" s="1" t="s">
        <v>33</v>
      </c>
      <c r="U1387" s="1">
        <v>0</v>
      </c>
      <c r="V1387" s="1">
        <v>157523</v>
      </c>
      <c r="W1387" s="7">
        <v>783.16</v>
      </c>
      <c r="X1387" s="1">
        <v>0.57999999999999996</v>
      </c>
      <c r="Y1387" s="4">
        <v>45317</v>
      </c>
      <c r="Z1387" s="1" t="s">
        <v>38</v>
      </c>
      <c r="AA1387" s="1" t="s">
        <v>31</v>
      </c>
      <c r="AB1387" s="36" t="str" cm="1">
        <f t="array" ref="AB1387">_xlfn.IFS(K1387&gt;650,"LOW",K1387&gt;=550,"MEDIUM",K1387&lt;550,"HIGH")</f>
        <v>HIGH</v>
      </c>
    </row>
    <row r="1388" spans="3:28" x14ac:dyDescent="0.3">
      <c r="C1388" s="35" t="s">
        <v>2302</v>
      </c>
      <c r="D1388" s="1" t="s">
        <v>333</v>
      </c>
      <c r="E1388" s="1">
        <v>38</v>
      </c>
      <c r="F1388" s="1" t="s">
        <v>44</v>
      </c>
      <c r="G1388" s="1" t="s">
        <v>35</v>
      </c>
      <c r="H1388" s="1" t="s">
        <v>36</v>
      </c>
      <c r="I1388" s="1" t="s">
        <v>29</v>
      </c>
      <c r="J1388" s="7">
        <v>98194</v>
      </c>
      <c r="K1388" s="1">
        <v>468</v>
      </c>
      <c r="L1388" s="7">
        <v>28425</v>
      </c>
      <c r="M1388" s="1">
        <v>24</v>
      </c>
      <c r="N1388" s="6">
        <v>9.5799999999999996E-2</v>
      </c>
      <c r="O1388" s="1" t="s">
        <v>63</v>
      </c>
      <c r="P1388" s="1" t="s">
        <v>30</v>
      </c>
      <c r="Q1388" s="1">
        <v>4</v>
      </c>
      <c r="R1388" s="1">
        <v>0</v>
      </c>
      <c r="S1388" s="1" t="s">
        <v>31</v>
      </c>
      <c r="T1388" s="1" t="s">
        <v>33</v>
      </c>
      <c r="U1388" s="1">
        <v>0</v>
      </c>
      <c r="V1388" s="1">
        <v>132744</v>
      </c>
      <c r="W1388" s="7">
        <v>1060.6600000000001</v>
      </c>
      <c r="X1388" s="1">
        <v>0.52</v>
      </c>
      <c r="Y1388" s="4">
        <v>44894</v>
      </c>
      <c r="Z1388" s="1" t="s">
        <v>38</v>
      </c>
      <c r="AA1388" s="1" t="s">
        <v>33</v>
      </c>
      <c r="AB1388" s="36" t="str" cm="1">
        <f t="array" ref="AB1388">_xlfn.IFS(K1388&gt;650,"LOW",K1388&gt;=550,"MEDIUM",K1388&lt;550,"HIGH")</f>
        <v>HIGH</v>
      </c>
    </row>
    <row r="1389" spans="3:28" x14ac:dyDescent="0.3">
      <c r="C1389" s="35" t="s">
        <v>2781</v>
      </c>
      <c r="D1389" s="1" t="s">
        <v>809</v>
      </c>
      <c r="E1389" s="1">
        <v>37</v>
      </c>
      <c r="F1389" s="1" t="s">
        <v>44</v>
      </c>
      <c r="G1389" s="1" t="s">
        <v>45</v>
      </c>
      <c r="H1389" s="1" t="s">
        <v>54</v>
      </c>
      <c r="I1389" s="1" t="s">
        <v>59</v>
      </c>
      <c r="J1389" s="7">
        <v>128956</v>
      </c>
      <c r="K1389" s="1">
        <v>468</v>
      </c>
      <c r="L1389" s="7">
        <v>9744</v>
      </c>
      <c r="M1389" s="1">
        <v>48</v>
      </c>
      <c r="N1389" s="6">
        <v>0.11800000000000001</v>
      </c>
      <c r="O1389" s="1" t="s">
        <v>52</v>
      </c>
      <c r="P1389" s="1" t="s">
        <v>47</v>
      </c>
      <c r="Q1389" s="1">
        <v>7</v>
      </c>
      <c r="R1389" s="1">
        <v>2</v>
      </c>
      <c r="S1389" s="1" t="s">
        <v>31</v>
      </c>
      <c r="T1389" s="1" t="s">
        <v>31</v>
      </c>
      <c r="U1389" s="1">
        <v>1</v>
      </c>
      <c r="V1389" s="1">
        <v>108384</v>
      </c>
      <c r="W1389" s="7">
        <v>1840.15</v>
      </c>
      <c r="X1389" s="1">
        <v>0.68</v>
      </c>
      <c r="Y1389" s="4">
        <v>44399</v>
      </c>
      <c r="Z1389" s="1" t="s">
        <v>38</v>
      </c>
      <c r="AA1389" s="1" t="s">
        <v>33</v>
      </c>
      <c r="AB1389" s="36" t="str" cm="1">
        <f t="array" ref="AB1389">_xlfn.IFS(K1389&gt;650,"LOW",K1389&gt;=550,"MEDIUM",K1389&lt;550,"HIGH")</f>
        <v>HIGH</v>
      </c>
    </row>
    <row r="1390" spans="3:28" x14ac:dyDescent="0.3">
      <c r="C1390" s="35" t="s">
        <v>3204</v>
      </c>
      <c r="D1390" s="1" t="s">
        <v>1228</v>
      </c>
      <c r="E1390" s="1">
        <v>54</v>
      </c>
      <c r="F1390" s="1" t="s">
        <v>44</v>
      </c>
      <c r="G1390" s="1" t="s">
        <v>35</v>
      </c>
      <c r="H1390" s="1" t="s">
        <v>28</v>
      </c>
      <c r="I1390" s="1" t="s">
        <v>59</v>
      </c>
      <c r="J1390" s="7">
        <v>66073</v>
      </c>
      <c r="K1390" s="1">
        <v>468</v>
      </c>
      <c r="L1390" s="7">
        <v>19932</v>
      </c>
      <c r="M1390" s="1">
        <v>36</v>
      </c>
      <c r="N1390" s="6">
        <v>0.18510000000000001</v>
      </c>
      <c r="O1390" s="1" t="s">
        <v>37</v>
      </c>
      <c r="P1390" s="1" t="s">
        <v>50</v>
      </c>
      <c r="Q1390" s="1">
        <v>20</v>
      </c>
      <c r="R1390" s="1">
        <v>0</v>
      </c>
      <c r="S1390" s="1" t="s">
        <v>31</v>
      </c>
      <c r="T1390" s="1" t="s">
        <v>33</v>
      </c>
      <c r="U1390" s="1">
        <v>4</v>
      </c>
      <c r="V1390" s="1">
        <v>153136</v>
      </c>
      <c r="W1390" s="7">
        <v>1667.74</v>
      </c>
      <c r="X1390" s="1">
        <v>0.63</v>
      </c>
      <c r="Y1390" s="4">
        <v>44573</v>
      </c>
      <c r="Z1390" s="1" t="s">
        <v>32</v>
      </c>
      <c r="AA1390" s="1" t="s">
        <v>33</v>
      </c>
      <c r="AB1390" s="36" t="str" cm="1">
        <f t="array" ref="AB1390">_xlfn.IFS(K1390&gt;650,"LOW",K1390&gt;=550,"MEDIUM",K1390&lt;550,"HIGH")</f>
        <v>HIGH</v>
      </c>
    </row>
    <row r="1391" spans="3:28" x14ac:dyDescent="0.3">
      <c r="C1391" s="35" t="s">
        <v>3448</v>
      </c>
      <c r="D1391" s="1" t="s">
        <v>1466</v>
      </c>
      <c r="E1391" s="1">
        <v>30</v>
      </c>
      <c r="F1391" s="1" t="s">
        <v>26</v>
      </c>
      <c r="G1391" s="1" t="s">
        <v>35</v>
      </c>
      <c r="H1391" s="1" t="s">
        <v>28</v>
      </c>
      <c r="I1391" s="1" t="s">
        <v>57</v>
      </c>
      <c r="J1391" s="7">
        <v>148918</v>
      </c>
      <c r="K1391" s="1">
        <v>468</v>
      </c>
      <c r="L1391" s="7">
        <v>29767</v>
      </c>
      <c r="M1391" s="1">
        <v>24</v>
      </c>
      <c r="N1391" s="6">
        <v>6.5099999999999991E-2</v>
      </c>
      <c r="O1391" s="1" t="s">
        <v>63</v>
      </c>
      <c r="P1391" s="1" t="s">
        <v>47</v>
      </c>
      <c r="Q1391" s="1">
        <v>5</v>
      </c>
      <c r="R1391" s="1">
        <v>1</v>
      </c>
      <c r="S1391" s="1" t="s">
        <v>31</v>
      </c>
      <c r="T1391" s="1" t="s">
        <v>33</v>
      </c>
      <c r="U1391" s="1">
        <v>3</v>
      </c>
      <c r="V1391" s="1">
        <v>191393</v>
      </c>
      <c r="W1391" s="7">
        <v>1261.6600000000001</v>
      </c>
      <c r="X1391" s="1">
        <v>0.95</v>
      </c>
      <c r="Y1391" s="4">
        <v>44209</v>
      </c>
      <c r="Z1391" s="1" t="s">
        <v>32</v>
      </c>
      <c r="AA1391" s="1" t="s">
        <v>33</v>
      </c>
      <c r="AB1391" s="36" t="str" cm="1">
        <f t="array" ref="AB1391">_xlfn.IFS(K1391&gt;650,"LOW",K1391&gt;=550,"MEDIUM",K1391&lt;550,"HIGH")</f>
        <v>HIGH</v>
      </c>
    </row>
    <row r="1392" spans="3:28" x14ac:dyDescent="0.3">
      <c r="C1392" s="35" t="s">
        <v>2248</v>
      </c>
      <c r="D1392" s="1" t="s">
        <v>279</v>
      </c>
      <c r="E1392" s="1">
        <v>56</v>
      </c>
      <c r="F1392" s="1" t="s">
        <v>26</v>
      </c>
      <c r="G1392" s="1" t="s">
        <v>56</v>
      </c>
      <c r="H1392" s="1" t="s">
        <v>36</v>
      </c>
      <c r="I1392" s="1" t="s">
        <v>59</v>
      </c>
      <c r="J1392" s="7">
        <v>78032</v>
      </c>
      <c r="K1392" s="1">
        <v>467</v>
      </c>
      <c r="L1392" s="7">
        <v>29208</v>
      </c>
      <c r="M1392" s="1">
        <v>12</v>
      </c>
      <c r="N1392" s="6">
        <v>0.17469999999999999</v>
      </c>
      <c r="O1392" s="1" t="s">
        <v>46</v>
      </c>
      <c r="P1392" s="1" t="s">
        <v>47</v>
      </c>
      <c r="Q1392" s="1">
        <v>8</v>
      </c>
      <c r="R1392" s="1">
        <v>3</v>
      </c>
      <c r="S1392" s="1" t="s">
        <v>31</v>
      </c>
      <c r="T1392" s="1" t="s">
        <v>31</v>
      </c>
      <c r="U1392" s="1">
        <v>0</v>
      </c>
      <c r="V1392" s="1">
        <v>134842</v>
      </c>
      <c r="W1392" s="7">
        <v>215.54</v>
      </c>
      <c r="X1392" s="1">
        <v>0.48</v>
      </c>
      <c r="Y1392" s="4">
        <v>44695</v>
      </c>
      <c r="Z1392" s="1" t="s">
        <v>38</v>
      </c>
      <c r="AA1392" s="1" t="s">
        <v>33</v>
      </c>
      <c r="AB1392" s="36" t="str" cm="1">
        <f t="array" ref="AB1392">_xlfn.IFS(K1392&gt;650,"LOW",K1392&gt;=550,"MEDIUM",K1392&lt;550,"HIGH")</f>
        <v>HIGH</v>
      </c>
    </row>
    <row r="1393" spans="3:28" x14ac:dyDescent="0.3">
      <c r="C1393" s="35" t="s">
        <v>2699</v>
      </c>
      <c r="D1393" s="1" t="s">
        <v>729</v>
      </c>
      <c r="E1393" s="1">
        <v>38</v>
      </c>
      <c r="F1393" s="1" t="s">
        <v>26</v>
      </c>
      <c r="G1393" s="1" t="s">
        <v>35</v>
      </c>
      <c r="H1393" s="1" t="s">
        <v>28</v>
      </c>
      <c r="I1393" s="1" t="s">
        <v>29</v>
      </c>
      <c r="J1393" s="7">
        <v>126553</v>
      </c>
      <c r="K1393" s="1">
        <v>467</v>
      </c>
      <c r="L1393" s="7">
        <v>22845</v>
      </c>
      <c r="M1393" s="1">
        <v>48</v>
      </c>
      <c r="N1393" s="6">
        <v>6.88E-2</v>
      </c>
      <c r="O1393" s="1" t="s">
        <v>5</v>
      </c>
      <c r="P1393" s="1" t="s">
        <v>47</v>
      </c>
      <c r="Q1393" s="1">
        <v>17</v>
      </c>
      <c r="R1393" s="1">
        <v>1</v>
      </c>
      <c r="S1393" s="1" t="s">
        <v>31</v>
      </c>
      <c r="T1393" s="1" t="s">
        <v>31</v>
      </c>
      <c r="U1393" s="1">
        <v>0</v>
      </c>
      <c r="V1393" s="1">
        <v>111319</v>
      </c>
      <c r="W1393" s="7">
        <v>1432.27</v>
      </c>
      <c r="X1393" s="1">
        <v>0.63</v>
      </c>
      <c r="Y1393" s="4">
        <v>44236</v>
      </c>
      <c r="Z1393" s="1" t="s">
        <v>32</v>
      </c>
      <c r="AA1393" s="1" t="s">
        <v>31</v>
      </c>
      <c r="AB1393" s="36" t="str" cm="1">
        <f t="array" ref="AB1393">_xlfn.IFS(K1393&gt;650,"LOW",K1393&gt;=550,"MEDIUM",K1393&lt;550,"HIGH")</f>
        <v>HIGH</v>
      </c>
    </row>
    <row r="1394" spans="3:28" x14ac:dyDescent="0.3">
      <c r="C1394" s="35" t="s">
        <v>2254</v>
      </c>
      <c r="D1394" s="1" t="s">
        <v>285</v>
      </c>
      <c r="E1394" s="1">
        <v>52</v>
      </c>
      <c r="F1394" s="1" t="s">
        <v>26</v>
      </c>
      <c r="G1394" s="1" t="s">
        <v>45</v>
      </c>
      <c r="H1394" s="1" t="s">
        <v>54</v>
      </c>
      <c r="I1394" s="1" t="s">
        <v>57</v>
      </c>
      <c r="J1394" s="7">
        <v>91356</v>
      </c>
      <c r="K1394" s="1">
        <v>466</v>
      </c>
      <c r="L1394" s="7">
        <v>41399</v>
      </c>
      <c r="M1394" s="1">
        <v>60</v>
      </c>
      <c r="N1394" s="6">
        <v>0.10980000000000001</v>
      </c>
      <c r="O1394" s="1" t="s">
        <v>46</v>
      </c>
      <c r="P1394" s="1" t="s">
        <v>30</v>
      </c>
      <c r="Q1394" s="1">
        <v>8</v>
      </c>
      <c r="R1394" s="1">
        <v>1</v>
      </c>
      <c r="S1394" s="1" t="s">
        <v>31</v>
      </c>
      <c r="T1394" s="1" t="s">
        <v>33</v>
      </c>
      <c r="U1394" s="1">
        <v>3</v>
      </c>
      <c r="V1394" s="1">
        <v>127640</v>
      </c>
      <c r="W1394" s="7">
        <v>228.98</v>
      </c>
      <c r="X1394" s="1">
        <v>0.11</v>
      </c>
      <c r="Y1394" s="4">
        <v>45828</v>
      </c>
      <c r="Z1394" s="1" t="s">
        <v>32</v>
      </c>
      <c r="AA1394" s="1" t="s">
        <v>33</v>
      </c>
      <c r="AB1394" s="36" t="str" cm="1">
        <f t="array" ref="AB1394">_xlfn.IFS(K1394&gt;650,"LOW",K1394&gt;=550,"MEDIUM",K1394&lt;550,"HIGH")</f>
        <v>HIGH</v>
      </c>
    </row>
    <row r="1395" spans="3:28" x14ac:dyDescent="0.3">
      <c r="C1395" s="35" t="s">
        <v>2569</v>
      </c>
      <c r="D1395" s="1" t="s">
        <v>599</v>
      </c>
      <c r="E1395" s="1">
        <v>32</v>
      </c>
      <c r="F1395" s="1" t="s">
        <v>26</v>
      </c>
      <c r="G1395" s="1" t="s">
        <v>56</v>
      </c>
      <c r="H1395" s="1" t="s">
        <v>54</v>
      </c>
      <c r="I1395" s="1" t="s">
        <v>40</v>
      </c>
      <c r="J1395" s="7">
        <v>74659</v>
      </c>
      <c r="K1395" s="1">
        <v>466</v>
      </c>
      <c r="L1395" s="7">
        <v>14176</v>
      </c>
      <c r="M1395" s="1">
        <v>24</v>
      </c>
      <c r="N1395" s="6">
        <v>0.15289999999999998</v>
      </c>
      <c r="O1395" s="1" t="s">
        <v>5</v>
      </c>
      <c r="P1395" s="1" t="s">
        <v>47</v>
      </c>
      <c r="Q1395" s="1">
        <v>27</v>
      </c>
      <c r="R1395" s="1">
        <v>4</v>
      </c>
      <c r="S1395" s="1" t="s">
        <v>33</v>
      </c>
      <c r="T1395" s="1" t="s">
        <v>31</v>
      </c>
      <c r="U1395" s="1">
        <v>2</v>
      </c>
      <c r="V1395" s="1">
        <v>180586</v>
      </c>
      <c r="W1395" s="7">
        <v>1954.32</v>
      </c>
      <c r="X1395" s="1">
        <v>0.74</v>
      </c>
      <c r="Y1395" s="4">
        <v>45159</v>
      </c>
      <c r="Z1395" s="1" t="s">
        <v>32</v>
      </c>
      <c r="AA1395" s="1" t="s">
        <v>33</v>
      </c>
      <c r="AB1395" s="36" t="str" cm="1">
        <f t="array" ref="AB1395">_xlfn.IFS(K1395&gt;650,"LOW",K1395&gt;=550,"MEDIUM",K1395&lt;550,"HIGH")</f>
        <v>HIGH</v>
      </c>
    </row>
    <row r="1396" spans="3:28" x14ac:dyDescent="0.3">
      <c r="C1396" s="35" t="s">
        <v>2822</v>
      </c>
      <c r="D1396" s="1" t="s">
        <v>850</v>
      </c>
      <c r="E1396" s="1">
        <v>32</v>
      </c>
      <c r="F1396" s="1" t="s">
        <v>26</v>
      </c>
      <c r="G1396" s="1" t="s">
        <v>56</v>
      </c>
      <c r="H1396" s="1" t="s">
        <v>54</v>
      </c>
      <c r="I1396" s="1" t="s">
        <v>40</v>
      </c>
      <c r="J1396" s="7">
        <v>59462</v>
      </c>
      <c r="K1396" s="1">
        <v>466</v>
      </c>
      <c r="L1396" s="7">
        <v>9711</v>
      </c>
      <c r="M1396" s="1">
        <v>24</v>
      </c>
      <c r="N1396" s="6">
        <v>0.18859999999999999</v>
      </c>
      <c r="O1396" s="1" t="s">
        <v>52</v>
      </c>
      <c r="P1396" s="1" t="s">
        <v>47</v>
      </c>
      <c r="Q1396" s="1">
        <v>11</v>
      </c>
      <c r="R1396" s="1">
        <v>4</v>
      </c>
      <c r="S1396" s="1" t="s">
        <v>33</v>
      </c>
      <c r="T1396" s="1" t="s">
        <v>33</v>
      </c>
      <c r="U1396" s="1">
        <v>2</v>
      </c>
      <c r="V1396" s="1">
        <v>2770</v>
      </c>
      <c r="W1396" s="7">
        <v>615.30999999999995</v>
      </c>
      <c r="X1396" s="1">
        <v>0.7</v>
      </c>
      <c r="Y1396" s="4">
        <v>44386</v>
      </c>
      <c r="Z1396" s="1" t="s">
        <v>38</v>
      </c>
      <c r="AA1396" s="1" t="s">
        <v>33</v>
      </c>
      <c r="AB1396" s="36" t="str" cm="1">
        <f t="array" ref="AB1396">_xlfn.IFS(K1396&gt;650,"LOW",K1396&gt;=550,"MEDIUM",K1396&lt;550,"HIGH")</f>
        <v>HIGH</v>
      </c>
    </row>
    <row r="1397" spans="3:28" x14ac:dyDescent="0.3">
      <c r="C1397" s="35" t="s">
        <v>3112</v>
      </c>
      <c r="D1397" s="1" t="s">
        <v>1137</v>
      </c>
      <c r="E1397" s="1">
        <v>60</v>
      </c>
      <c r="F1397" s="1" t="s">
        <v>44</v>
      </c>
      <c r="G1397" s="1" t="s">
        <v>56</v>
      </c>
      <c r="H1397" s="1" t="s">
        <v>54</v>
      </c>
      <c r="I1397" s="1" t="s">
        <v>57</v>
      </c>
      <c r="J1397" s="7">
        <v>80091</v>
      </c>
      <c r="K1397" s="1">
        <v>466</v>
      </c>
      <c r="L1397" s="7">
        <v>5676</v>
      </c>
      <c r="M1397" s="1">
        <v>36</v>
      </c>
      <c r="N1397" s="6">
        <v>0.1101</v>
      </c>
      <c r="O1397" s="1" t="s">
        <v>63</v>
      </c>
      <c r="P1397" s="1" t="s">
        <v>47</v>
      </c>
      <c r="Q1397" s="1">
        <v>8</v>
      </c>
      <c r="R1397" s="1">
        <v>4</v>
      </c>
      <c r="S1397" s="1" t="s">
        <v>31</v>
      </c>
      <c r="T1397" s="1" t="s">
        <v>33</v>
      </c>
      <c r="U1397" s="1">
        <v>0</v>
      </c>
      <c r="V1397" s="1">
        <v>188796</v>
      </c>
      <c r="W1397" s="7">
        <v>1500.81</v>
      </c>
      <c r="X1397" s="1">
        <v>0.93</v>
      </c>
      <c r="Y1397" s="4">
        <v>45649</v>
      </c>
      <c r="Z1397" s="1" t="s">
        <v>38</v>
      </c>
      <c r="AA1397" s="1" t="s">
        <v>33</v>
      </c>
      <c r="AB1397" s="36" t="str" cm="1">
        <f t="array" ref="AB1397">_xlfn.IFS(K1397&gt;650,"LOW",K1397&gt;=550,"MEDIUM",K1397&lt;550,"HIGH")</f>
        <v>HIGH</v>
      </c>
    </row>
    <row r="1398" spans="3:28" x14ac:dyDescent="0.3">
      <c r="C1398" s="35" t="s">
        <v>3733</v>
      </c>
      <c r="D1398" s="1" t="s">
        <v>1741</v>
      </c>
      <c r="E1398" s="1">
        <v>31</v>
      </c>
      <c r="F1398" s="1" t="s">
        <v>26</v>
      </c>
      <c r="G1398" s="1" t="s">
        <v>45</v>
      </c>
      <c r="H1398" s="1" t="s">
        <v>28</v>
      </c>
      <c r="I1398" s="1" t="s">
        <v>59</v>
      </c>
      <c r="J1398" s="7">
        <v>56486</v>
      </c>
      <c r="K1398" s="1">
        <v>466</v>
      </c>
      <c r="L1398" s="7">
        <v>45989</v>
      </c>
      <c r="M1398" s="1">
        <v>24</v>
      </c>
      <c r="N1398" s="6">
        <v>8.2200000000000009E-2</v>
      </c>
      <c r="O1398" s="1" t="s">
        <v>41</v>
      </c>
      <c r="P1398" s="1" t="s">
        <v>50</v>
      </c>
      <c r="Q1398" s="1">
        <v>23</v>
      </c>
      <c r="R1398" s="1">
        <v>3</v>
      </c>
      <c r="S1398" s="1" t="s">
        <v>33</v>
      </c>
      <c r="T1398" s="1" t="s">
        <v>33</v>
      </c>
      <c r="U1398" s="1">
        <v>2</v>
      </c>
      <c r="V1398" s="1">
        <v>101975</v>
      </c>
      <c r="W1398" s="7">
        <v>1881.54</v>
      </c>
      <c r="X1398" s="1">
        <v>0.42</v>
      </c>
      <c r="Y1398" s="4">
        <v>44600</v>
      </c>
      <c r="Z1398" s="1" t="s">
        <v>32</v>
      </c>
      <c r="AA1398" s="1" t="s">
        <v>33</v>
      </c>
      <c r="AB1398" s="36" t="str" cm="1">
        <f t="array" ref="AB1398">_xlfn.IFS(K1398&gt;650,"LOW",K1398&gt;=550,"MEDIUM",K1398&lt;550,"HIGH")</f>
        <v>HIGH</v>
      </c>
    </row>
    <row r="1399" spans="3:28" x14ac:dyDescent="0.3">
      <c r="C1399" s="35" t="s">
        <v>3892</v>
      </c>
      <c r="D1399" s="1" t="s">
        <v>1060</v>
      </c>
      <c r="E1399" s="1">
        <v>21</v>
      </c>
      <c r="F1399" s="1" t="s">
        <v>26</v>
      </c>
      <c r="G1399" s="1" t="s">
        <v>56</v>
      </c>
      <c r="H1399" s="1" t="s">
        <v>61</v>
      </c>
      <c r="I1399" s="1" t="s">
        <v>57</v>
      </c>
      <c r="J1399" s="7">
        <v>126705</v>
      </c>
      <c r="K1399" s="1">
        <v>466</v>
      </c>
      <c r="L1399" s="7">
        <v>34362</v>
      </c>
      <c r="M1399" s="1">
        <v>24</v>
      </c>
      <c r="N1399" s="6">
        <v>0.1754</v>
      </c>
      <c r="O1399" s="1" t="s">
        <v>63</v>
      </c>
      <c r="P1399" s="1" t="s">
        <v>47</v>
      </c>
      <c r="Q1399" s="1">
        <v>3</v>
      </c>
      <c r="R1399" s="1">
        <v>4</v>
      </c>
      <c r="S1399" s="1" t="s">
        <v>33</v>
      </c>
      <c r="T1399" s="1" t="s">
        <v>31</v>
      </c>
      <c r="U1399" s="1">
        <v>3</v>
      </c>
      <c r="V1399" s="1">
        <v>168831</v>
      </c>
      <c r="W1399" s="7">
        <v>200.11</v>
      </c>
      <c r="X1399" s="1">
        <v>0.5</v>
      </c>
      <c r="Y1399" s="4">
        <v>45695</v>
      </c>
      <c r="Z1399" s="1" t="s">
        <v>32</v>
      </c>
      <c r="AA1399" s="1" t="s">
        <v>33</v>
      </c>
      <c r="AB1399" s="36" t="str" cm="1">
        <f t="array" ref="AB1399">_xlfn.IFS(K1399&gt;650,"LOW",K1399&gt;=550,"MEDIUM",K1399&lt;550,"HIGH")</f>
        <v>HIGH</v>
      </c>
    </row>
    <row r="1400" spans="3:28" x14ac:dyDescent="0.3">
      <c r="C1400" s="35" t="s">
        <v>2381</v>
      </c>
      <c r="D1400" s="1" t="s">
        <v>411</v>
      </c>
      <c r="E1400" s="1">
        <v>55</v>
      </c>
      <c r="F1400" s="1" t="s">
        <v>44</v>
      </c>
      <c r="G1400" s="1" t="s">
        <v>45</v>
      </c>
      <c r="H1400" s="1" t="s">
        <v>54</v>
      </c>
      <c r="I1400" s="1" t="s">
        <v>40</v>
      </c>
      <c r="J1400" s="7">
        <v>144597</v>
      </c>
      <c r="K1400" s="1">
        <v>465</v>
      </c>
      <c r="L1400" s="7">
        <v>45132</v>
      </c>
      <c r="M1400" s="1">
        <v>24</v>
      </c>
      <c r="N1400" s="6">
        <v>5.57E-2</v>
      </c>
      <c r="O1400" s="1" t="s">
        <v>37</v>
      </c>
      <c r="P1400" s="1" t="s">
        <v>47</v>
      </c>
      <c r="Q1400" s="1">
        <v>24</v>
      </c>
      <c r="R1400" s="1">
        <v>3</v>
      </c>
      <c r="S1400" s="1" t="s">
        <v>31</v>
      </c>
      <c r="T1400" s="1" t="s">
        <v>33</v>
      </c>
      <c r="U1400" s="1">
        <v>4</v>
      </c>
      <c r="V1400" s="1">
        <v>52515</v>
      </c>
      <c r="W1400" s="7">
        <v>325.83999999999997</v>
      </c>
      <c r="X1400" s="1">
        <v>0.53</v>
      </c>
      <c r="Y1400" s="4">
        <v>44474</v>
      </c>
      <c r="Z1400" s="1" t="s">
        <v>38</v>
      </c>
      <c r="AA1400" s="1" t="s">
        <v>33</v>
      </c>
      <c r="AB1400" s="36" t="str" cm="1">
        <f t="array" ref="AB1400">_xlfn.IFS(K1400&gt;650,"LOW",K1400&gt;=550,"MEDIUM",K1400&lt;550,"HIGH")</f>
        <v>HIGH</v>
      </c>
    </row>
    <row r="1401" spans="3:28" x14ac:dyDescent="0.3">
      <c r="C1401" s="35" t="s">
        <v>2943</v>
      </c>
      <c r="D1401" s="1" t="s">
        <v>971</v>
      </c>
      <c r="E1401" s="1">
        <v>56</v>
      </c>
      <c r="F1401" s="1" t="s">
        <v>44</v>
      </c>
      <c r="G1401" s="1" t="s">
        <v>27</v>
      </c>
      <c r="H1401" s="1" t="s">
        <v>28</v>
      </c>
      <c r="I1401" s="1" t="s">
        <v>29</v>
      </c>
      <c r="J1401" s="7">
        <v>33503</v>
      </c>
      <c r="K1401" s="1">
        <v>465</v>
      </c>
      <c r="L1401" s="7">
        <v>3243</v>
      </c>
      <c r="M1401" s="1">
        <v>12</v>
      </c>
      <c r="N1401" s="6">
        <v>9.9199999999999997E-2</v>
      </c>
      <c r="O1401" s="1" t="s">
        <v>63</v>
      </c>
      <c r="P1401" s="1" t="s">
        <v>47</v>
      </c>
      <c r="Q1401" s="1">
        <v>23</v>
      </c>
      <c r="R1401" s="1">
        <v>0</v>
      </c>
      <c r="S1401" s="1" t="s">
        <v>31</v>
      </c>
      <c r="T1401" s="1" t="s">
        <v>31</v>
      </c>
      <c r="U1401" s="1">
        <v>0</v>
      </c>
      <c r="V1401" s="1">
        <v>46260</v>
      </c>
      <c r="W1401" s="7">
        <v>369.55</v>
      </c>
      <c r="X1401" s="1">
        <v>0.88</v>
      </c>
      <c r="Y1401" s="4">
        <v>44835</v>
      </c>
      <c r="Z1401" s="1" t="s">
        <v>38</v>
      </c>
      <c r="AA1401" s="1" t="s">
        <v>33</v>
      </c>
      <c r="AB1401" s="36" t="str" cm="1">
        <f t="array" ref="AB1401">_xlfn.IFS(K1401&gt;650,"LOW",K1401&gt;=550,"MEDIUM",K1401&lt;550,"HIGH")</f>
        <v>HIGH</v>
      </c>
    </row>
    <row r="1402" spans="3:28" x14ac:dyDescent="0.3">
      <c r="C1402" s="35" t="s">
        <v>3149</v>
      </c>
      <c r="D1402" s="1" t="s">
        <v>1173</v>
      </c>
      <c r="E1402" s="1">
        <v>61</v>
      </c>
      <c r="F1402" s="1" t="s">
        <v>26</v>
      </c>
      <c r="G1402" s="1" t="s">
        <v>27</v>
      </c>
      <c r="H1402" s="1" t="s">
        <v>61</v>
      </c>
      <c r="I1402" s="1" t="s">
        <v>29</v>
      </c>
      <c r="J1402" s="7">
        <v>133942</v>
      </c>
      <c r="K1402" s="1">
        <v>465</v>
      </c>
      <c r="L1402" s="7">
        <v>21102</v>
      </c>
      <c r="M1402" s="1">
        <v>36</v>
      </c>
      <c r="N1402" s="6">
        <v>9.4499999999999987E-2</v>
      </c>
      <c r="O1402" s="1" t="s">
        <v>63</v>
      </c>
      <c r="P1402" s="1" t="s">
        <v>30</v>
      </c>
      <c r="Q1402" s="1">
        <v>14</v>
      </c>
      <c r="R1402" s="1">
        <v>0</v>
      </c>
      <c r="S1402" s="1" t="s">
        <v>31</v>
      </c>
      <c r="T1402" s="1" t="s">
        <v>33</v>
      </c>
      <c r="U1402" s="1">
        <v>2</v>
      </c>
      <c r="V1402" s="1">
        <v>97580</v>
      </c>
      <c r="W1402" s="7">
        <v>664.99</v>
      </c>
      <c r="X1402" s="1">
        <v>0.25</v>
      </c>
      <c r="Y1402" s="4">
        <v>45551</v>
      </c>
      <c r="Z1402" s="1" t="s">
        <v>38</v>
      </c>
      <c r="AA1402" s="1" t="s">
        <v>31</v>
      </c>
      <c r="AB1402" s="36" t="str" cm="1">
        <f t="array" ref="AB1402">_xlfn.IFS(K1402&gt;650,"LOW",K1402&gt;=550,"MEDIUM",K1402&lt;550,"HIGH")</f>
        <v>HIGH</v>
      </c>
    </row>
    <row r="1403" spans="3:28" x14ac:dyDescent="0.3">
      <c r="C1403" s="35" t="s">
        <v>3434</v>
      </c>
      <c r="D1403" s="1" t="s">
        <v>1453</v>
      </c>
      <c r="E1403" s="1">
        <v>54</v>
      </c>
      <c r="F1403" s="1" t="s">
        <v>44</v>
      </c>
      <c r="G1403" s="1" t="s">
        <v>27</v>
      </c>
      <c r="H1403" s="1" t="s">
        <v>61</v>
      </c>
      <c r="I1403" s="1" t="s">
        <v>57</v>
      </c>
      <c r="J1403" s="7">
        <v>29930</v>
      </c>
      <c r="K1403" s="1">
        <v>465</v>
      </c>
      <c r="L1403" s="7">
        <v>40846</v>
      </c>
      <c r="M1403" s="1">
        <v>48</v>
      </c>
      <c r="N1403" s="6">
        <v>0.10730000000000001</v>
      </c>
      <c r="O1403" s="1" t="s">
        <v>5</v>
      </c>
      <c r="P1403" s="1" t="s">
        <v>30</v>
      </c>
      <c r="Q1403" s="1">
        <v>2</v>
      </c>
      <c r="R1403" s="1">
        <v>1</v>
      </c>
      <c r="S1403" s="1" t="s">
        <v>31</v>
      </c>
      <c r="T1403" s="1" t="s">
        <v>33</v>
      </c>
      <c r="U1403" s="1">
        <v>4</v>
      </c>
      <c r="V1403" s="1">
        <v>55121</v>
      </c>
      <c r="W1403" s="7">
        <v>631</v>
      </c>
      <c r="X1403" s="1">
        <v>0.13</v>
      </c>
      <c r="Y1403" s="4">
        <v>44659</v>
      </c>
      <c r="Z1403" s="1" t="s">
        <v>32</v>
      </c>
      <c r="AA1403" s="1" t="s">
        <v>33</v>
      </c>
      <c r="AB1403" s="36" t="str" cm="1">
        <f t="array" ref="AB1403">_xlfn.IFS(K1403&gt;650,"LOW",K1403&gt;=550,"MEDIUM",K1403&lt;550,"HIGH")</f>
        <v>HIGH</v>
      </c>
    </row>
    <row r="1404" spans="3:28" x14ac:dyDescent="0.3">
      <c r="C1404" s="35" t="s">
        <v>3481</v>
      </c>
      <c r="D1404" s="1" t="s">
        <v>1499</v>
      </c>
      <c r="E1404" s="1">
        <v>24</v>
      </c>
      <c r="F1404" s="1" t="s">
        <v>26</v>
      </c>
      <c r="G1404" s="1" t="s">
        <v>27</v>
      </c>
      <c r="H1404" s="1" t="s">
        <v>54</v>
      </c>
      <c r="I1404" s="1" t="s">
        <v>29</v>
      </c>
      <c r="J1404" s="7">
        <v>24782</v>
      </c>
      <c r="K1404" s="1">
        <v>465</v>
      </c>
      <c r="L1404" s="7">
        <v>3228</v>
      </c>
      <c r="M1404" s="1">
        <v>24</v>
      </c>
      <c r="N1404" s="6">
        <v>0.13140000000000002</v>
      </c>
      <c r="O1404" s="1" t="s">
        <v>41</v>
      </c>
      <c r="P1404" s="1" t="s">
        <v>47</v>
      </c>
      <c r="Q1404" s="1">
        <v>7</v>
      </c>
      <c r="R1404" s="1">
        <v>2</v>
      </c>
      <c r="S1404" s="1" t="s">
        <v>33</v>
      </c>
      <c r="T1404" s="1" t="s">
        <v>33</v>
      </c>
      <c r="U1404" s="1">
        <v>1</v>
      </c>
      <c r="V1404" s="1">
        <v>9382</v>
      </c>
      <c r="W1404" s="7">
        <v>689.38</v>
      </c>
      <c r="X1404" s="1">
        <v>0.87</v>
      </c>
      <c r="Y1404" s="4">
        <v>44057</v>
      </c>
      <c r="Z1404" s="1" t="s">
        <v>38</v>
      </c>
      <c r="AA1404" s="1" t="s">
        <v>33</v>
      </c>
      <c r="AB1404" s="36" t="str" cm="1">
        <f t="array" ref="AB1404">_xlfn.IFS(K1404&gt;650,"LOW",K1404&gt;=550,"MEDIUM",K1404&lt;550,"HIGH")</f>
        <v>HIGH</v>
      </c>
    </row>
    <row r="1405" spans="3:28" x14ac:dyDescent="0.3">
      <c r="C1405" s="35" t="s">
        <v>3988</v>
      </c>
      <c r="D1405" s="1" t="s">
        <v>1988</v>
      </c>
      <c r="E1405" s="1">
        <v>39</v>
      </c>
      <c r="F1405" s="1" t="s">
        <v>26</v>
      </c>
      <c r="G1405" s="1" t="s">
        <v>35</v>
      </c>
      <c r="H1405" s="1" t="s">
        <v>54</v>
      </c>
      <c r="I1405" s="1" t="s">
        <v>59</v>
      </c>
      <c r="J1405" s="7">
        <v>102606</v>
      </c>
      <c r="K1405" s="1">
        <v>465</v>
      </c>
      <c r="L1405" s="7">
        <v>35383</v>
      </c>
      <c r="M1405" s="1">
        <v>24</v>
      </c>
      <c r="N1405" s="6">
        <v>0.19010000000000002</v>
      </c>
      <c r="O1405" s="1" t="s">
        <v>41</v>
      </c>
      <c r="P1405" s="1" t="s">
        <v>30</v>
      </c>
      <c r="Q1405" s="1">
        <v>5</v>
      </c>
      <c r="R1405" s="1">
        <v>3</v>
      </c>
      <c r="S1405" s="1" t="s">
        <v>33</v>
      </c>
      <c r="T1405" s="1" t="s">
        <v>33</v>
      </c>
      <c r="U1405" s="1">
        <v>2</v>
      </c>
      <c r="V1405" s="1">
        <v>28800</v>
      </c>
      <c r="W1405" s="7">
        <v>1899.86</v>
      </c>
      <c r="X1405" s="1">
        <v>0.38</v>
      </c>
      <c r="Y1405" s="4">
        <v>45364</v>
      </c>
      <c r="Z1405" s="1" t="s">
        <v>38</v>
      </c>
      <c r="AA1405" s="1" t="s">
        <v>33</v>
      </c>
      <c r="AB1405" s="36" t="str" cm="1">
        <f t="array" ref="AB1405">_xlfn.IFS(K1405&gt;650,"LOW",K1405&gt;=550,"MEDIUM",K1405&lt;550,"HIGH")</f>
        <v>HIGH</v>
      </c>
    </row>
    <row r="1406" spans="3:28" x14ac:dyDescent="0.3">
      <c r="C1406" s="35" t="s">
        <v>2071</v>
      </c>
      <c r="D1406" s="1" t="s">
        <v>102</v>
      </c>
      <c r="E1406" s="1">
        <v>64</v>
      </c>
      <c r="F1406" s="1" t="s">
        <v>26</v>
      </c>
      <c r="G1406" s="1" t="s">
        <v>56</v>
      </c>
      <c r="H1406" s="1" t="s">
        <v>36</v>
      </c>
      <c r="I1406" s="1" t="s">
        <v>29</v>
      </c>
      <c r="J1406" s="7">
        <v>23880</v>
      </c>
      <c r="K1406" s="1">
        <v>464</v>
      </c>
      <c r="L1406" s="7">
        <v>2973</v>
      </c>
      <c r="M1406" s="1">
        <v>36</v>
      </c>
      <c r="N1406" s="6">
        <v>0.1452</v>
      </c>
      <c r="O1406" s="1" t="s">
        <v>46</v>
      </c>
      <c r="P1406" s="1" t="s">
        <v>47</v>
      </c>
      <c r="Q1406" s="1">
        <v>29</v>
      </c>
      <c r="R1406" s="1">
        <v>3</v>
      </c>
      <c r="S1406" s="1" t="s">
        <v>31</v>
      </c>
      <c r="T1406" s="1" t="s">
        <v>31</v>
      </c>
      <c r="U1406" s="1">
        <v>2</v>
      </c>
      <c r="V1406" s="1">
        <v>150929</v>
      </c>
      <c r="W1406" s="7">
        <v>849.89</v>
      </c>
      <c r="X1406" s="1">
        <v>0.44</v>
      </c>
      <c r="Y1406" s="4">
        <v>45805</v>
      </c>
      <c r="Z1406" s="1" t="s">
        <v>38</v>
      </c>
      <c r="AA1406" s="1" t="s">
        <v>33</v>
      </c>
      <c r="AB1406" s="36" t="str" cm="1">
        <f t="array" ref="AB1406">_xlfn.IFS(K1406&gt;650,"LOW",K1406&gt;=550,"MEDIUM",K1406&lt;550,"HIGH")</f>
        <v>HIGH</v>
      </c>
    </row>
    <row r="1407" spans="3:28" x14ac:dyDescent="0.3">
      <c r="C1407" s="35" t="s">
        <v>2222</v>
      </c>
      <c r="D1407" s="1" t="s">
        <v>253</v>
      </c>
      <c r="E1407" s="1">
        <v>21</v>
      </c>
      <c r="F1407" s="1" t="s">
        <v>44</v>
      </c>
      <c r="G1407" s="1" t="s">
        <v>45</v>
      </c>
      <c r="H1407" s="1" t="s">
        <v>54</v>
      </c>
      <c r="I1407" s="1" t="s">
        <v>29</v>
      </c>
      <c r="J1407" s="7">
        <v>102994</v>
      </c>
      <c r="K1407" s="1">
        <v>464</v>
      </c>
      <c r="L1407" s="7">
        <v>9484</v>
      </c>
      <c r="M1407" s="1">
        <v>12</v>
      </c>
      <c r="N1407" s="6">
        <v>8.6599999999999996E-2</v>
      </c>
      <c r="O1407" s="1" t="s">
        <v>5</v>
      </c>
      <c r="P1407" s="1" t="s">
        <v>47</v>
      </c>
      <c r="Q1407" s="1">
        <v>15</v>
      </c>
      <c r="R1407" s="1">
        <v>1</v>
      </c>
      <c r="S1407" s="1" t="s">
        <v>33</v>
      </c>
      <c r="T1407" s="1" t="s">
        <v>33</v>
      </c>
      <c r="U1407" s="1">
        <v>3</v>
      </c>
      <c r="V1407" s="1">
        <v>189986</v>
      </c>
      <c r="W1407" s="7">
        <v>869.66</v>
      </c>
      <c r="X1407" s="1">
        <v>0.6</v>
      </c>
      <c r="Y1407" s="4">
        <v>44706</v>
      </c>
      <c r="Z1407" s="1" t="s">
        <v>38</v>
      </c>
      <c r="AA1407" s="1" t="s">
        <v>33</v>
      </c>
      <c r="AB1407" s="36" t="str" cm="1">
        <f t="array" ref="AB1407">_xlfn.IFS(K1407&gt;650,"LOW",K1407&gt;=550,"MEDIUM",K1407&lt;550,"HIGH")</f>
        <v>HIGH</v>
      </c>
    </row>
    <row r="1408" spans="3:28" x14ac:dyDescent="0.3">
      <c r="C1408" s="35" t="s">
        <v>2264</v>
      </c>
      <c r="D1408" s="1" t="s">
        <v>295</v>
      </c>
      <c r="E1408" s="1">
        <v>48</v>
      </c>
      <c r="F1408" s="1" t="s">
        <v>44</v>
      </c>
      <c r="G1408" s="1" t="s">
        <v>56</v>
      </c>
      <c r="H1408" s="1" t="s">
        <v>28</v>
      </c>
      <c r="I1408" s="1" t="s">
        <v>57</v>
      </c>
      <c r="J1408" s="7">
        <v>50461</v>
      </c>
      <c r="K1408" s="1">
        <v>464</v>
      </c>
      <c r="L1408" s="7">
        <v>23072</v>
      </c>
      <c r="M1408" s="1">
        <v>48</v>
      </c>
      <c r="N1408" s="6">
        <v>0.11960000000000001</v>
      </c>
      <c r="O1408" s="1" t="s">
        <v>41</v>
      </c>
      <c r="P1408" s="1" t="s">
        <v>30</v>
      </c>
      <c r="Q1408" s="1">
        <v>28</v>
      </c>
      <c r="R1408" s="1">
        <v>1</v>
      </c>
      <c r="S1408" s="1" t="s">
        <v>33</v>
      </c>
      <c r="T1408" s="1" t="s">
        <v>31</v>
      </c>
      <c r="U1408" s="1">
        <v>4</v>
      </c>
      <c r="V1408" s="1">
        <v>135806</v>
      </c>
      <c r="W1408" s="7">
        <v>622.58000000000004</v>
      </c>
      <c r="X1408" s="1">
        <v>0.77</v>
      </c>
      <c r="Y1408" s="4">
        <v>45845</v>
      </c>
      <c r="Z1408" s="1" t="s">
        <v>38</v>
      </c>
      <c r="AA1408" s="1" t="s">
        <v>33</v>
      </c>
      <c r="AB1408" s="36" t="str" cm="1">
        <f t="array" ref="AB1408">_xlfn.IFS(K1408&gt;650,"LOW",K1408&gt;=550,"MEDIUM",K1408&lt;550,"HIGH")</f>
        <v>HIGH</v>
      </c>
    </row>
    <row r="1409" spans="3:28" x14ac:dyDescent="0.3">
      <c r="C1409" s="35" t="s">
        <v>2820</v>
      </c>
      <c r="D1409" s="1" t="s">
        <v>848</v>
      </c>
      <c r="E1409" s="1">
        <v>25</v>
      </c>
      <c r="F1409" s="1" t="s">
        <v>26</v>
      </c>
      <c r="G1409" s="1" t="s">
        <v>27</v>
      </c>
      <c r="H1409" s="1" t="s">
        <v>28</v>
      </c>
      <c r="I1409" s="1" t="s">
        <v>29</v>
      </c>
      <c r="J1409" s="7">
        <v>55983</v>
      </c>
      <c r="K1409" s="1">
        <v>464</v>
      </c>
      <c r="L1409" s="7">
        <v>48879</v>
      </c>
      <c r="M1409" s="1">
        <v>36</v>
      </c>
      <c r="N1409" s="6">
        <v>0.11560000000000001</v>
      </c>
      <c r="O1409" s="1" t="s">
        <v>63</v>
      </c>
      <c r="P1409" s="1" t="s">
        <v>30</v>
      </c>
      <c r="Q1409" s="1">
        <v>21</v>
      </c>
      <c r="R1409" s="1">
        <v>0</v>
      </c>
      <c r="S1409" s="1" t="s">
        <v>31</v>
      </c>
      <c r="T1409" s="1" t="s">
        <v>33</v>
      </c>
      <c r="U1409" s="1">
        <v>4</v>
      </c>
      <c r="V1409" s="1">
        <v>47119</v>
      </c>
      <c r="W1409" s="7">
        <v>357.2</v>
      </c>
      <c r="X1409" s="1">
        <v>0.67</v>
      </c>
      <c r="Y1409" s="4">
        <v>44203</v>
      </c>
      <c r="Z1409" s="1" t="s">
        <v>38</v>
      </c>
      <c r="AA1409" s="1" t="s">
        <v>33</v>
      </c>
      <c r="AB1409" s="36" t="str" cm="1">
        <f t="array" ref="AB1409">_xlfn.IFS(K1409&gt;650,"LOW",K1409&gt;=550,"MEDIUM",K1409&lt;550,"HIGH")</f>
        <v>HIGH</v>
      </c>
    </row>
    <row r="1410" spans="3:28" x14ac:dyDescent="0.3">
      <c r="C1410" s="35" t="s">
        <v>3308</v>
      </c>
      <c r="D1410" s="1" t="s">
        <v>1331</v>
      </c>
      <c r="E1410" s="1">
        <v>46</v>
      </c>
      <c r="F1410" s="1" t="s">
        <v>26</v>
      </c>
      <c r="G1410" s="1" t="s">
        <v>27</v>
      </c>
      <c r="H1410" s="1" t="s">
        <v>54</v>
      </c>
      <c r="I1410" s="1" t="s">
        <v>57</v>
      </c>
      <c r="J1410" s="7">
        <v>37322</v>
      </c>
      <c r="K1410" s="1">
        <v>464</v>
      </c>
      <c r="L1410" s="7">
        <v>9015</v>
      </c>
      <c r="M1410" s="1">
        <v>24</v>
      </c>
      <c r="N1410" s="6">
        <v>0.1338</v>
      </c>
      <c r="O1410" s="1" t="s">
        <v>37</v>
      </c>
      <c r="P1410" s="1" t="s">
        <v>47</v>
      </c>
      <c r="Q1410" s="1">
        <v>28</v>
      </c>
      <c r="R1410" s="1">
        <v>2</v>
      </c>
      <c r="S1410" s="1" t="s">
        <v>31</v>
      </c>
      <c r="T1410" s="1" t="s">
        <v>31</v>
      </c>
      <c r="U1410" s="1">
        <v>4</v>
      </c>
      <c r="V1410" s="1">
        <v>5282</v>
      </c>
      <c r="W1410" s="7">
        <v>136.1</v>
      </c>
      <c r="X1410" s="1">
        <v>0.16</v>
      </c>
      <c r="Y1410" s="4">
        <v>45580</v>
      </c>
      <c r="Z1410" s="1" t="s">
        <v>32</v>
      </c>
      <c r="AA1410" s="1" t="s">
        <v>31</v>
      </c>
      <c r="AB1410" s="36" t="str" cm="1">
        <f t="array" ref="AB1410">_xlfn.IFS(K1410&gt;650,"LOW",K1410&gt;=550,"MEDIUM",K1410&lt;550,"HIGH")</f>
        <v>HIGH</v>
      </c>
    </row>
    <row r="1411" spans="3:28" x14ac:dyDescent="0.3">
      <c r="C1411" s="35" t="s">
        <v>3825</v>
      </c>
      <c r="D1411" s="1" t="s">
        <v>1831</v>
      </c>
      <c r="E1411" s="1">
        <v>48</v>
      </c>
      <c r="F1411" s="1" t="s">
        <v>44</v>
      </c>
      <c r="G1411" s="1" t="s">
        <v>35</v>
      </c>
      <c r="H1411" s="1" t="s">
        <v>54</v>
      </c>
      <c r="I1411" s="1" t="s">
        <v>59</v>
      </c>
      <c r="J1411" s="7">
        <v>55418</v>
      </c>
      <c r="K1411" s="1">
        <v>464</v>
      </c>
      <c r="L1411" s="7">
        <v>16775</v>
      </c>
      <c r="M1411" s="1">
        <v>24</v>
      </c>
      <c r="N1411" s="6">
        <v>0.19800000000000001</v>
      </c>
      <c r="O1411" s="1" t="s">
        <v>37</v>
      </c>
      <c r="P1411" s="1" t="s">
        <v>47</v>
      </c>
      <c r="Q1411" s="1">
        <v>13</v>
      </c>
      <c r="R1411" s="1">
        <v>3</v>
      </c>
      <c r="S1411" s="1" t="s">
        <v>31</v>
      </c>
      <c r="T1411" s="1" t="s">
        <v>31</v>
      </c>
      <c r="U1411" s="1">
        <v>3</v>
      </c>
      <c r="V1411" s="1">
        <v>179790</v>
      </c>
      <c r="W1411" s="7">
        <v>1777.83</v>
      </c>
      <c r="X1411" s="1">
        <v>0.99</v>
      </c>
      <c r="Y1411" s="4">
        <v>44675</v>
      </c>
      <c r="Z1411" s="1" t="s">
        <v>32</v>
      </c>
      <c r="AA1411" s="1" t="s">
        <v>33</v>
      </c>
      <c r="AB1411" s="36" t="str" cm="1">
        <f t="array" ref="AB1411">_xlfn.IFS(K1411&gt;650,"LOW",K1411&gt;=550,"MEDIUM",K1411&lt;550,"HIGH")</f>
        <v>HIGH</v>
      </c>
    </row>
    <row r="1412" spans="3:28" x14ac:dyDescent="0.3">
      <c r="C1412" s="35" t="s">
        <v>2307</v>
      </c>
      <c r="D1412" s="1" t="s">
        <v>338</v>
      </c>
      <c r="E1412" s="1">
        <v>56</v>
      </c>
      <c r="F1412" s="1" t="s">
        <v>44</v>
      </c>
      <c r="G1412" s="1" t="s">
        <v>56</v>
      </c>
      <c r="H1412" s="1" t="s">
        <v>36</v>
      </c>
      <c r="I1412" s="1" t="s">
        <v>59</v>
      </c>
      <c r="J1412" s="7">
        <v>114455</v>
      </c>
      <c r="K1412" s="1">
        <v>463</v>
      </c>
      <c r="L1412" s="7">
        <v>21738</v>
      </c>
      <c r="M1412" s="1">
        <v>36</v>
      </c>
      <c r="N1412" s="6">
        <v>0.18260000000000001</v>
      </c>
      <c r="O1412" s="1" t="s">
        <v>5</v>
      </c>
      <c r="P1412" s="1" t="s">
        <v>30</v>
      </c>
      <c r="Q1412" s="1">
        <v>6</v>
      </c>
      <c r="R1412" s="1">
        <v>4</v>
      </c>
      <c r="S1412" s="1" t="s">
        <v>33</v>
      </c>
      <c r="T1412" s="1" t="s">
        <v>31</v>
      </c>
      <c r="U1412" s="1">
        <v>4</v>
      </c>
      <c r="V1412" s="1">
        <v>145737</v>
      </c>
      <c r="W1412" s="7">
        <v>925.76</v>
      </c>
      <c r="X1412" s="1">
        <v>0.78</v>
      </c>
      <c r="Y1412" s="4">
        <v>44115</v>
      </c>
      <c r="Z1412" s="1" t="s">
        <v>32</v>
      </c>
      <c r="AA1412" s="1" t="s">
        <v>33</v>
      </c>
      <c r="AB1412" s="36" t="str" cm="1">
        <f t="array" ref="AB1412">_xlfn.IFS(K1412&gt;650,"LOW",K1412&gt;=550,"MEDIUM",K1412&lt;550,"HIGH")</f>
        <v>HIGH</v>
      </c>
    </row>
    <row r="1413" spans="3:28" x14ac:dyDescent="0.3">
      <c r="C1413" s="35" t="s">
        <v>2981</v>
      </c>
      <c r="D1413" s="1" t="s">
        <v>1009</v>
      </c>
      <c r="E1413" s="1">
        <v>60</v>
      </c>
      <c r="F1413" s="1" t="s">
        <v>26</v>
      </c>
      <c r="G1413" s="1" t="s">
        <v>27</v>
      </c>
      <c r="H1413" s="1" t="s">
        <v>54</v>
      </c>
      <c r="I1413" s="1" t="s">
        <v>59</v>
      </c>
      <c r="J1413" s="7">
        <v>88607</v>
      </c>
      <c r="K1413" s="1">
        <v>463</v>
      </c>
      <c r="L1413" s="7">
        <v>1815</v>
      </c>
      <c r="M1413" s="1">
        <v>36</v>
      </c>
      <c r="N1413" s="6">
        <v>6.0100000000000001E-2</v>
      </c>
      <c r="O1413" s="1" t="s">
        <v>41</v>
      </c>
      <c r="P1413" s="1" t="s">
        <v>30</v>
      </c>
      <c r="Q1413" s="1">
        <v>11</v>
      </c>
      <c r="R1413" s="1">
        <v>1</v>
      </c>
      <c r="S1413" s="1" t="s">
        <v>33</v>
      </c>
      <c r="T1413" s="1" t="s">
        <v>33</v>
      </c>
      <c r="U1413" s="1">
        <v>0</v>
      </c>
      <c r="V1413" s="1">
        <v>134528</v>
      </c>
      <c r="W1413" s="7">
        <v>1338.35</v>
      </c>
      <c r="X1413" s="1">
        <v>0.52</v>
      </c>
      <c r="Y1413" s="4">
        <v>44572</v>
      </c>
      <c r="Z1413" s="1" t="s">
        <v>32</v>
      </c>
      <c r="AA1413" s="1" t="s">
        <v>33</v>
      </c>
      <c r="AB1413" s="36" t="str" cm="1">
        <f t="array" ref="AB1413">_xlfn.IFS(K1413&gt;650,"LOW",K1413&gt;=550,"MEDIUM",K1413&lt;550,"HIGH")</f>
        <v>HIGH</v>
      </c>
    </row>
    <row r="1414" spans="3:28" x14ac:dyDescent="0.3">
      <c r="C1414" s="35" t="s">
        <v>3291</v>
      </c>
      <c r="D1414" s="1" t="s">
        <v>1314</v>
      </c>
      <c r="E1414" s="1">
        <v>47</v>
      </c>
      <c r="F1414" s="1" t="s">
        <v>44</v>
      </c>
      <c r="G1414" s="1" t="s">
        <v>27</v>
      </c>
      <c r="H1414" s="1" t="s">
        <v>54</v>
      </c>
      <c r="I1414" s="1" t="s">
        <v>59</v>
      </c>
      <c r="J1414" s="7">
        <v>144980</v>
      </c>
      <c r="K1414" s="1">
        <v>463</v>
      </c>
      <c r="L1414" s="7">
        <v>24871</v>
      </c>
      <c r="M1414" s="1">
        <v>60</v>
      </c>
      <c r="N1414" s="6">
        <v>0.17749999999999999</v>
      </c>
      <c r="O1414" s="1" t="s">
        <v>63</v>
      </c>
      <c r="P1414" s="1" t="s">
        <v>50</v>
      </c>
      <c r="Q1414" s="1">
        <v>15</v>
      </c>
      <c r="R1414" s="1">
        <v>3</v>
      </c>
      <c r="S1414" s="1" t="s">
        <v>33</v>
      </c>
      <c r="T1414" s="1" t="s">
        <v>33</v>
      </c>
      <c r="U1414" s="1">
        <v>4</v>
      </c>
      <c r="V1414" s="1">
        <v>65500</v>
      </c>
      <c r="W1414" s="7">
        <v>1767.41</v>
      </c>
      <c r="X1414" s="1">
        <v>0.17</v>
      </c>
      <c r="Y1414" s="4">
        <v>44973</v>
      </c>
      <c r="Z1414" s="1" t="s">
        <v>38</v>
      </c>
      <c r="AA1414" s="1" t="s">
        <v>33</v>
      </c>
      <c r="AB1414" s="36" t="str" cm="1">
        <f t="array" ref="AB1414">_xlfn.IFS(K1414&gt;650,"LOW",K1414&gt;=550,"MEDIUM",K1414&lt;550,"HIGH")</f>
        <v>HIGH</v>
      </c>
    </row>
    <row r="1415" spans="3:28" x14ac:dyDescent="0.3">
      <c r="C1415" s="35" t="s">
        <v>3346</v>
      </c>
      <c r="D1415" s="1" t="s">
        <v>1368</v>
      </c>
      <c r="E1415" s="1">
        <v>23</v>
      </c>
      <c r="F1415" s="1" t="s">
        <v>26</v>
      </c>
      <c r="G1415" s="1" t="s">
        <v>45</v>
      </c>
      <c r="H1415" s="1" t="s">
        <v>54</v>
      </c>
      <c r="I1415" s="1" t="s">
        <v>57</v>
      </c>
      <c r="J1415" s="7">
        <v>105474</v>
      </c>
      <c r="K1415" s="1">
        <v>463</v>
      </c>
      <c r="L1415" s="7">
        <v>1528</v>
      </c>
      <c r="M1415" s="1">
        <v>36</v>
      </c>
      <c r="N1415" s="6">
        <v>0.111</v>
      </c>
      <c r="O1415" s="1" t="s">
        <v>5</v>
      </c>
      <c r="P1415" s="1" t="s">
        <v>30</v>
      </c>
      <c r="Q1415" s="1">
        <v>28</v>
      </c>
      <c r="R1415" s="1">
        <v>4</v>
      </c>
      <c r="S1415" s="1" t="s">
        <v>33</v>
      </c>
      <c r="T1415" s="1" t="s">
        <v>31</v>
      </c>
      <c r="U1415" s="1">
        <v>3</v>
      </c>
      <c r="V1415" s="1">
        <v>61488</v>
      </c>
      <c r="W1415" s="7">
        <v>1206.67</v>
      </c>
      <c r="X1415" s="1">
        <v>0.84</v>
      </c>
      <c r="Y1415" s="4">
        <v>44256</v>
      </c>
      <c r="Z1415" s="1" t="s">
        <v>32</v>
      </c>
      <c r="AA1415" s="1" t="s">
        <v>33</v>
      </c>
      <c r="AB1415" s="36" t="str" cm="1">
        <f t="array" ref="AB1415">_xlfn.IFS(K1415&gt;650,"LOW",K1415&gt;=550,"MEDIUM",K1415&lt;550,"HIGH")</f>
        <v>HIGH</v>
      </c>
    </row>
    <row r="1416" spans="3:28" x14ac:dyDescent="0.3">
      <c r="C1416" s="35" t="s">
        <v>2220</v>
      </c>
      <c r="D1416" s="1" t="s">
        <v>251</v>
      </c>
      <c r="E1416" s="1">
        <v>52</v>
      </c>
      <c r="F1416" s="1" t="s">
        <v>44</v>
      </c>
      <c r="G1416" s="1" t="s">
        <v>27</v>
      </c>
      <c r="H1416" s="1" t="s">
        <v>61</v>
      </c>
      <c r="I1416" s="1" t="s">
        <v>29</v>
      </c>
      <c r="J1416" s="7">
        <v>21986</v>
      </c>
      <c r="K1416" s="1">
        <v>462</v>
      </c>
      <c r="L1416" s="7">
        <v>22034</v>
      </c>
      <c r="M1416" s="1">
        <v>48</v>
      </c>
      <c r="N1416" s="6">
        <v>0.161</v>
      </c>
      <c r="O1416" s="1" t="s">
        <v>5</v>
      </c>
      <c r="P1416" s="1" t="s">
        <v>50</v>
      </c>
      <c r="Q1416" s="1">
        <v>8</v>
      </c>
      <c r="R1416" s="1">
        <v>2</v>
      </c>
      <c r="S1416" s="1" t="s">
        <v>33</v>
      </c>
      <c r="T1416" s="1" t="s">
        <v>33</v>
      </c>
      <c r="U1416" s="1">
        <v>3</v>
      </c>
      <c r="V1416" s="1">
        <v>173033</v>
      </c>
      <c r="W1416" s="7">
        <v>1407.16</v>
      </c>
      <c r="X1416" s="1">
        <v>0.28000000000000003</v>
      </c>
      <c r="Y1416" s="4">
        <v>44693</v>
      </c>
      <c r="Z1416" s="1" t="s">
        <v>32</v>
      </c>
      <c r="AA1416" s="1" t="s">
        <v>31</v>
      </c>
      <c r="AB1416" s="36" t="str" cm="1">
        <f t="array" ref="AB1416">_xlfn.IFS(K1416&gt;650,"LOW",K1416&gt;=550,"MEDIUM",K1416&lt;550,"HIGH")</f>
        <v>HIGH</v>
      </c>
    </row>
    <row r="1417" spans="3:28" x14ac:dyDescent="0.3">
      <c r="C1417" s="35" t="s">
        <v>2719</v>
      </c>
      <c r="D1417" s="1" t="s">
        <v>749</v>
      </c>
      <c r="E1417" s="1">
        <v>25</v>
      </c>
      <c r="F1417" s="1" t="s">
        <v>44</v>
      </c>
      <c r="G1417" s="1" t="s">
        <v>56</v>
      </c>
      <c r="H1417" s="1" t="s">
        <v>61</v>
      </c>
      <c r="I1417" s="1" t="s">
        <v>40</v>
      </c>
      <c r="J1417" s="7">
        <v>87609</v>
      </c>
      <c r="K1417" s="1">
        <v>462</v>
      </c>
      <c r="L1417" s="7">
        <v>1557</v>
      </c>
      <c r="M1417" s="1">
        <v>60</v>
      </c>
      <c r="N1417" s="6">
        <v>0.10199999999999999</v>
      </c>
      <c r="O1417" s="1" t="s">
        <v>41</v>
      </c>
      <c r="P1417" s="1" t="s">
        <v>30</v>
      </c>
      <c r="Q1417" s="1">
        <v>8</v>
      </c>
      <c r="R1417" s="1">
        <v>3</v>
      </c>
      <c r="S1417" s="1" t="s">
        <v>33</v>
      </c>
      <c r="T1417" s="1" t="s">
        <v>33</v>
      </c>
      <c r="U1417" s="1">
        <v>3</v>
      </c>
      <c r="V1417" s="1">
        <v>89589</v>
      </c>
      <c r="W1417" s="7">
        <v>1960.2</v>
      </c>
      <c r="X1417" s="1">
        <v>0.25</v>
      </c>
      <c r="Y1417" s="4">
        <v>45789</v>
      </c>
      <c r="Z1417" s="1" t="s">
        <v>38</v>
      </c>
      <c r="AA1417" s="1" t="s">
        <v>33</v>
      </c>
      <c r="AB1417" s="36" t="str" cm="1">
        <f t="array" ref="AB1417">_xlfn.IFS(K1417&gt;650,"LOW",K1417&gt;=550,"MEDIUM",K1417&lt;550,"HIGH")</f>
        <v>HIGH</v>
      </c>
    </row>
    <row r="1418" spans="3:28" x14ac:dyDescent="0.3">
      <c r="C1418" s="35" t="s">
        <v>3272</v>
      </c>
      <c r="D1418" s="1" t="s">
        <v>1295</v>
      </c>
      <c r="E1418" s="1">
        <v>57</v>
      </c>
      <c r="F1418" s="1" t="s">
        <v>26</v>
      </c>
      <c r="G1418" s="1" t="s">
        <v>27</v>
      </c>
      <c r="H1418" s="1" t="s">
        <v>61</v>
      </c>
      <c r="I1418" s="1" t="s">
        <v>40</v>
      </c>
      <c r="J1418" s="7">
        <v>54840</v>
      </c>
      <c r="K1418" s="1">
        <v>462</v>
      </c>
      <c r="L1418" s="7">
        <v>8803</v>
      </c>
      <c r="M1418" s="1">
        <v>60</v>
      </c>
      <c r="N1418" s="6">
        <v>7.6100000000000001E-2</v>
      </c>
      <c r="O1418" s="1" t="s">
        <v>37</v>
      </c>
      <c r="P1418" s="1" t="s">
        <v>47</v>
      </c>
      <c r="Q1418" s="1">
        <v>18</v>
      </c>
      <c r="R1418" s="1">
        <v>0</v>
      </c>
      <c r="S1418" s="1" t="s">
        <v>31</v>
      </c>
      <c r="T1418" s="1" t="s">
        <v>31</v>
      </c>
      <c r="U1418" s="1">
        <v>0</v>
      </c>
      <c r="V1418" s="1">
        <v>157454</v>
      </c>
      <c r="W1418" s="7">
        <v>243.83</v>
      </c>
      <c r="X1418" s="1">
        <v>0.37</v>
      </c>
      <c r="Y1418" s="4">
        <v>45270</v>
      </c>
      <c r="Z1418" s="1" t="s">
        <v>38</v>
      </c>
      <c r="AA1418" s="1" t="s">
        <v>33</v>
      </c>
      <c r="AB1418" s="36" t="str" cm="1">
        <f t="array" ref="AB1418">_xlfn.IFS(K1418&gt;650,"LOW",K1418&gt;=550,"MEDIUM",K1418&lt;550,"HIGH")</f>
        <v>HIGH</v>
      </c>
    </row>
    <row r="1419" spans="3:28" x14ac:dyDescent="0.3">
      <c r="C1419" s="35" t="s">
        <v>3496</v>
      </c>
      <c r="D1419" s="1" t="s">
        <v>1513</v>
      </c>
      <c r="E1419" s="1">
        <v>55</v>
      </c>
      <c r="F1419" s="1" t="s">
        <v>44</v>
      </c>
      <c r="G1419" s="1" t="s">
        <v>35</v>
      </c>
      <c r="H1419" s="1" t="s">
        <v>61</v>
      </c>
      <c r="I1419" s="1" t="s">
        <v>29</v>
      </c>
      <c r="J1419" s="7">
        <v>95828</v>
      </c>
      <c r="K1419" s="1">
        <v>462</v>
      </c>
      <c r="L1419" s="7">
        <v>34879</v>
      </c>
      <c r="M1419" s="1">
        <v>36</v>
      </c>
      <c r="N1419" s="6">
        <v>0.1777</v>
      </c>
      <c r="O1419" s="1" t="s">
        <v>5</v>
      </c>
      <c r="P1419" s="1" t="s">
        <v>50</v>
      </c>
      <c r="Q1419" s="1">
        <v>7</v>
      </c>
      <c r="R1419" s="1">
        <v>3</v>
      </c>
      <c r="S1419" s="1" t="s">
        <v>33</v>
      </c>
      <c r="T1419" s="1" t="s">
        <v>31</v>
      </c>
      <c r="U1419" s="1">
        <v>3</v>
      </c>
      <c r="V1419" s="1">
        <v>199005</v>
      </c>
      <c r="W1419" s="7">
        <v>1843.37</v>
      </c>
      <c r="X1419" s="1">
        <v>0.95</v>
      </c>
      <c r="Y1419" s="4">
        <v>44257</v>
      </c>
      <c r="Z1419" s="1" t="s">
        <v>32</v>
      </c>
      <c r="AA1419" s="1" t="s">
        <v>33</v>
      </c>
      <c r="AB1419" s="36" t="str" cm="1">
        <f t="array" ref="AB1419">_xlfn.IFS(K1419&gt;650,"LOW",K1419&gt;=550,"MEDIUM",K1419&lt;550,"HIGH")</f>
        <v>HIGH</v>
      </c>
    </row>
    <row r="1420" spans="3:28" x14ac:dyDescent="0.3">
      <c r="C1420" s="35" t="s">
        <v>3504</v>
      </c>
      <c r="D1420" s="1" t="s">
        <v>1521</v>
      </c>
      <c r="E1420" s="1">
        <v>52</v>
      </c>
      <c r="F1420" s="1" t="s">
        <v>26</v>
      </c>
      <c r="G1420" s="1" t="s">
        <v>45</v>
      </c>
      <c r="H1420" s="1" t="s">
        <v>28</v>
      </c>
      <c r="I1420" s="1" t="s">
        <v>59</v>
      </c>
      <c r="J1420" s="7">
        <v>42936</v>
      </c>
      <c r="K1420" s="1">
        <v>462</v>
      </c>
      <c r="L1420" s="7">
        <v>21617</v>
      </c>
      <c r="M1420" s="1">
        <v>36</v>
      </c>
      <c r="N1420" s="6">
        <v>0.12970000000000001</v>
      </c>
      <c r="O1420" s="1" t="s">
        <v>46</v>
      </c>
      <c r="P1420" s="1" t="s">
        <v>47</v>
      </c>
      <c r="Q1420" s="1">
        <v>17</v>
      </c>
      <c r="R1420" s="1">
        <v>1</v>
      </c>
      <c r="S1420" s="1" t="s">
        <v>33</v>
      </c>
      <c r="T1420" s="1" t="s">
        <v>33</v>
      </c>
      <c r="U1420" s="1">
        <v>0</v>
      </c>
      <c r="V1420" s="1">
        <v>176199</v>
      </c>
      <c r="W1420" s="7">
        <v>1177.83</v>
      </c>
      <c r="X1420" s="1">
        <v>0.27</v>
      </c>
      <c r="Y1420" s="4">
        <v>44242</v>
      </c>
      <c r="Z1420" s="1" t="s">
        <v>32</v>
      </c>
      <c r="AA1420" s="1" t="s">
        <v>33</v>
      </c>
      <c r="AB1420" s="36" t="str" cm="1">
        <f t="array" ref="AB1420">_xlfn.IFS(K1420&gt;650,"LOW",K1420&gt;=550,"MEDIUM",K1420&lt;550,"HIGH")</f>
        <v>HIGH</v>
      </c>
    </row>
    <row r="1421" spans="3:28" x14ac:dyDescent="0.3">
      <c r="C1421" s="35" t="s">
        <v>2296</v>
      </c>
      <c r="D1421" s="1" t="s">
        <v>327</v>
      </c>
      <c r="E1421" s="1">
        <v>55</v>
      </c>
      <c r="F1421" s="1" t="s">
        <v>44</v>
      </c>
      <c r="G1421" s="1" t="s">
        <v>56</v>
      </c>
      <c r="H1421" s="1" t="s">
        <v>61</v>
      </c>
      <c r="I1421" s="1" t="s">
        <v>59</v>
      </c>
      <c r="J1421" s="7">
        <v>32916</v>
      </c>
      <c r="K1421" s="1">
        <v>461</v>
      </c>
      <c r="L1421" s="7">
        <v>1255</v>
      </c>
      <c r="M1421" s="1">
        <v>60</v>
      </c>
      <c r="N1421" s="6">
        <v>0.10710000000000001</v>
      </c>
      <c r="O1421" s="1" t="s">
        <v>52</v>
      </c>
      <c r="P1421" s="1" t="s">
        <v>30</v>
      </c>
      <c r="Q1421" s="1">
        <v>3</v>
      </c>
      <c r="R1421" s="1">
        <v>1</v>
      </c>
      <c r="S1421" s="1" t="s">
        <v>33</v>
      </c>
      <c r="T1421" s="1" t="s">
        <v>33</v>
      </c>
      <c r="U1421" s="1">
        <v>3</v>
      </c>
      <c r="V1421" s="1">
        <v>43327</v>
      </c>
      <c r="W1421" s="7">
        <v>487.02</v>
      </c>
      <c r="X1421" s="1">
        <v>0.85</v>
      </c>
      <c r="Y1421" s="4">
        <v>45375</v>
      </c>
      <c r="Z1421" s="1" t="s">
        <v>38</v>
      </c>
      <c r="AA1421" s="1" t="s">
        <v>31</v>
      </c>
      <c r="AB1421" s="36" t="str" cm="1">
        <f t="array" ref="AB1421">_xlfn.IFS(K1421&gt;650,"LOW",K1421&gt;=550,"MEDIUM",K1421&lt;550,"HIGH")</f>
        <v>HIGH</v>
      </c>
    </row>
    <row r="1422" spans="3:28" x14ac:dyDescent="0.3">
      <c r="C1422" s="35" t="s">
        <v>3641</v>
      </c>
      <c r="D1422" s="1" t="s">
        <v>1653</v>
      </c>
      <c r="E1422" s="1">
        <v>26</v>
      </c>
      <c r="F1422" s="1" t="s">
        <v>44</v>
      </c>
      <c r="G1422" s="1" t="s">
        <v>45</v>
      </c>
      <c r="H1422" s="1" t="s">
        <v>54</v>
      </c>
      <c r="I1422" s="1" t="s">
        <v>40</v>
      </c>
      <c r="J1422" s="7">
        <v>118273</v>
      </c>
      <c r="K1422" s="1">
        <v>461</v>
      </c>
      <c r="L1422" s="7">
        <v>21491</v>
      </c>
      <c r="M1422" s="1">
        <v>24</v>
      </c>
      <c r="N1422" s="6">
        <v>8.5500000000000007E-2</v>
      </c>
      <c r="O1422" s="1" t="s">
        <v>52</v>
      </c>
      <c r="P1422" s="1" t="s">
        <v>50</v>
      </c>
      <c r="Q1422" s="1">
        <v>22</v>
      </c>
      <c r="R1422" s="1">
        <v>1</v>
      </c>
      <c r="S1422" s="1" t="s">
        <v>33</v>
      </c>
      <c r="T1422" s="1" t="s">
        <v>33</v>
      </c>
      <c r="U1422" s="1">
        <v>1</v>
      </c>
      <c r="V1422" s="1">
        <v>92526</v>
      </c>
      <c r="W1422" s="7">
        <v>1137.03</v>
      </c>
      <c r="X1422" s="1">
        <v>0.53</v>
      </c>
      <c r="Y1422" s="4">
        <v>45091</v>
      </c>
      <c r="Z1422" s="1" t="s">
        <v>32</v>
      </c>
      <c r="AA1422" s="1" t="s">
        <v>31</v>
      </c>
      <c r="AB1422" s="36" t="str" cm="1">
        <f t="array" ref="AB1422">_xlfn.IFS(K1422&gt;650,"LOW",K1422&gt;=550,"MEDIUM",K1422&lt;550,"HIGH")</f>
        <v>HIGH</v>
      </c>
    </row>
    <row r="1423" spans="3:28" x14ac:dyDescent="0.3">
      <c r="C1423" s="35" t="s">
        <v>2098</v>
      </c>
      <c r="D1423" s="1" t="s">
        <v>129</v>
      </c>
      <c r="E1423" s="1">
        <v>36</v>
      </c>
      <c r="F1423" s="1" t="s">
        <v>26</v>
      </c>
      <c r="G1423" s="1" t="s">
        <v>27</v>
      </c>
      <c r="H1423" s="1" t="s">
        <v>28</v>
      </c>
      <c r="I1423" s="1" t="s">
        <v>57</v>
      </c>
      <c r="J1423" s="7">
        <v>105326</v>
      </c>
      <c r="K1423" s="1">
        <v>460</v>
      </c>
      <c r="L1423" s="7">
        <v>14453</v>
      </c>
      <c r="M1423" s="1">
        <v>24</v>
      </c>
      <c r="N1423" s="6">
        <v>9.7899999999999987E-2</v>
      </c>
      <c r="O1423" s="1" t="s">
        <v>41</v>
      </c>
      <c r="P1423" s="1" t="s">
        <v>30</v>
      </c>
      <c r="Q1423" s="1">
        <v>28</v>
      </c>
      <c r="R1423" s="1">
        <v>1</v>
      </c>
      <c r="S1423" s="1" t="s">
        <v>33</v>
      </c>
      <c r="T1423" s="1" t="s">
        <v>31</v>
      </c>
      <c r="U1423" s="1">
        <v>0</v>
      </c>
      <c r="V1423" s="1">
        <v>18228</v>
      </c>
      <c r="W1423" s="7">
        <v>914.02</v>
      </c>
      <c r="X1423" s="1">
        <v>0.88</v>
      </c>
      <c r="Y1423" s="4">
        <v>44279</v>
      </c>
      <c r="Z1423" s="1" t="s">
        <v>32</v>
      </c>
      <c r="AA1423" s="1" t="s">
        <v>31</v>
      </c>
      <c r="AB1423" s="36" t="str" cm="1">
        <f t="array" ref="AB1423">_xlfn.IFS(K1423&gt;650,"LOW",K1423&gt;=550,"MEDIUM",K1423&lt;550,"HIGH")</f>
        <v>HIGH</v>
      </c>
    </row>
    <row r="1424" spans="3:28" x14ac:dyDescent="0.3">
      <c r="C1424" s="35" t="s">
        <v>3081</v>
      </c>
      <c r="D1424" s="1" t="s">
        <v>1107</v>
      </c>
      <c r="E1424" s="1">
        <v>60</v>
      </c>
      <c r="F1424" s="1" t="s">
        <v>44</v>
      </c>
      <c r="G1424" s="1" t="s">
        <v>27</v>
      </c>
      <c r="H1424" s="1" t="s">
        <v>28</v>
      </c>
      <c r="I1424" s="1" t="s">
        <v>29</v>
      </c>
      <c r="J1424" s="7">
        <v>64135</v>
      </c>
      <c r="K1424" s="1">
        <v>460</v>
      </c>
      <c r="L1424" s="7">
        <v>38116</v>
      </c>
      <c r="M1424" s="1">
        <v>24</v>
      </c>
      <c r="N1424" s="6">
        <v>7.3300000000000004E-2</v>
      </c>
      <c r="O1424" s="1" t="s">
        <v>63</v>
      </c>
      <c r="P1424" s="1" t="s">
        <v>50</v>
      </c>
      <c r="Q1424" s="1">
        <v>18</v>
      </c>
      <c r="R1424" s="1">
        <v>4</v>
      </c>
      <c r="S1424" s="1" t="s">
        <v>33</v>
      </c>
      <c r="T1424" s="1" t="s">
        <v>33</v>
      </c>
      <c r="U1424" s="1">
        <v>3</v>
      </c>
      <c r="V1424" s="1">
        <v>123858</v>
      </c>
      <c r="W1424" s="7">
        <v>719.64</v>
      </c>
      <c r="X1424" s="1">
        <v>0.77</v>
      </c>
      <c r="Y1424" s="4">
        <v>44974</v>
      </c>
      <c r="Z1424" s="1" t="s">
        <v>38</v>
      </c>
      <c r="AA1424" s="1" t="s">
        <v>31</v>
      </c>
      <c r="AB1424" s="36" t="str" cm="1">
        <f t="array" ref="AB1424">_xlfn.IFS(K1424&gt;650,"LOW",K1424&gt;=550,"MEDIUM",K1424&lt;550,"HIGH")</f>
        <v>HIGH</v>
      </c>
    </row>
    <row r="1425" spans="3:28" x14ac:dyDescent="0.3">
      <c r="C1425" s="35" t="s">
        <v>2911</v>
      </c>
      <c r="D1425" s="1" t="s">
        <v>939</v>
      </c>
      <c r="E1425" s="1">
        <v>51</v>
      </c>
      <c r="F1425" s="1" t="s">
        <v>26</v>
      </c>
      <c r="G1425" s="1" t="s">
        <v>35</v>
      </c>
      <c r="H1425" s="1" t="s">
        <v>28</v>
      </c>
      <c r="I1425" s="1" t="s">
        <v>40</v>
      </c>
      <c r="J1425" s="7">
        <v>140382</v>
      </c>
      <c r="K1425" s="1">
        <v>459</v>
      </c>
      <c r="L1425" s="7">
        <v>17292</v>
      </c>
      <c r="M1425" s="1">
        <v>12</v>
      </c>
      <c r="N1425" s="6">
        <v>6.1699999999999998E-2</v>
      </c>
      <c r="O1425" s="1" t="s">
        <v>5</v>
      </c>
      <c r="P1425" s="1" t="s">
        <v>30</v>
      </c>
      <c r="Q1425" s="1">
        <v>6</v>
      </c>
      <c r="R1425" s="1">
        <v>1</v>
      </c>
      <c r="S1425" s="1" t="s">
        <v>33</v>
      </c>
      <c r="T1425" s="1" t="s">
        <v>31</v>
      </c>
      <c r="U1425" s="1">
        <v>0</v>
      </c>
      <c r="V1425" s="1">
        <v>106371</v>
      </c>
      <c r="W1425" s="7">
        <v>451</v>
      </c>
      <c r="X1425" s="1">
        <v>0.87</v>
      </c>
      <c r="Y1425" s="4">
        <v>44887</v>
      </c>
      <c r="Z1425" s="1" t="s">
        <v>38</v>
      </c>
      <c r="AA1425" s="1" t="s">
        <v>33</v>
      </c>
      <c r="AB1425" s="36" t="str" cm="1">
        <f t="array" ref="AB1425">_xlfn.IFS(K1425&gt;650,"LOW",K1425&gt;=550,"MEDIUM",K1425&lt;550,"HIGH")</f>
        <v>HIGH</v>
      </c>
    </row>
    <row r="1426" spans="3:28" x14ac:dyDescent="0.3">
      <c r="C1426" s="35" t="s">
        <v>3197</v>
      </c>
      <c r="D1426" s="1" t="s">
        <v>1221</v>
      </c>
      <c r="E1426" s="1">
        <v>43</v>
      </c>
      <c r="F1426" s="1" t="s">
        <v>26</v>
      </c>
      <c r="G1426" s="1" t="s">
        <v>45</v>
      </c>
      <c r="H1426" s="1" t="s">
        <v>28</v>
      </c>
      <c r="I1426" s="1" t="s">
        <v>59</v>
      </c>
      <c r="J1426" s="7">
        <v>122621</v>
      </c>
      <c r="K1426" s="1">
        <v>459</v>
      </c>
      <c r="L1426" s="7">
        <v>22446</v>
      </c>
      <c r="M1426" s="1">
        <v>24</v>
      </c>
      <c r="N1426" s="6">
        <v>0.1074</v>
      </c>
      <c r="O1426" s="1" t="s">
        <v>46</v>
      </c>
      <c r="P1426" s="1" t="s">
        <v>47</v>
      </c>
      <c r="Q1426" s="1">
        <v>25</v>
      </c>
      <c r="R1426" s="1">
        <v>1</v>
      </c>
      <c r="S1426" s="1" t="s">
        <v>33</v>
      </c>
      <c r="T1426" s="1" t="s">
        <v>31</v>
      </c>
      <c r="U1426" s="1">
        <v>0</v>
      </c>
      <c r="V1426" s="1">
        <v>42186</v>
      </c>
      <c r="W1426" s="7">
        <v>1200.24</v>
      </c>
      <c r="X1426" s="1">
        <v>0.73</v>
      </c>
      <c r="Y1426" s="4">
        <v>44985</v>
      </c>
      <c r="Z1426" s="1" t="s">
        <v>32</v>
      </c>
      <c r="AA1426" s="1" t="s">
        <v>33</v>
      </c>
      <c r="AB1426" s="36" t="str" cm="1">
        <f t="array" ref="AB1426">_xlfn.IFS(K1426&gt;650,"LOW",K1426&gt;=550,"MEDIUM",K1426&lt;550,"HIGH")</f>
        <v>HIGH</v>
      </c>
    </row>
    <row r="1427" spans="3:28" x14ac:dyDescent="0.3">
      <c r="C1427" s="35" t="s">
        <v>3431</v>
      </c>
      <c r="D1427" s="1" t="s">
        <v>498</v>
      </c>
      <c r="E1427" s="1">
        <v>22</v>
      </c>
      <c r="F1427" s="1" t="s">
        <v>44</v>
      </c>
      <c r="G1427" s="1" t="s">
        <v>45</v>
      </c>
      <c r="H1427" s="1" t="s">
        <v>36</v>
      </c>
      <c r="I1427" s="1" t="s">
        <v>29</v>
      </c>
      <c r="J1427" s="7">
        <v>27847</v>
      </c>
      <c r="K1427" s="1">
        <v>459</v>
      </c>
      <c r="L1427" s="7">
        <v>1944</v>
      </c>
      <c r="M1427" s="1">
        <v>12</v>
      </c>
      <c r="N1427" s="6">
        <v>7.9199999999999993E-2</v>
      </c>
      <c r="O1427" s="1" t="s">
        <v>46</v>
      </c>
      <c r="P1427" s="1" t="s">
        <v>47</v>
      </c>
      <c r="Q1427" s="1">
        <v>16</v>
      </c>
      <c r="R1427" s="1">
        <v>3</v>
      </c>
      <c r="S1427" s="1" t="s">
        <v>33</v>
      </c>
      <c r="T1427" s="1" t="s">
        <v>31</v>
      </c>
      <c r="U1427" s="1">
        <v>3</v>
      </c>
      <c r="V1427" s="1">
        <v>134425</v>
      </c>
      <c r="W1427" s="7">
        <v>1886.92</v>
      </c>
      <c r="X1427" s="1">
        <v>0.13</v>
      </c>
      <c r="Y1427" s="4">
        <v>44528</v>
      </c>
      <c r="Z1427" s="1" t="s">
        <v>32</v>
      </c>
      <c r="AA1427" s="1" t="s">
        <v>33</v>
      </c>
      <c r="AB1427" s="36" t="str" cm="1">
        <f t="array" ref="AB1427">_xlfn.IFS(K1427&gt;650,"LOW",K1427&gt;=550,"MEDIUM",K1427&lt;550,"HIGH")</f>
        <v>HIGH</v>
      </c>
    </row>
    <row r="1428" spans="3:28" x14ac:dyDescent="0.3">
      <c r="C1428" s="35" t="s">
        <v>2408</v>
      </c>
      <c r="D1428" s="1" t="s">
        <v>438</v>
      </c>
      <c r="E1428" s="1">
        <v>57</v>
      </c>
      <c r="F1428" s="1" t="s">
        <v>44</v>
      </c>
      <c r="G1428" s="1" t="s">
        <v>45</v>
      </c>
      <c r="H1428" s="1" t="s">
        <v>28</v>
      </c>
      <c r="I1428" s="1" t="s">
        <v>29</v>
      </c>
      <c r="J1428" s="7">
        <v>116372</v>
      </c>
      <c r="K1428" s="1">
        <v>458</v>
      </c>
      <c r="L1428" s="7">
        <v>40617</v>
      </c>
      <c r="M1428" s="1">
        <v>24</v>
      </c>
      <c r="N1428" s="6">
        <v>0.19469999999999998</v>
      </c>
      <c r="O1428" s="1" t="s">
        <v>46</v>
      </c>
      <c r="P1428" s="1" t="s">
        <v>30</v>
      </c>
      <c r="Q1428" s="1">
        <v>24</v>
      </c>
      <c r="R1428" s="1">
        <v>1</v>
      </c>
      <c r="S1428" s="1" t="s">
        <v>31</v>
      </c>
      <c r="T1428" s="1" t="s">
        <v>31</v>
      </c>
      <c r="U1428" s="1">
        <v>0</v>
      </c>
      <c r="V1428" s="1">
        <v>102300</v>
      </c>
      <c r="W1428" s="7">
        <v>930.26</v>
      </c>
      <c r="X1428" s="1">
        <v>0.41</v>
      </c>
      <c r="Y1428" s="4">
        <v>44182</v>
      </c>
      <c r="Z1428" s="1" t="s">
        <v>32</v>
      </c>
      <c r="AA1428" s="1" t="s">
        <v>33</v>
      </c>
      <c r="AB1428" s="36" t="str" cm="1">
        <f t="array" ref="AB1428">_xlfn.IFS(K1428&gt;650,"LOW",K1428&gt;=550,"MEDIUM",K1428&lt;550,"HIGH")</f>
        <v>HIGH</v>
      </c>
    </row>
    <row r="1429" spans="3:28" x14ac:dyDescent="0.3">
      <c r="C1429" s="35" t="s">
        <v>3888</v>
      </c>
      <c r="D1429" s="1" t="s">
        <v>1893</v>
      </c>
      <c r="E1429" s="1">
        <v>22</v>
      </c>
      <c r="F1429" s="1" t="s">
        <v>44</v>
      </c>
      <c r="G1429" s="1" t="s">
        <v>56</v>
      </c>
      <c r="H1429" s="1" t="s">
        <v>61</v>
      </c>
      <c r="I1429" s="1" t="s">
        <v>59</v>
      </c>
      <c r="J1429" s="7">
        <v>93719</v>
      </c>
      <c r="K1429" s="1">
        <v>458</v>
      </c>
      <c r="L1429" s="7">
        <v>43811</v>
      </c>
      <c r="M1429" s="1">
        <v>24</v>
      </c>
      <c r="N1429" s="6">
        <v>0.19870000000000002</v>
      </c>
      <c r="O1429" s="1" t="s">
        <v>46</v>
      </c>
      <c r="P1429" s="1" t="s">
        <v>50</v>
      </c>
      <c r="Q1429" s="1">
        <v>16</v>
      </c>
      <c r="R1429" s="1">
        <v>2</v>
      </c>
      <c r="S1429" s="1" t="s">
        <v>33</v>
      </c>
      <c r="T1429" s="1" t="s">
        <v>33</v>
      </c>
      <c r="U1429" s="1">
        <v>4</v>
      </c>
      <c r="V1429" s="1">
        <v>133025</v>
      </c>
      <c r="W1429" s="7">
        <v>219.05</v>
      </c>
      <c r="X1429" s="1">
        <v>0.66</v>
      </c>
      <c r="Y1429" s="4">
        <v>45027</v>
      </c>
      <c r="Z1429" s="1" t="s">
        <v>38</v>
      </c>
      <c r="AA1429" s="1" t="s">
        <v>33</v>
      </c>
      <c r="AB1429" s="36" t="str" cm="1">
        <f t="array" ref="AB1429">_xlfn.IFS(K1429&gt;650,"LOW",K1429&gt;=550,"MEDIUM",K1429&lt;550,"HIGH")</f>
        <v>HIGH</v>
      </c>
    </row>
    <row r="1430" spans="3:28" x14ac:dyDescent="0.3">
      <c r="C1430" s="35" t="s">
        <v>2499</v>
      </c>
      <c r="D1430" s="1" t="s">
        <v>529</v>
      </c>
      <c r="E1430" s="1">
        <v>53</v>
      </c>
      <c r="F1430" s="1" t="s">
        <v>26</v>
      </c>
      <c r="G1430" s="1" t="s">
        <v>56</v>
      </c>
      <c r="H1430" s="1" t="s">
        <v>54</v>
      </c>
      <c r="I1430" s="1" t="s">
        <v>40</v>
      </c>
      <c r="J1430" s="7">
        <v>78959</v>
      </c>
      <c r="K1430" s="1">
        <v>457</v>
      </c>
      <c r="L1430" s="7">
        <v>14476</v>
      </c>
      <c r="M1430" s="1">
        <v>36</v>
      </c>
      <c r="N1430" s="6">
        <v>0.12189999999999999</v>
      </c>
      <c r="O1430" s="1" t="s">
        <v>37</v>
      </c>
      <c r="P1430" s="1" t="s">
        <v>30</v>
      </c>
      <c r="Q1430" s="1">
        <v>1</v>
      </c>
      <c r="R1430" s="1">
        <v>3</v>
      </c>
      <c r="S1430" s="1" t="s">
        <v>31</v>
      </c>
      <c r="T1430" s="1" t="s">
        <v>33</v>
      </c>
      <c r="U1430" s="1">
        <v>0</v>
      </c>
      <c r="V1430" s="1">
        <v>102410</v>
      </c>
      <c r="W1430" s="7">
        <v>1840.16</v>
      </c>
      <c r="X1430" s="1">
        <v>0.95</v>
      </c>
      <c r="Y1430" s="4">
        <v>44404</v>
      </c>
      <c r="Z1430" s="1" t="s">
        <v>32</v>
      </c>
      <c r="AA1430" s="1" t="s">
        <v>33</v>
      </c>
      <c r="AB1430" s="36" t="str" cm="1">
        <f t="array" ref="AB1430">_xlfn.IFS(K1430&gt;650,"LOW",K1430&gt;=550,"MEDIUM",K1430&lt;550,"HIGH")</f>
        <v>HIGH</v>
      </c>
    </row>
    <row r="1431" spans="3:28" x14ac:dyDescent="0.3">
      <c r="C1431" s="35" t="s">
        <v>2564</v>
      </c>
      <c r="D1431" s="1" t="s">
        <v>594</v>
      </c>
      <c r="E1431" s="1">
        <v>51</v>
      </c>
      <c r="F1431" s="1" t="s">
        <v>26</v>
      </c>
      <c r="G1431" s="1" t="s">
        <v>35</v>
      </c>
      <c r="H1431" s="1" t="s">
        <v>61</v>
      </c>
      <c r="I1431" s="1" t="s">
        <v>40</v>
      </c>
      <c r="J1431" s="7">
        <v>145138</v>
      </c>
      <c r="K1431" s="1">
        <v>457</v>
      </c>
      <c r="L1431" s="7">
        <v>15246</v>
      </c>
      <c r="M1431" s="1">
        <v>36</v>
      </c>
      <c r="N1431" s="6">
        <v>0.17850000000000002</v>
      </c>
      <c r="O1431" s="1" t="s">
        <v>37</v>
      </c>
      <c r="P1431" s="1" t="s">
        <v>30</v>
      </c>
      <c r="Q1431" s="1">
        <v>26</v>
      </c>
      <c r="R1431" s="1">
        <v>4</v>
      </c>
      <c r="S1431" s="1" t="s">
        <v>33</v>
      </c>
      <c r="T1431" s="1" t="s">
        <v>31</v>
      </c>
      <c r="U1431" s="1">
        <v>4</v>
      </c>
      <c r="V1431" s="1">
        <v>172150</v>
      </c>
      <c r="W1431" s="7">
        <v>416.9</v>
      </c>
      <c r="X1431" s="1">
        <v>0.53</v>
      </c>
      <c r="Y1431" s="4">
        <v>44454</v>
      </c>
      <c r="Z1431" s="1" t="s">
        <v>38</v>
      </c>
      <c r="AA1431" s="1" t="s">
        <v>31</v>
      </c>
      <c r="AB1431" s="36" t="str" cm="1">
        <f t="array" ref="AB1431">_xlfn.IFS(K1431&gt;650,"LOW",K1431&gt;=550,"MEDIUM",K1431&lt;550,"HIGH")</f>
        <v>HIGH</v>
      </c>
    </row>
    <row r="1432" spans="3:28" x14ac:dyDescent="0.3">
      <c r="C1432" s="35" t="s">
        <v>2685</v>
      </c>
      <c r="D1432" s="1" t="s">
        <v>715</v>
      </c>
      <c r="E1432" s="1">
        <v>48</v>
      </c>
      <c r="F1432" s="1" t="s">
        <v>44</v>
      </c>
      <c r="G1432" s="1" t="s">
        <v>56</v>
      </c>
      <c r="H1432" s="1" t="s">
        <v>28</v>
      </c>
      <c r="I1432" s="1" t="s">
        <v>59</v>
      </c>
      <c r="J1432" s="7">
        <v>21468</v>
      </c>
      <c r="K1432" s="1">
        <v>457</v>
      </c>
      <c r="L1432" s="7">
        <v>2919</v>
      </c>
      <c r="M1432" s="1">
        <v>60</v>
      </c>
      <c r="N1432" s="6">
        <v>8.48E-2</v>
      </c>
      <c r="O1432" s="1" t="s">
        <v>63</v>
      </c>
      <c r="P1432" s="1" t="s">
        <v>50</v>
      </c>
      <c r="Q1432" s="1">
        <v>20</v>
      </c>
      <c r="R1432" s="1">
        <v>1</v>
      </c>
      <c r="S1432" s="1" t="s">
        <v>31</v>
      </c>
      <c r="T1432" s="1" t="s">
        <v>33</v>
      </c>
      <c r="U1432" s="1">
        <v>4</v>
      </c>
      <c r="V1432" s="1">
        <v>81174</v>
      </c>
      <c r="W1432" s="7">
        <v>314.31</v>
      </c>
      <c r="X1432" s="1">
        <v>0.74</v>
      </c>
      <c r="Y1432" s="4">
        <v>45847</v>
      </c>
      <c r="Z1432" s="1" t="s">
        <v>32</v>
      </c>
      <c r="AA1432" s="1" t="s">
        <v>33</v>
      </c>
      <c r="AB1432" s="36" t="str" cm="1">
        <f t="array" ref="AB1432">_xlfn.IFS(K1432&gt;650,"LOW",K1432&gt;=550,"MEDIUM",K1432&lt;550,"HIGH")</f>
        <v>HIGH</v>
      </c>
    </row>
    <row r="1433" spans="3:28" x14ac:dyDescent="0.3">
      <c r="C1433" s="35" t="s">
        <v>2861</v>
      </c>
      <c r="D1433" s="1" t="s">
        <v>889</v>
      </c>
      <c r="E1433" s="1">
        <v>30</v>
      </c>
      <c r="F1433" s="1" t="s">
        <v>26</v>
      </c>
      <c r="G1433" s="1" t="s">
        <v>56</v>
      </c>
      <c r="H1433" s="1" t="s">
        <v>36</v>
      </c>
      <c r="I1433" s="1" t="s">
        <v>40</v>
      </c>
      <c r="J1433" s="7">
        <v>135631</v>
      </c>
      <c r="K1433" s="1">
        <v>457</v>
      </c>
      <c r="L1433" s="7">
        <v>16768</v>
      </c>
      <c r="M1433" s="1">
        <v>36</v>
      </c>
      <c r="N1433" s="6">
        <v>0.1069</v>
      </c>
      <c r="O1433" s="1" t="s">
        <v>41</v>
      </c>
      <c r="P1433" s="1" t="s">
        <v>30</v>
      </c>
      <c r="Q1433" s="1">
        <v>24</v>
      </c>
      <c r="R1433" s="1">
        <v>3</v>
      </c>
      <c r="S1433" s="1" t="s">
        <v>33</v>
      </c>
      <c r="T1433" s="1" t="s">
        <v>33</v>
      </c>
      <c r="U1433" s="1">
        <v>1</v>
      </c>
      <c r="V1433" s="1">
        <v>167717</v>
      </c>
      <c r="W1433" s="7">
        <v>1127.05</v>
      </c>
      <c r="X1433" s="1">
        <v>0.23</v>
      </c>
      <c r="Y1433" s="4">
        <v>45111</v>
      </c>
      <c r="Z1433" s="1" t="s">
        <v>38</v>
      </c>
      <c r="AA1433" s="1" t="s">
        <v>33</v>
      </c>
      <c r="AB1433" s="36" t="str" cm="1">
        <f t="array" ref="AB1433">_xlfn.IFS(K1433&gt;650,"LOW",K1433&gt;=550,"MEDIUM",K1433&lt;550,"HIGH")</f>
        <v>HIGH</v>
      </c>
    </row>
    <row r="1434" spans="3:28" x14ac:dyDescent="0.3">
      <c r="C1434" s="35" t="s">
        <v>3555</v>
      </c>
      <c r="D1434" s="1" t="s">
        <v>1572</v>
      </c>
      <c r="E1434" s="1">
        <v>53</v>
      </c>
      <c r="F1434" s="1" t="s">
        <v>44</v>
      </c>
      <c r="G1434" s="1" t="s">
        <v>45</v>
      </c>
      <c r="H1434" s="1" t="s">
        <v>36</v>
      </c>
      <c r="I1434" s="1" t="s">
        <v>40</v>
      </c>
      <c r="J1434" s="7">
        <v>68114</v>
      </c>
      <c r="K1434" s="1">
        <v>457</v>
      </c>
      <c r="L1434" s="7">
        <v>22423</v>
      </c>
      <c r="M1434" s="1">
        <v>12</v>
      </c>
      <c r="N1434" s="6">
        <v>0.1913</v>
      </c>
      <c r="O1434" s="1" t="s">
        <v>52</v>
      </c>
      <c r="P1434" s="1" t="s">
        <v>47</v>
      </c>
      <c r="Q1434" s="1">
        <v>23</v>
      </c>
      <c r="R1434" s="1">
        <v>4</v>
      </c>
      <c r="S1434" s="1" t="s">
        <v>33</v>
      </c>
      <c r="T1434" s="1" t="s">
        <v>31</v>
      </c>
      <c r="U1434" s="1">
        <v>0</v>
      </c>
      <c r="V1434" s="1">
        <v>173184</v>
      </c>
      <c r="W1434" s="7">
        <v>1862.58</v>
      </c>
      <c r="X1434" s="1">
        <v>0.28000000000000003</v>
      </c>
      <c r="Y1434" s="4">
        <v>45797</v>
      </c>
      <c r="Z1434" s="1" t="s">
        <v>32</v>
      </c>
      <c r="AA1434" s="1" t="s">
        <v>33</v>
      </c>
      <c r="AB1434" s="36" t="str" cm="1">
        <f t="array" ref="AB1434">_xlfn.IFS(K1434&gt;650,"LOW",K1434&gt;=550,"MEDIUM",K1434&lt;550,"HIGH")</f>
        <v>HIGH</v>
      </c>
    </row>
    <row r="1435" spans="3:28" x14ac:dyDescent="0.3">
      <c r="C1435" s="35" t="s">
        <v>3997</v>
      </c>
      <c r="D1435" s="1" t="s">
        <v>1997</v>
      </c>
      <c r="E1435" s="1">
        <v>26</v>
      </c>
      <c r="F1435" s="1" t="s">
        <v>26</v>
      </c>
      <c r="G1435" s="1" t="s">
        <v>27</v>
      </c>
      <c r="H1435" s="1" t="s">
        <v>61</v>
      </c>
      <c r="I1435" s="1" t="s">
        <v>59</v>
      </c>
      <c r="J1435" s="7">
        <v>122951</v>
      </c>
      <c r="K1435" s="1">
        <v>457</v>
      </c>
      <c r="L1435" s="7">
        <v>12587</v>
      </c>
      <c r="M1435" s="1">
        <v>24</v>
      </c>
      <c r="N1435" s="6">
        <v>0.12179999999999999</v>
      </c>
      <c r="O1435" s="1" t="s">
        <v>46</v>
      </c>
      <c r="P1435" s="1" t="s">
        <v>30</v>
      </c>
      <c r="Q1435" s="1">
        <v>6</v>
      </c>
      <c r="R1435" s="1">
        <v>3</v>
      </c>
      <c r="S1435" s="1" t="s">
        <v>33</v>
      </c>
      <c r="T1435" s="1" t="s">
        <v>33</v>
      </c>
      <c r="U1435" s="1">
        <v>0</v>
      </c>
      <c r="V1435" s="1">
        <v>70773</v>
      </c>
      <c r="W1435" s="7">
        <v>908.43</v>
      </c>
      <c r="X1435" s="1">
        <v>0.83</v>
      </c>
      <c r="Y1435" s="4">
        <v>44091</v>
      </c>
      <c r="Z1435" s="1" t="s">
        <v>32</v>
      </c>
      <c r="AA1435" s="1" t="s">
        <v>33</v>
      </c>
      <c r="AB1435" s="36" t="str" cm="1">
        <f t="array" ref="AB1435">_xlfn.IFS(K1435&gt;650,"LOW",K1435&gt;=550,"MEDIUM",K1435&lt;550,"HIGH")</f>
        <v>HIGH</v>
      </c>
    </row>
    <row r="1436" spans="3:28" x14ac:dyDescent="0.3">
      <c r="C1436" s="35" t="s">
        <v>2528</v>
      </c>
      <c r="D1436" s="1" t="s">
        <v>558</v>
      </c>
      <c r="E1436" s="1">
        <v>30</v>
      </c>
      <c r="F1436" s="1" t="s">
        <v>26</v>
      </c>
      <c r="G1436" s="1" t="s">
        <v>45</v>
      </c>
      <c r="H1436" s="1" t="s">
        <v>28</v>
      </c>
      <c r="I1436" s="1" t="s">
        <v>40</v>
      </c>
      <c r="J1436" s="7">
        <v>120735</v>
      </c>
      <c r="K1436" s="1">
        <v>456</v>
      </c>
      <c r="L1436" s="7">
        <v>45871</v>
      </c>
      <c r="M1436" s="1">
        <v>12</v>
      </c>
      <c r="N1436" s="6">
        <v>0.1166</v>
      </c>
      <c r="O1436" s="1" t="s">
        <v>37</v>
      </c>
      <c r="P1436" s="1" t="s">
        <v>47</v>
      </c>
      <c r="Q1436" s="1">
        <v>6</v>
      </c>
      <c r="R1436" s="1">
        <v>1</v>
      </c>
      <c r="S1436" s="1" t="s">
        <v>33</v>
      </c>
      <c r="T1436" s="1" t="s">
        <v>33</v>
      </c>
      <c r="U1436" s="1">
        <v>3</v>
      </c>
      <c r="V1436" s="1">
        <v>55600</v>
      </c>
      <c r="W1436" s="7">
        <v>1992.49</v>
      </c>
      <c r="X1436" s="1">
        <v>0.31</v>
      </c>
      <c r="Y1436" s="4">
        <v>44409</v>
      </c>
      <c r="Z1436" s="1" t="s">
        <v>32</v>
      </c>
      <c r="AA1436" s="1" t="s">
        <v>33</v>
      </c>
      <c r="AB1436" s="36" t="str" cm="1">
        <f t="array" ref="AB1436">_xlfn.IFS(K1436&gt;650,"LOW",K1436&gt;=550,"MEDIUM",K1436&lt;550,"HIGH")</f>
        <v>HIGH</v>
      </c>
    </row>
    <row r="1437" spans="3:28" x14ac:dyDescent="0.3">
      <c r="C1437" s="35" t="s">
        <v>2827</v>
      </c>
      <c r="D1437" s="1" t="s">
        <v>855</v>
      </c>
      <c r="E1437" s="1">
        <v>47</v>
      </c>
      <c r="F1437" s="1" t="s">
        <v>26</v>
      </c>
      <c r="G1437" s="1" t="s">
        <v>45</v>
      </c>
      <c r="H1437" s="1" t="s">
        <v>61</v>
      </c>
      <c r="I1437" s="1" t="s">
        <v>59</v>
      </c>
      <c r="J1437" s="7">
        <v>135440</v>
      </c>
      <c r="K1437" s="1">
        <v>456</v>
      </c>
      <c r="L1437" s="7">
        <v>26058</v>
      </c>
      <c r="M1437" s="1">
        <v>24</v>
      </c>
      <c r="N1437" s="6">
        <v>7.8299999999999995E-2</v>
      </c>
      <c r="O1437" s="1" t="s">
        <v>63</v>
      </c>
      <c r="P1437" s="1" t="s">
        <v>50</v>
      </c>
      <c r="Q1437" s="1">
        <v>27</v>
      </c>
      <c r="R1437" s="1">
        <v>0</v>
      </c>
      <c r="S1437" s="1" t="s">
        <v>31</v>
      </c>
      <c r="T1437" s="1" t="s">
        <v>31</v>
      </c>
      <c r="U1437" s="1">
        <v>4</v>
      </c>
      <c r="V1437" s="1">
        <v>181174</v>
      </c>
      <c r="W1437" s="7">
        <v>274.99</v>
      </c>
      <c r="X1437" s="1">
        <v>0.27</v>
      </c>
      <c r="Y1437" s="4">
        <v>44293</v>
      </c>
      <c r="Z1437" s="1" t="s">
        <v>32</v>
      </c>
      <c r="AA1437" s="1" t="s">
        <v>33</v>
      </c>
      <c r="AB1437" s="36" t="str" cm="1">
        <f t="array" ref="AB1437">_xlfn.IFS(K1437&gt;650,"LOW",K1437&gt;=550,"MEDIUM",K1437&lt;550,"HIGH")</f>
        <v>HIGH</v>
      </c>
    </row>
    <row r="1438" spans="3:28" x14ac:dyDescent="0.3">
      <c r="C1438" s="35" t="s">
        <v>3266</v>
      </c>
      <c r="D1438" s="1" t="s">
        <v>1289</v>
      </c>
      <c r="E1438" s="1">
        <v>63</v>
      </c>
      <c r="F1438" s="1" t="s">
        <v>44</v>
      </c>
      <c r="G1438" s="1" t="s">
        <v>56</v>
      </c>
      <c r="H1438" s="1" t="s">
        <v>54</v>
      </c>
      <c r="I1438" s="1" t="s">
        <v>59</v>
      </c>
      <c r="J1438" s="7">
        <v>135183</v>
      </c>
      <c r="K1438" s="1">
        <v>456</v>
      </c>
      <c r="L1438" s="7">
        <v>32704</v>
      </c>
      <c r="M1438" s="1">
        <v>36</v>
      </c>
      <c r="N1438" s="6">
        <v>9.3000000000000013E-2</v>
      </c>
      <c r="O1438" s="1" t="s">
        <v>63</v>
      </c>
      <c r="P1438" s="1" t="s">
        <v>50</v>
      </c>
      <c r="Q1438" s="1">
        <v>5</v>
      </c>
      <c r="R1438" s="1">
        <v>0</v>
      </c>
      <c r="S1438" s="1" t="s">
        <v>33</v>
      </c>
      <c r="T1438" s="1" t="s">
        <v>33</v>
      </c>
      <c r="U1438" s="1">
        <v>0</v>
      </c>
      <c r="V1438" s="1">
        <v>189194</v>
      </c>
      <c r="W1438" s="7">
        <v>183.13</v>
      </c>
      <c r="X1438" s="1">
        <v>0.9</v>
      </c>
      <c r="Y1438" s="4">
        <v>45141</v>
      </c>
      <c r="Z1438" s="1" t="s">
        <v>38</v>
      </c>
      <c r="AA1438" s="1" t="s">
        <v>33</v>
      </c>
      <c r="AB1438" s="36" t="str" cm="1">
        <f t="array" ref="AB1438">_xlfn.IFS(K1438&gt;650,"LOW",K1438&gt;=550,"MEDIUM",K1438&lt;550,"HIGH")</f>
        <v>HIGH</v>
      </c>
    </row>
    <row r="1439" spans="3:28" x14ac:dyDescent="0.3">
      <c r="C1439" s="35" t="s">
        <v>3978</v>
      </c>
      <c r="D1439" s="1" t="s">
        <v>1978</v>
      </c>
      <c r="E1439" s="1">
        <v>46</v>
      </c>
      <c r="F1439" s="1" t="s">
        <v>26</v>
      </c>
      <c r="G1439" s="1" t="s">
        <v>56</v>
      </c>
      <c r="H1439" s="1" t="s">
        <v>61</v>
      </c>
      <c r="I1439" s="1" t="s">
        <v>57</v>
      </c>
      <c r="J1439" s="7">
        <v>87262</v>
      </c>
      <c r="K1439" s="1">
        <v>456</v>
      </c>
      <c r="L1439" s="7">
        <v>22563</v>
      </c>
      <c r="M1439" s="1">
        <v>24</v>
      </c>
      <c r="N1439" s="6">
        <v>5.8299999999999998E-2</v>
      </c>
      <c r="O1439" s="1" t="s">
        <v>63</v>
      </c>
      <c r="P1439" s="1" t="s">
        <v>50</v>
      </c>
      <c r="Q1439" s="1">
        <v>13</v>
      </c>
      <c r="R1439" s="1">
        <v>2</v>
      </c>
      <c r="S1439" s="1" t="s">
        <v>33</v>
      </c>
      <c r="T1439" s="1" t="s">
        <v>31</v>
      </c>
      <c r="U1439" s="1">
        <v>2</v>
      </c>
      <c r="V1439" s="1">
        <v>58399</v>
      </c>
      <c r="W1439" s="7">
        <v>153.55000000000001</v>
      </c>
      <c r="X1439" s="1">
        <v>0.82</v>
      </c>
      <c r="Y1439" s="4">
        <v>44436</v>
      </c>
      <c r="Z1439" s="1" t="s">
        <v>32</v>
      </c>
      <c r="AA1439" s="1" t="s">
        <v>33</v>
      </c>
      <c r="AB1439" s="36" t="str" cm="1">
        <f t="array" ref="AB1439">_xlfn.IFS(K1439&gt;650,"LOW",K1439&gt;=550,"MEDIUM",K1439&lt;550,"HIGH")</f>
        <v>HIGH</v>
      </c>
    </row>
    <row r="1440" spans="3:28" x14ac:dyDescent="0.3">
      <c r="C1440" s="35" t="s">
        <v>2128</v>
      </c>
      <c r="D1440" s="1" t="s">
        <v>159</v>
      </c>
      <c r="E1440" s="1">
        <v>28</v>
      </c>
      <c r="F1440" s="1" t="s">
        <v>26</v>
      </c>
      <c r="G1440" s="1" t="s">
        <v>56</v>
      </c>
      <c r="H1440" s="1" t="s">
        <v>54</v>
      </c>
      <c r="I1440" s="1" t="s">
        <v>59</v>
      </c>
      <c r="J1440" s="7">
        <v>110198</v>
      </c>
      <c r="K1440" s="1">
        <v>455</v>
      </c>
      <c r="L1440" s="7">
        <v>38018</v>
      </c>
      <c r="M1440" s="1">
        <v>24</v>
      </c>
      <c r="N1440" s="6">
        <v>0.19519999999999998</v>
      </c>
      <c r="O1440" s="1" t="s">
        <v>37</v>
      </c>
      <c r="P1440" s="1" t="s">
        <v>47</v>
      </c>
      <c r="Q1440" s="1">
        <v>10</v>
      </c>
      <c r="R1440" s="1">
        <v>2</v>
      </c>
      <c r="S1440" s="1" t="s">
        <v>31</v>
      </c>
      <c r="T1440" s="1" t="s">
        <v>33</v>
      </c>
      <c r="U1440" s="1">
        <v>1</v>
      </c>
      <c r="V1440" s="1">
        <v>116032</v>
      </c>
      <c r="W1440" s="7">
        <v>1841.88</v>
      </c>
      <c r="X1440" s="1">
        <v>0.2</v>
      </c>
      <c r="Y1440" s="4">
        <v>45195</v>
      </c>
      <c r="Z1440" s="1" t="s">
        <v>38</v>
      </c>
      <c r="AA1440" s="1" t="s">
        <v>33</v>
      </c>
      <c r="AB1440" s="36" t="str" cm="1">
        <f t="array" ref="AB1440">_xlfn.IFS(K1440&gt;650,"LOW",K1440&gt;=550,"MEDIUM",K1440&lt;550,"HIGH")</f>
        <v>HIGH</v>
      </c>
    </row>
    <row r="1441" spans="3:28" x14ac:dyDescent="0.3">
      <c r="C1441" s="35" t="s">
        <v>2425</v>
      </c>
      <c r="D1441" s="1" t="s">
        <v>455</v>
      </c>
      <c r="E1441" s="1">
        <v>39</v>
      </c>
      <c r="F1441" s="1" t="s">
        <v>44</v>
      </c>
      <c r="G1441" s="1" t="s">
        <v>45</v>
      </c>
      <c r="H1441" s="1" t="s">
        <v>61</v>
      </c>
      <c r="I1441" s="1" t="s">
        <v>59</v>
      </c>
      <c r="J1441" s="7">
        <v>79840</v>
      </c>
      <c r="K1441" s="1">
        <v>455</v>
      </c>
      <c r="L1441" s="7">
        <v>17558</v>
      </c>
      <c r="M1441" s="1">
        <v>36</v>
      </c>
      <c r="N1441" s="6">
        <v>8.43E-2</v>
      </c>
      <c r="O1441" s="1" t="s">
        <v>52</v>
      </c>
      <c r="P1441" s="1" t="s">
        <v>50</v>
      </c>
      <c r="Q1441" s="1">
        <v>7</v>
      </c>
      <c r="R1441" s="1">
        <v>2</v>
      </c>
      <c r="S1441" s="1" t="s">
        <v>33</v>
      </c>
      <c r="T1441" s="1" t="s">
        <v>33</v>
      </c>
      <c r="U1441" s="1">
        <v>1</v>
      </c>
      <c r="V1441" s="1">
        <v>159401</v>
      </c>
      <c r="W1441" s="7">
        <v>1994.41</v>
      </c>
      <c r="X1441" s="1">
        <v>0.16</v>
      </c>
      <c r="Y1441" s="4">
        <v>45799</v>
      </c>
      <c r="Z1441" s="1" t="s">
        <v>32</v>
      </c>
      <c r="AA1441" s="1" t="s">
        <v>33</v>
      </c>
      <c r="AB1441" s="36" t="str" cm="1">
        <f t="array" ref="AB1441">_xlfn.IFS(K1441&gt;650,"LOW",K1441&gt;=550,"MEDIUM",K1441&lt;550,"HIGH")</f>
        <v>HIGH</v>
      </c>
    </row>
    <row r="1442" spans="3:28" x14ac:dyDescent="0.3">
      <c r="C1442" s="35" t="s">
        <v>2751</v>
      </c>
      <c r="D1442" s="1" t="s">
        <v>781</v>
      </c>
      <c r="E1442" s="1">
        <v>50</v>
      </c>
      <c r="F1442" s="1" t="s">
        <v>44</v>
      </c>
      <c r="G1442" s="1" t="s">
        <v>45</v>
      </c>
      <c r="H1442" s="1" t="s">
        <v>61</v>
      </c>
      <c r="I1442" s="1" t="s">
        <v>29</v>
      </c>
      <c r="J1442" s="7">
        <v>137116</v>
      </c>
      <c r="K1442" s="1">
        <v>455</v>
      </c>
      <c r="L1442" s="7">
        <v>42335</v>
      </c>
      <c r="M1442" s="1">
        <v>24</v>
      </c>
      <c r="N1442" s="6">
        <v>8.5500000000000007E-2</v>
      </c>
      <c r="O1442" s="1" t="s">
        <v>37</v>
      </c>
      <c r="P1442" s="1" t="s">
        <v>47</v>
      </c>
      <c r="Q1442" s="1">
        <v>20</v>
      </c>
      <c r="R1442" s="1">
        <v>3</v>
      </c>
      <c r="S1442" s="1" t="s">
        <v>33</v>
      </c>
      <c r="T1442" s="1" t="s">
        <v>31</v>
      </c>
      <c r="U1442" s="1">
        <v>2</v>
      </c>
      <c r="V1442" s="1">
        <v>72882</v>
      </c>
      <c r="W1442" s="7">
        <v>1419.35</v>
      </c>
      <c r="X1442" s="1">
        <v>0.2</v>
      </c>
      <c r="Y1442" s="4">
        <v>45131</v>
      </c>
      <c r="Z1442" s="1" t="s">
        <v>32</v>
      </c>
      <c r="AA1442" s="1" t="s">
        <v>31</v>
      </c>
      <c r="AB1442" s="36" t="str" cm="1">
        <f t="array" ref="AB1442">_xlfn.IFS(K1442&gt;650,"LOW",K1442&gt;=550,"MEDIUM",K1442&lt;550,"HIGH")</f>
        <v>HIGH</v>
      </c>
    </row>
    <row r="1443" spans="3:28" x14ac:dyDescent="0.3">
      <c r="C1443" s="35" t="s">
        <v>2143</v>
      </c>
      <c r="D1443" s="1" t="s">
        <v>174</v>
      </c>
      <c r="E1443" s="1">
        <v>57</v>
      </c>
      <c r="F1443" s="1" t="s">
        <v>26</v>
      </c>
      <c r="G1443" s="1" t="s">
        <v>27</v>
      </c>
      <c r="H1443" s="1" t="s">
        <v>28</v>
      </c>
      <c r="I1443" s="1" t="s">
        <v>59</v>
      </c>
      <c r="J1443" s="7">
        <v>105366</v>
      </c>
      <c r="K1443" s="1">
        <v>454</v>
      </c>
      <c r="L1443" s="7">
        <v>22781</v>
      </c>
      <c r="M1443" s="1">
        <v>48</v>
      </c>
      <c r="N1443" s="6">
        <v>0.1923</v>
      </c>
      <c r="O1443" s="1" t="s">
        <v>46</v>
      </c>
      <c r="P1443" s="1" t="s">
        <v>47</v>
      </c>
      <c r="Q1443" s="1">
        <v>9</v>
      </c>
      <c r="R1443" s="1">
        <v>3</v>
      </c>
      <c r="S1443" s="1" t="s">
        <v>33</v>
      </c>
      <c r="T1443" s="1" t="s">
        <v>31</v>
      </c>
      <c r="U1443" s="1">
        <v>1</v>
      </c>
      <c r="V1443" s="1">
        <v>110930</v>
      </c>
      <c r="W1443" s="7">
        <v>1837.1</v>
      </c>
      <c r="X1443" s="1">
        <v>0.39</v>
      </c>
      <c r="Y1443" s="4">
        <v>44767</v>
      </c>
      <c r="Z1443" s="1" t="s">
        <v>38</v>
      </c>
      <c r="AA1443" s="1" t="s">
        <v>33</v>
      </c>
      <c r="AB1443" s="36" t="str" cm="1">
        <f t="array" ref="AB1443">_xlfn.IFS(K1443&gt;650,"LOW",K1443&gt;=550,"MEDIUM",K1443&lt;550,"HIGH")</f>
        <v>HIGH</v>
      </c>
    </row>
    <row r="1444" spans="3:28" x14ac:dyDescent="0.3">
      <c r="C1444" s="35" t="s">
        <v>3410</v>
      </c>
      <c r="D1444" s="1" t="s">
        <v>1430</v>
      </c>
      <c r="E1444" s="1">
        <v>64</v>
      </c>
      <c r="F1444" s="1" t="s">
        <v>44</v>
      </c>
      <c r="G1444" s="1" t="s">
        <v>27</v>
      </c>
      <c r="H1444" s="1" t="s">
        <v>28</v>
      </c>
      <c r="I1444" s="1" t="s">
        <v>57</v>
      </c>
      <c r="J1444" s="7">
        <v>145574</v>
      </c>
      <c r="K1444" s="1">
        <v>454</v>
      </c>
      <c r="L1444" s="7">
        <v>1056</v>
      </c>
      <c r="M1444" s="1">
        <v>48</v>
      </c>
      <c r="N1444" s="6">
        <v>0.1014</v>
      </c>
      <c r="O1444" s="1" t="s">
        <v>63</v>
      </c>
      <c r="P1444" s="1" t="s">
        <v>47</v>
      </c>
      <c r="Q1444" s="1">
        <v>21</v>
      </c>
      <c r="R1444" s="1">
        <v>1</v>
      </c>
      <c r="S1444" s="1" t="s">
        <v>33</v>
      </c>
      <c r="T1444" s="1" t="s">
        <v>33</v>
      </c>
      <c r="U1444" s="1">
        <v>4</v>
      </c>
      <c r="V1444" s="1">
        <v>58081</v>
      </c>
      <c r="W1444" s="7">
        <v>728.07</v>
      </c>
      <c r="X1444" s="1">
        <v>0.94</v>
      </c>
      <c r="Y1444" s="4">
        <v>44211</v>
      </c>
      <c r="Z1444" s="1" t="s">
        <v>32</v>
      </c>
      <c r="AA1444" s="1" t="s">
        <v>31</v>
      </c>
      <c r="AB1444" s="36" t="str" cm="1">
        <f t="array" ref="AB1444">_xlfn.IFS(K1444&gt;650,"LOW",K1444&gt;=550,"MEDIUM",K1444&lt;550,"HIGH")</f>
        <v>HIGH</v>
      </c>
    </row>
    <row r="1445" spans="3:28" x14ac:dyDescent="0.3">
      <c r="C1445" s="35" t="s">
        <v>2388</v>
      </c>
      <c r="D1445" s="1" t="s">
        <v>418</v>
      </c>
      <c r="E1445" s="1">
        <v>21</v>
      </c>
      <c r="F1445" s="1" t="s">
        <v>26</v>
      </c>
      <c r="G1445" s="1" t="s">
        <v>27</v>
      </c>
      <c r="H1445" s="1" t="s">
        <v>54</v>
      </c>
      <c r="I1445" s="1" t="s">
        <v>40</v>
      </c>
      <c r="J1445" s="7">
        <v>53332</v>
      </c>
      <c r="K1445" s="1">
        <v>453</v>
      </c>
      <c r="L1445" s="7">
        <v>38888</v>
      </c>
      <c r="M1445" s="1">
        <v>48</v>
      </c>
      <c r="N1445" s="6">
        <v>0.1144</v>
      </c>
      <c r="O1445" s="1" t="s">
        <v>37</v>
      </c>
      <c r="P1445" s="1" t="s">
        <v>47</v>
      </c>
      <c r="Q1445" s="1">
        <v>8</v>
      </c>
      <c r="R1445" s="1">
        <v>1</v>
      </c>
      <c r="S1445" s="1" t="s">
        <v>33</v>
      </c>
      <c r="T1445" s="1" t="s">
        <v>31</v>
      </c>
      <c r="U1445" s="1">
        <v>1</v>
      </c>
      <c r="V1445" s="1">
        <v>109460</v>
      </c>
      <c r="W1445" s="7">
        <v>1732.28</v>
      </c>
      <c r="X1445" s="1">
        <v>0.74</v>
      </c>
      <c r="Y1445" s="4">
        <v>44568</v>
      </c>
      <c r="Z1445" s="1" t="s">
        <v>38</v>
      </c>
      <c r="AA1445" s="1" t="s">
        <v>33</v>
      </c>
      <c r="AB1445" s="36" t="str" cm="1">
        <f t="array" ref="AB1445">_xlfn.IFS(K1445&gt;650,"LOW",K1445&gt;=550,"MEDIUM",K1445&lt;550,"HIGH")</f>
        <v>HIGH</v>
      </c>
    </row>
    <row r="1446" spans="3:28" x14ac:dyDescent="0.3">
      <c r="C1446" s="35" t="s">
        <v>3132</v>
      </c>
      <c r="D1446" s="1" t="s">
        <v>1157</v>
      </c>
      <c r="E1446" s="1">
        <v>63</v>
      </c>
      <c r="F1446" s="1" t="s">
        <v>26</v>
      </c>
      <c r="G1446" s="1" t="s">
        <v>45</v>
      </c>
      <c r="H1446" s="1" t="s">
        <v>61</v>
      </c>
      <c r="I1446" s="1" t="s">
        <v>59</v>
      </c>
      <c r="J1446" s="7">
        <v>81892</v>
      </c>
      <c r="K1446" s="1">
        <v>453</v>
      </c>
      <c r="L1446" s="7">
        <v>11456</v>
      </c>
      <c r="M1446" s="1">
        <v>24</v>
      </c>
      <c r="N1446" s="6">
        <v>9.4899999999999998E-2</v>
      </c>
      <c r="O1446" s="1" t="s">
        <v>41</v>
      </c>
      <c r="P1446" s="1" t="s">
        <v>47</v>
      </c>
      <c r="Q1446" s="1">
        <v>18</v>
      </c>
      <c r="R1446" s="1">
        <v>3</v>
      </c>
      <c r="S1446" s="1" t="s">
        <v>33</v>
      </c>
      <c r="T1446" s="1" t="s">
        <v>31</v>
      </c>
      <c r="U1446" s="1">
        <v>3</v>
      </c>
      <c r="V1446" s="1">
        <v>126631</v>
      </c>
      <c r="W1446" s="7">
        <v>1852.33</v>
      </c>
      <c r="X1446" s="1">
        <v>0.25</v>
      </c>
      <c r="Y1446" s="4">
        <v>44592</v>
      </c>
      <c r="Z1446" s="1" t="s">
        <v>38</v>
      </c>
      <c r="AA1446" s="1" t="s">
        <v>33</v>
      </c>
      <c r="AB1446" s="36" t="str" cm="1">
        <f t="array" ref="AB1446">_xlfn.IFS(K1446&gt;650,"LOW",K1446&gt;=550,"MEDIUM",K1446&lt;550,"HIGH")</f>
        <v>HIGH</v>
      </c>
    </row>
    <row r="1447" spans="3:28" x14ac:dyDescent="0.3">
      <c r="C1447" s="35" t="s">
        <v>3262</v>
      </c>
      <c r="D1447" s="1" t="s">
        <v>1285</v>
      </c>
      <c r="E1447" s="1">
        <v>45</v>
      </c>
      <c r="F1447" s="1" t="s">
        <v>44</v>
      </c>
      <c r="G1447" s="1" t="s">
        <v>56</v>
      </c>
      <c r="H1447" s="1" t="s">
        <v>54</v>
      </c>
      <c r="I1447" s="1" t="s">
        <v>29</v>
      </c>
      <c r="J1447" s="7">
        <v>100103</v>
      </c>
      <c r="K1447" s="1">
        <v>453</v>
      </c>
      <c r="L1447" s="7">
        <v>49764</v>
      </c>
      <c r="M1447" s="1">
        <v>60</v>
      </c>
      <c r="N1447" s="6">
        <v>5.5999999999999994E-2</v>
      </c>
      <c r="O1447" s="1" t="s">
        <v>63</v>
      </c>
      <c r="P1447" s="1" t="s">
        <v>50</v>
      </c>
      <c r="Q1447" s="1">
        <v>6</v>
      </c>
      <c r="R1447" s="1">
        <v>3</v>
      </c>
      <c r="S1447" s="1" t="s">
        <v>33</v>
      </c>
      <c r="T1447" s="1" t="s">
        <v>31</v>
      </c>
      <c r="U1447" s="1">
        <v>4</v>
      </c>
      <c r="V1447" s="1">
        <v>16819</v>
      </c>
      <c r="W1447" s="7">
        <v>483.07</v>
      </c>
      <c r="X1447" s="1">
        <v>0.37</v>
      </c>
      <c r="Y1447" s="4">
        <v>45687</v>
      </c>
      <c r="Z1447" s="1" t="s">
        <v>38</v>
      </c>
      <c r="AA1447" s="1" t="s">
        <v>33</v>
      </c>
      <c r="AB1447" s="36" t="str" cm="1">
        <f t="array" ref="AB1447">_xlfn.IFS(K1447&gt;650,"LOW",K1447&gt;=550,"MEDIUM",K1447&lt;550,"HIGH")</f>
        <v>HIGH</v>
      </c>
    </row>
    <row r="1448" spans="3:28" x14ac:dyDescent="0.3">
      <c r="C1448" s="35" t="s">
        <v>3618</v>
      </c>
      <c r="D1448" s="1" t="s">
        <v>1631</v>
      </c>
      <c r="E1448" s="1">
        <v>52</v>
      </c>
      <c r="F1448" s="1" t="s">
        <v>26</v>
      </c>
      <c r="G1448" s="1" t="s">
        <v>56</v>
      </c>
      <c r="H1448" s="1" t="s">
        <v>36</v>
      </c>
      <c r="I1448" s="1" t="s">
        <v>59</v>
      </c>
      <c r="J1448" s="7">
        <v>98608</v>
      </c>
      <c r="K1448" s="1">
        <v>453</v>
      </c>
      <c r="L1448" s="7">
        <v>4536</v>
      </c>
      <c r="M1448" s="1">
        <v>12</v>
      </c>
      <c r="N1448" s="6">
        <v>5.9800000000000006E-2</v>
      </c>
      <c r="O1448" s="1" t="s">
        <v>63</v>
      </c>
      <c r="P1448" s="1" t="s">
        <v>47</v>
      </c>
      <c r="Q1448" s="1">
        <v>15</v>
      </c>
      <c r="R1448" s="1">
        <v>0</v>
      </c>
      <c r="S1448" s="1" t="s">
        <v>33</v>
      </c>
      <c r="T1448" s="1" t="s">
        <v>33</v>
      </c>
      <c r="U1448" s="1">
        <v>1</v>
      </c>
      <c r="V1448" s="1">
        <v>190288</v>
      </c>
      <c r="W1448" s="7">
        <v>1280.27</v>
      </c>
      <c r="X1448" s="1">
        <v>0.71</v>
      </c>
      <c r="Y1448" s="4">
        <v>45041</v>
      </c>
      <c r="Z1448" s="1" t="s">
        <v>32</v>
      </c>
      <c r="AA1448" s="1" t="s">
        <v>33</v>
      </c>
      <c r="AB1448" s="36" t="str" cm="1">
        <f t="array" ref="AB1448">_xlfn.IFS(K1448&gt;650,"LOW",K1448&gt;=550,"MEDIUM",K1448&lt;550,"HIGH")</f>
        <v>HIGH</v>
      </c>
    </row>
    <row r="1449" spans="3:28" x14ac:dyDescent="0.3">
      <c r="C1449" s="35" t="s">
        <v>3882</v>
      </c>
      <c r="D1449" s="1" t="s">
        <v>1888</v>
      </c>
      <c r="E1449" s="1">
        <v>22</v>
      </c>
      <c r="F1449" s="1" t="s">
        <v>44</v>
      </c>
      <c r="G1449" s="1" t="s">
        <v>27</v>
      </c>
      <c r="H1449" s="1" t="s">
        <v>28</v>
      </c>
      <c r="I1449" s="1" t="s">
        <v>59</v>
      </c>
      <c r="J1449" s="7">
        <v>110347</v>
      </c>
      <c r="K1449" s="1">
        <v>453</v>
      </c>
      <c r="L1449" s="7">
        <v>39869</v>
      </c>
      <c r="M1449" s="1">
        <v>60</v>
      </c>
      <c r="N1449" s="6">
        <v>0.11539999999999999</v>
      </c>
      <c r="O1449" s="1" t="s">
        <v>63</v>
      </c>
      <c r="P1449" s="1" t="s">
        <v>50</v>
      </c>
      <c r="Q1449" s="1">
        <v>17</v>
      </c>
      <c r="R1449" s="1">
        <v>4</v>
      </c>
      <c r="S1449" s="1" t="s">
        <v>31</v>
      </c>
      <c r="T1449" s="1" t="s">
        <v>33</v>
      </c>
      <c r="U1449" s="1">
        <v>1</v>
      </c>
      <c r="V1449" s="1">
        <v>8072</v>
      </c>
      <c r="W1449" s="7">
        <v>716.38</v>
      </c>
      <c r="X1449" s="1">
        <v>0.23</v>
      </c>
      <c r="Y1449" s="4">
        <v>44462</v>
      </c>
      <c r="Z1449" s="1" t="s">
        <v>38</v>
      </c>
      <c r="AA1449" s="1" t="s">
        <v>33</v>
      </c>
      <c r="AB1449" s="36" t="str" cm="1">
        <f t="array" ref="AB1449">_xlfn.IFS(K1449&gt;650,"LOW",K1449&gt;=550,"MEDIUM",K1449&lt;550,"HIGH")</f>
        <v>HIGH</v>
      </c>
    </row>
    <row r="1450" spans="3:28" x14ac:dyDescent="0.3">
      <c r="C1450" s="35" t="s">
        <v>2073</v>
      </c>
      <c r="D1450" s="1" t="s">
        <v>104</v>
      </c>
      <c r="E1450" s="1">
        <v>55</v>
      </c>
      <c r="F1450" s="1" t="s">
        <v>44</v>
      </c>
      <c r="G1450" s="1" t="s">
        <v>35</v>
      </c>
      <c r="H1450" s="1" t="s">
        <v>61</v>
      </c>
      <c r="I1450" s="1" t="s">
        <v>40</v>
      </c>
      <c r="J1450" s="7">
        <v>75711</v>
      </c>
      <c r="K1450" s="1">
        <v>452</v>
      </c>
      <c r="L1450" s="7">
        <v>38812</v>
      </c>
      <c r="M1450" s="1">
        <v>12</v>
      </c>
      <c r="N1450" s="6">
        <v>0.1139</v>
      </c>
      <c r="O1450" s="1" t="s">
        <v>5</v>
      </c>
      <c r="P1450" s="1" t="s">
        <v>47</v>
      </c>
      <c r="Q1450" s="1">
        <v>8</v>
      </c>
      <c r="R1450" s="1">
        <v>3</v>
      </c>
      <c r="S1450" s="1" t="s">
        <v>33</v>
      </c>
      <c r="T1450" s="1" t="s">
        <v>33</v>
      </c>
      <c r="U1450" s="1">
        <v>1</v>
      </c>
      <c r="V1450" s="1">
        <v>98042</v>
      </c>
      <c r="W1450" s="7">
        <v>1046</v>
      </c>
      <c r="X1450" s="1">
        <v>0.18</v>
      </c>
      <c r="Y1450" s="4">
        <v>44217</v>
      </c>
      <c r="Z1450" s="1" t="s">
        <v>38</v>
      </c>
      <c r="AA1450" s="1" t="s">
        <v>33</v>
      </c>
      <c r="AB1450" s="36" t="str" cm="1">
        <f t="array" ref="AB1450">_xlfn.IFS(K1450&gt;650,"LOW",K1450&gt;=550,"MEDIUM",K1450&lt;550,"HIGH")</f>
        <v>HIGH</v>
      </c>
    </row>
    <row r="1451" spans="3:28" x14ac:dyDescent="0.3">
      <c r="C1451" s="35" t="s">
        <v>2090</v>
      </c>
      <c r="D1451" s="1" t="s">
        <v>121</v>
      </c>
      <c r="E1451" s="1">
        <v>34</v>
      </c>
      <c r="F1451" s="1" t="s">
        <v>26</v>
      </c>
      <c r="G1451" s="1" t="s">
        <v>45</v>
      </c>
      <c r="H1451" s="1" t="s">
        <v>54</v>
      </c>
      <c r="I1451" s="1" t="s">
        <v>40</v>
      </c>
      <c r="J1451" s="7">
        <v>73997</v>
      </c>
      <c r="K1451" s="1">
        <v>452</v>
      </c>
      <c r="L1451" s="7">
        <v>4688</v>
      </c>
      <c r="M1451" s="1">
        <v>12</v>
      </c>
      <c r="N1451" s="6">
        <v>0.11460000000000001</v>
      </c>
      <c r="O1451" s="1" t="s">
        <v>46</v>
      </c>
      <c r="P1451" s="1" t="s">
        <v>30</v>
      </c>
      <c r="Q1451" s="1">
        <v>29</v>
      </c>
      <c r="R1451" s="1">
        <v>3</v>
      </c>
      <c r="S1451" s="1" t="s">
        <v>31</v>
      </c>
      <c r="T1451" s="1" t="s">
        <v>33</v>
      </c>
      <c r="U1451" s="1">
        <v>1</v>
      </c>
      <c r="V1451" s="1">
        <v>154957</v>
      </c>
      <c r="W1451" s="7">
        <v>608.80999999999995</v>
      </c>
      <c r="X1451" s="1">
        <v>0.31</v>
      </c>
      <c r="Y1451" s="4">
        <v>44860</v>
      </c>
      <c r="Z1451" s="1" t="s">
        <v>32</v>
      </c>
      <c r="AA1451" s="1" t="s">
        <v>33</v>
      </c>
      <c r="AB1451" s="36" t="str" cm="1">
        <f t="array" ref="AB1451">_xlfn.IFS(K1451&gt;650,"LOW",K1451&gt;=550,"MEDIUM",K1451&lt;550,"HIGH")</f>
        <v>HIGH</v>
      </c>
    </row>
    <row r="1452" spans="3:28" x14ac:dyDescent="0.3">
      <c r="C1452" s="35" t="s">
        <v>2402</v>
      </c>
      <c r="D1452" s="1" t="s">
        <v>432</v>
      </c>
      <c r="E1452" s="1">
        <v>42</v>
      </c>
      <c r="F1452" s="1" t="s">
        <v>26</v>
      </c>
      <c r="G1452" s="1" t="s">
        <v>35</v>
      </c>
      <c r="H1452" s="1" t="s">
        <v>36</v>
      </c>
      <c r="I1452" s="1" t="s">
        <v>29</v>
      </c>
      <c r="J1452" s="7">
        <v>70387</v>
      </c>
      <c r="K1452" s="1">
        <v>452</v>
      </c>
      <c r="L1452" s="7">
        <v>2816</v>
      </c>
      <c r="M1452" s="1">
        <v>12</v>
      </c>
      <c r="N1452" s="6">
        <v>0.14929999999999999</v>
      </c>
      <c r="O1452" s="1" t="s">
        <v>52</v>
      </c>
      <c r="P1452" s="1" t="s">
        <v>50</v>
      </c>
      <c r="Q1452" s="1">
        <v>2</v>
      </c>
      <c r="R1452" s="1">
        <v>0</v>
      </c>
      <c r="S1452" s="1" t="s">
        <v>31</v>
      </c>
      <c r="T1452" s="1" t="s">
        <v>33</v>
      </c>
      <c r="U1452" s="1">
        <v>4</v>
      </c>
      <c r="V1452" s="1">
        <v>5150</v>
      </c>
      <c r="W1452" s="7">
        <v>487.1</v>
      </c>
      <c r="X1452" s="1">
        <v>0.92</v>
      </c>
      <c r="Y1452" s="4">
        <v>44176</v>
      </c>
      <c r="Z1452" s="1" t="s">
        <v>38</v>
      </c>
      <c r="AA1452" s="1" t="s">
        <v>33</v>
      </c>
      <c r="AB1452" s="36" t="str" cm="1">
        <f t="array" ref="AB1452">_xlfn.IFS(K1452&gt;650,"LOW",K1452&gt;=550,"MEDIUM",K1452&lt;550,"HIGH")</f>
        <v>HIGH</v>
      </c>
    </row>
    <row r="1453" spans="3:28" x14ac:dyDescent="0.3">
      <c r="C1453" s="35" t="s">
        <v>2123</v>
      </c>
      <c r="D1453" s="1" t="s">
        <v>154</v>
      </c>
      <c r="E1453" s="1">
        <v>59</v>
      </c>
      <c r="F1453" s="1" t="s">
        <v>44</v>
      </c>
      <c r="G1453" s="1" t="s">
        <v>45</v>
      </c>
      <c r="H1453" s="1" t="s">
        <v>61</v>
      </c>
      <c r="I1453" s="1" t="s">
        <v>57</v>
      </c>
      <c r="J1453" s="7">
        <v>123081</v>
      </c>
      <c r="K1453" s="1">
        <v>451</v>
      </c>
      <c r="L1453" s="7">
        <v>6813</v>
      </c>
      <c r="M1453" s="1">
        <v>24</v>
      </c>
      <c r="N1453" s="6">
        <v>8.7499999999999994E-2</v>
      </c>
      <c r="O1453" s="1" t="s">
        <v>63</v>
      </c>
      <c r="P1453" s="1" t="s">
        <v>50</v>
      </c>
      <c r="Q1453" s="1">
        <v>14</v>
      </c>
      <c r="R1453" s="1">
        <v>4</v>
      </c>
      <c r="S1453" s="1" t="s">
        <v>33</v>
      </c>
      <c r="T1453" s="1" t="s">
        <v>31</v>
      </c>
      <c r="U1453" s="1">
        <v>1</v>
      </c>
      <c r="V1453" s="1">
        <v>54669</v>
      </c>
      <c r="W1453" s="7">
        <v>879.66</v>
      </c>
      <c r="X1453" s="1">
        <v>0.83</v>
      </c>
      <c r="Y1453" s="4">
        <v>45282</v>
      </c>
      <c r="Z1453" s="1" t="s">
        <v>38</v>
      </c>
      <c r="AA1453" s="1" t="s">
        <v>33</v>
      </c>
      <c r="AB1453" s="36" t="str" cm="1">
        <f t="array" ref="AB1453">_xlfn.IFS(K1453&gt;650,"LOW",K1453&gt;=550,"MEDIUM",K1453&lt;550,"HIGH")</f>
        <v>HIGH</v>
      </c>
    </row>
    <row r="1454" spans="3:28" x14ac:dyDescent="0.3">
      <c r="C1454" s="35" t="s">
        <v>2498</v>
      </c>
      <c r="D1454" s="1" t="s">
        <v>528</v>
      </c>
      <c r="E1454" s="1">
        <v>21</v>
      </c>
      <c r="F1454" s="1" t="s">
        <v>26</v>
      </c>
      <c r="G1454" s="1" t="s">
        <v>56</v>
      </c>
      <c r="H1454" s="1" t="s">
        <v>61</v>
      </c>
      <c r="I1454" s="1" t="s">
        <v>40</v>
      </c>
      <c r="J1454" s="7">
        <v>87288</v>
      </c>
      <c r="K1454" s="1">
        <v>451</v>
      </c>
      <c r="L1454" s="7">
        <v>7107</v>
      </c>
      <c r="M1454" s="1">
        <v>24</v>
      </c>
      <c r="N1454" s="6">
        <v>0.15609999999999999</v>
      </c>
      <c r="O1454" s="1" t="s">
        <v>46</v>
      </c>
      <c r="P1454" s="1" t="s">
        <v>30</v>
      </c>
      <c r="Q1454" s="1">
        <v>11</v>
      </c>
      <c r="R1454" s="1">
        <v>2</v>
      </c>
      <c r="S1454" s="1" t="s">
        <v>33</v>
      </c>
      <c r="T1454" s="1" t="s">
        <v>31</v>
      </c>
      <c r="U1454" s="1">
        <v>0</v>
      </c>
      <c r="V1454" s="1">
        <v>115283</v>
      </c>
      <c r="W1454" s="7">
        <v>766.21</v>
      </c>
      <c r="X1454" s="1">
        <v>0.75</v>
      </c>
      <c r="Y1454" s="4">
        <v>44770</v>
      </c>
      <c r="Z1454" s="1" t="s">
        <v>32</v>
      </c>
      <c r="AA1454" s="1" t="s">
        <v>33</v>
      </c>
      <c r="AB1454" s="36" t="str" cm="1">
        <f t="array" ref="AB1454">_xlfn.IFS(K1454&gt;650,"LOW",K1454&gt;=550,"MEDIUM",K1454&lt;550,"HIGH")</f>
        <v>HIGH</v>
      </c>
    </row>
    <row r="1455" spans="3:28" x14ac:dyDescent="0.3">
      <c r="C1455" s="35" t="s">
        <v>2630</v>
      </c>
      <c r="D1455" s="1" t="s">
        <v>660</v>
      </c>
      <c r="E1455" s="1">
        <v>59</v>
      </c>
      <c r="F1455" s="1" t="s">
        <v>44</v>
      </c>
      <c r="G1455" s="1" t="s">
        <v>56</v>
      </c>
      <c r="H1455" s="1" t="s">
        <v>36</v>
      </c>
      <c r="I1455" s="1" t="s">
        <v>29</v>
      </c>
      <c r="J1455" s="7">
        <v>78899</v>
      </c>
      <c r="K1455" s="1">
        <v>451</v>
      </c>
      <c r="L1455" s="7">
        <v>35728</v>
      </c>
      <c r="M1455" s="1">
        <v>36</v>
      </c>
      <c r="N1455" s="6">
        <v>0.1109</v>
      </c>
      <c r="O1455" s="1" t="s">
        <v>37</v>
      </c>
      <c r="P1455" s="1" t="s">
        <v>50</v>
      </c>
      <c r="Q1455" s="1">
        <v>7</v>
      </c>
      <c r="R1455" s="1">
        <v>4</v>
      </c>
      <c r="S1455" s="1" t="s">
        <v>33</v>
      </c>
      <c r="T1455" s="1" t="s">
        <v>33</v>
      </c>
      <c r="U1455" s="1">
        <v>1</v>
      </c>
      <c r="V1455" s="1">
        <v>107809</v>
      </c>
      <c r="W1455" s="7">
        <v>762.57</v>
      </c>
      <c r="X1455" s="1">
        <v>0.53</v>
      </c>
      <c r="Y1455" s="4">
        <v>44322</v>
      </c>
      <c r="Z1455" s="1" t="s">
        <v>32</v>
      </c>
      <c r="AA1455" s="1" t="s">
        <v>33</v>
      </c>
      <c r="AB1455" s="36" t="str" cm="1">
        <f t="array" ref="AB1455">_xlfn.IFS(K1455&gt;650,"LOW",K1455&gt;=550,"MEDIUM",K1455&lt;550,"HIGH")</f>
        <v>HIGH</v>
      </c>
    </row>
    <row r="1456" spans="3:28" x14ac:dyDescent="0.3">
      <c r="C1456" s="35" t="s">
        <v>3548</v>
      </c>
      <c r="D1456" s="1" t="s">
        <v>1565</v>
      </c>
      <c r="E1456" s="1">
        <v>49</v>
      </c>
      <c r="F1456" s="1" t="s">
        <v>44</v>
      </c>
      <c r="G1456" s="1" t="s">
        <v>45</v>
      </c>
      <c r="H1456" s="1" t="s">
        <v>28</v>
      </c>
      <c r="I1456" s="1" t="s">
        <v>57</v>
      </c>
      <c r="J1456" s="7">
        <v>126830</v>
      </c>
      <c r="K1456" s="1">
        <v>450</v>
      </c>
      <c r="L1456" s="7">
        <v>49979</v>
      </c>
      <c r="M1456" s="1">
        <v>60</v>
      </c>
      <c r="N1456" s="6">
        <v>9.3900000000000011E-2</v>
      </c>
      <c r="O1456" s="1" t="s">
        <v>5</v>
      </c>
      <c r="P1456" s="1" t="s">
        <v>47</v>
      </c>
      <c r="Q1456" s="1">
        <v>11</v>
      </c>
      <c r="R1456" s="1">
        <v>3</v>
      </c>
      <c r="S1456" s="1" t="s">
        <v>33</v>
      </c>
      <c r="T1456" s="1" t="s">
        <v>31</v>
      </c>
      <c r="U1456" s="1">
        <v>3</v>
      </c>
      <c r="V1456" s="1">
        <v>67561</v>
      </c>
      <c r="W1456" s="7">
        <v>1959.15</v>
      </c>
      <c r="X1456" s="1">
        <v>0.73</v>
      </c>
      <c r="Y1456" s="4">
        <v>44654</v>
      </c>
      <c r="Z1456" s="1" t="s">
        <v>32</v>
      </c>
      <c r="AA1456" s="1" t="s">
        <v>33</v>
      </c>
      <c r="AB1456" s="36" t="str" cm="1">
        <f t="array" ref="AB1456">_xlfn.IFS(K1456&gt;650,"LOW",K1456&gt;=550,"MEDIUM",K1456&lt;550,"HIGH")</f>
        <v>HIGH</v>
      </c>
    </row>
    <row r="1457" spans="3:28" x14ac:dyDescent="0.3">
      <c r="C1457" s="35" t="s">
        <v>2251</v>
      </c>
      <c r="D1457" s="1" t="s">
        <v>282</v>
      </c>
      <c r="E1457" s="1">
        <v>23</v>
      </c>
      <c r="F1457" s="1" t="s">
        <v>44</v>
      </c>
      <c r="G1457" s="1" t="s">
        <v>56</v>
      </c>
      <c r="H1457" s="1" t="s">
        <v>28</v>
      </c>
      <c r="I1457" s="1" t="s">
        <v>29</v>
      </c>
      <c r="J1457" s="7">
        <v>48036</v>
      </c>
      <c r="K1457" s="1">
        <v>449</v>
      </c>
      <c r="L1457" s="7">
        <v>45045</v>
      </c>
      <c r="M1457" s="1">
        <v>24</v>
      </c>
      <c r="N1457" s="6">
        <v>8.2599999999999993E-2</v>
      </c>
      <c r="O1457" s="1" t="s">
        <v>41</v>
      </c>
      <c r="P1457" s="1" t="s">
        <v>50</v>
      </c>
      <c r="Q1457" s="1">
        <v>25</v>
      </c>
      <c r="R1457" s="1">
        <v>1</v>
      </c>
      <c r="S1457" s="1" t="s">
        <v>31</v>
      </c>
      <c r="T1457" s="1" t="s">
        <v>31</v>
      </c>
      <c r="U1457" s="1">
        <v>1</v>
      </c>
      <c r="V1457" s="1">
        <v>73960</v>
      </c>
      <c r="W1457" s="7">
        <v>807.48</v>
      </c>
      <c r="X1457" s="1">
        <v>0.89</v>
      </c>
      <c r="Y1457" s="4">
        <v>44326</v>
      </c>
      <c r="Z1457" s="1" t="s">
        <v>38</v>
      </c>
      <c r="AA1457" s="1" t="s">
        <v>33</v>
      </c>
      <c r="AB1457" s="36" t="str" cm="1">
        <f t="array" ref="AB1457">_xlfn.IFS(K1457&gt;650,"LOW",K1457&gt;=550,"MEDIUM",K1457&lt;550,"HIGH")</f>
        <v>HIGH</v>
      </c>
    </row>
    <row r="1458" spans="3:28" x14ac:dyDescent="0.3">
      <c r="C1458" s="35" t="s">
        <v>2102</v>
      </c>
      <c r="D1458" s="1" t="s">
        <v>133</v>
      </c>
      <c r="E1458" s="1">
        <v>45</v>
      </c>
      <c r="F1458" s="1" t="s">
        <v>26</v>
      </c>
      <c r="G1458" s="1" t="s">
        <v>45</v>
      </c>
      <c r="H1458" s="1" t="s">
        <v>28</v>
      </c>
      <c r="I1458" s="1" t="s">
        <v>57</v>
      </c>
      <c r="J1458" s="7">
        <v>46183</v>
      </c>
      <c r="K1458" s="1">
        <v>448</v>
      </c>
      <c r="L1458" s="7">
        <v>33849</v>
      </c>
      <c r="M1458" s="1">
        <v>36</v>
      </c>
      <c r="N1458" s="6">
        <v>0.1525</v>
      </c>
      <c r="O1458" s="1" t="s">
        <v>63</v>
      </c>
      <c r="P1458" s="1" t="s">
        <v>47</v>
      </c>
      <c r="Q1458" s="1">
        <v>3</v>
      </c>
      <c r="R1458" s="1">
        <v>4</v>
      </c>
      <c r="S1458" s="1" t="s">
        <v>33</v>
      </c>
      <c r="T1458" s="1" t="s">
        <v>33</v>
      </c>
      <c r="U1458" s="1">
        <v>3</v>
      </c>
      <c r="V1458" s="1">
        <v>132152</v>
      </c>
      <c r="W1458" s="7">
        <v>1066.9000000000001</v>
      </c>
      <c r="X1458" s="1">
        <v>0.35</v>
      </c>
      <c r="Y1458" s="4">
        <v>44989</v>
      </c>
      <c r="Z1458" s="1" t="s">
        <v>38</v>
      </c>
      <c r="AA1458" s="1" t="s">
        <v>33</v>
      </c>
      <c r="AB1458" s="36" t="str" cm="1">
        <f t="array" ref="AB1458">_xlfn.IFS(K1458&gt;650,"LOW",K1458&gt;=550,"MEDIUM",K1458&lt;550,"HIGH")</f>
        <v>HIGH</v>
      </c>
    </row>
    <row r="1459" spans="3:28" x14ac:dyDescent="0.3">
      <c r="C1459" s="35" t="s">
        <v>2199</v>
      </c>
      <c r="D1459" s="1" t="s">
        <v>230</v>
      </c>
      <c r="E1459" s="1">
        <v>57</v>
      </c>
      <c r="F1459" s="1" t="s">
        <v>44</v>
      </c>
      <c r="G1459" s="1" t="s">
        <v>56</v>
      </c>
      <c r="H1459" s="1" t="s">
        <v>36</v>
      </c>
      <c r="I1459" s="1" t="s">
        <v>59</v>
      </c>
      <c r="J1459" s="7">
        <v>37509</v>
      </c>
      <c r="K1459" s="1">
        <v>448</v>
      </c>
      <c r="L1459" s="7">
        <v>24377</v>
      </c>
      <c r="M1459" s="1">
        <v>24</v>
      </c>
      <c r="N1459" s="6">
        <v>6.2699999999999992E-2</v>
      </c>
      <c r="O1459" s="1" t="s">
        <v>37</v>
      </c>
      <c r="P1459" s="1" t="s">
        <v>30</v>
      </c>
      <c r="Q1459" s="1">
        <v>16</v>
      </c>
      <c r="R1459" s="1">
        <v>3</v>
      </c>
      <c r="S1459" s="1" t="s">
        <v>31</v>
      </c>
      <c r="T1459" s="1" t="s">
        <v>33</v>
      </c>
      <c r="U1459" s="1">
        <v>0</v>
      </c>
      <c r="V1459" s="1">
        <v>115625</v>
      </c>
      <c r="W1459" s="7">
        <v>673.12</v>
      </c>
      <c r="X1459" s="1">
        <v>0.1</v>
      </c>
      <c r="Y1459" s="4">
        <v>44148</v>
      </c>
      <c r="Z1459" s="1" t="s">
        <v>32</v>
      </c>
      <c r="AA1459" s="1" t="s">
        <v>33</v>
      </c>
      <c r="AB1459" s="36" t="str" cm="1">
        <f t="array" ref="AB1459">_xlfn.IFS(K1459&gt;650,"LOW",K1459&gt;=550,"MEDIUM",K1459&lt;550,"HIGH")</f>
        <v>HIGH</v>
      </c>
    </row>
    <row r="1460" spans="3:28" x14ac:dyDescent="0.3">
      <c r="C1460" s="35" t="s">
        <v>2746</v>
      </c>
      <c r="D1460" s="1" t="s">
        <v>776</v>
      </c>
      <c r="E1460" s="1">
        <v>32</v>
      </c>
      <c r="F1460" s="1" t="s">
        <v>44</v>
      </c>
      <c r="G1460" s="1" t="s">
        <v>56</v>
      </c>
      <c r="H1460" s="1" t="s">
        <v>36</v>
      </c>
      <c r="I1460" s="1" t="s">
        <v>59</v>
      </c>
      <c r="J1460" s="7">
        <v>126170</v>
      </c>
      <c r="K1460" s="1">
        <v>448</v>
      </c>
      <c r="L1460" s="7">
        <v>48037</v>
      </c>
      <c r="M1460" s="1">
        <v>48</v>
      </c>
      <c r="N1460" s="6">
        <v>0.19309999999999999</v>
      </c>
      <c r="O1460" s="1" t="s">
        <v>63</v>
      </c>
      <c r="P1460" s="1" t="s">
        <v>47</v>
      </c>
      <c r="Q1460" s="1">
        <v>19</v>
      </c>
      <c r="R1460" s="1">
        <v>4</v>
      </c>
      <c r="S1460" s="1" t="s">
        <v>33</v>
      </c>
      <c r="T1460" s="1" t="s">
        <v>31</v>
      </c>
      <c r="U1460" s="1">
        <v>4</v>
      </c>
      <c r="V1460" s="1">
        <v>148893</v>
      </c>
      <c r="W1460" s="7">
        <v>1421.17</v>
      </c>
      <c r="X1460" s="1">
        <v>0.45</v>
      </c>
      <c r="Y1460" s="4">
        <v>45835</v>
      </c>
      <c r="Z1460" s="1" t="s">
        <v>38</v>
      </c>
      <c r="AA1460" s="1" t="s">
        <v>33</v>
      </c>
      <c r="AB1460" s="36" t="str" cm="1">
        <f t="array" ref="AB1460">_xlfn.IFS(K1460&gt;650,"LOW",K1460&gt;=550,"MEDIUM",K1460&lt;550,"HIGH")</f>
        <v>HIGH</v>
      </c>
    </row>
    <row r="1461" spans="3:28" x14ac:dyDescent="0.3">
      <c r="C1461" s="35" t="s">
        <v>3860</v>
      </c>
      <c r="D1461" s="1" t="s">
        <v>1866</v>
      </c>
      <c r="E1461" s="1">
        <v>41</v>
      </c>
      <c r="F1461" s="1" t="s">
        <v>44</v>
      </c>
      <c r="G1461" s="1" t="s">
        <v>45</v>
      </c>
      <c r="H1461" s="1" t="s">
        <v>36</v>
      </c>
      <c r="I1461" s="1" t="s">
        <v>29</v>
      </c>
      <c r="J1461" s="7">
        <v>141443</v>
      </c>
      <c r="K1461" s="1">
        <v>448</v>
      </c>
      <c r="L1461" s="7">
        <v>26350</v>
      </c>
      <c r="M1461" s="1">
        <v>60</v>
      </c>
      <c r="N1461" s="6">
        <v>5.0900000000000001E-2</v>
      </c>
      <c r="O1461" s="1" t="s">
        <v>41</v>
      </c>
      <c r="P1461" s="1" t="s">
        <v>30</v>
      </c>
      <c r="Q1461" s="1">
        <v>13</v>
      </c>
      <c r="R1461" s="1">
        <v>0</v>
      </c>
      <c r="S1461" s="1" t="s">
        <v>33</v>
      </c>
      <c r="T1461" s="1" t="s">
        <v>33</v>
      </c>
      <c r="U1461" s="1">
        <v>3</v>
      </c>
      <c r="V1461" s="1">
        <v>22313</v>
      </c>
      <c r="W1461" s="7">
        <v>1240.27</v>
      </c>
      <c r="X1461" s="1">
        <v>0.56999999999999995</v>
      </c>
      <c r="Y1461" s="4">
        <v>44413</v>
      </c>
      <c r="Z1461" s="1" t="s">
        <v>38</v>
      </c>
      <c r="AA1461" s="1" t="s">
        <v>33</v>
      </c>
      <c r="AB1461" s="36" t="str" cm="1">
        <f t="array" ref="AB1461">_xlfn.IFS(K1461&gt;650,"LOW",K1461&gt;=550,"MEDIUM",K1461&lt;550,"HIGH")</f>
        <v>HIGH</v>
      </c>
    </row>
    <row r="1462" spans="3:28" x14ac:dyDescent="0.3">
      <c r="C1462" s="35" t="s">
        <v>2197</v>
      </c>
      <c r="D1462" s="1" t="s">
        <v>228</v>
      </c>
      <c r="E1462" s="1">
        <v>47</v>
      </c>
      <c r="F1462" s="1" t="s">
        <v>26</v>
      </c>
      <c r="G1462" s="1" t="s">
        <v>56</v>
      </c>
      <c r="H1462" s="1" t="s">
        <v>54</v>
      </c>
      <c r="I1462" s="1" t="s">
        <v>40</v>
      </c>
      <c r="J1462" s="7">
        <v>142406</v>
      </c>
      <c r="K1462" s="1">
        <v>447</v>
      </c>
      <c r="L1462" s="7">
        <v>7200</v>
      </c>
      <c r="M1462" s="1">
        <v>36</v>
      </c>
      <c r="N1462" s="6">
        <v>0.10060000000000001</v>
      </c>
      <c r="O1462" s="1" t="s">
        <v>41</v>
      </c>
      <c r="P1462" s="1" t="s">
        <v>47</v>
      </c>
      <c r="Q1462" s="1">
        <v>15</v>
      </c>
      <c r="R1462" s="1">
        <v>1</v>
      </c>
      <c r="S1462" s="1" t="s">
        <v>31</v>
      </c>
      <c r="T1462" s="1" t="s">
        <v>31</v>
      </c>
      <c r="U1462" s="1">
        <v>4</v>
      </c>
      <c r="V1462" s="1">
        <v>29403</v>
      </c>
      <c r="W1462" s="7">
        <v>1494.88</v>
      </c>
      <c r="X1462" s="1">
        <v>0.71</v>
      </c>
      <c r="Y1462" s="4">
        <v>45709</v>
      </c>
      <c r="Z1462" s="1" t="s">
        <v>38</v>
      </c>
      <c r="AA1462" s="1" t="s">
        <v>33</v>
      </c>
      <c r="AB1462" s="36" t="str" cm="1">
        <f t="array" ref="AB1462">_xlfn.IFS(K1462&gt;650,"LOW",K1462&gt;=550,"MEDIUM",K1462&lt;550,"HIGH")</f>
        <v>HIGH</v>
      </c>
    </row>
    <row r="1463" spans="3:28" x14ac:dyDescent="0.3">
      <c r="C1463" s="35" t="s">
        <v>2589</v>
      </c>
      <c r="D1463" s="1" t="s">
        <v>619</v>
      </c>
      <c r="E1463" s="1">
        <v>30</v>
      </c>
      <c r="F1463" s="1" t="s">
        <v>44</v>
      </c>
      <c r="G1463" s="1" t="s">
        <v>35</v>
      </c>
      <c r="H1463" s="1" t="s">
        <v>36</v>
      </c>
      <c r="I1463" s="1" t="s">
        <v>59</v>
      </c>
      <c r="J1463" s="7">
        <v>144336</v>
      </c>
      <c r="K1463" s="1">
        <v>447</v>
      </c>
      <c r="L1463" s="7">
        <v>5327</v>
      </c>
      <c r="M1463" s="1">
        <v>60</v>
      </c>
      <c r="N1463" s="6">
        <v>6.7599999999999993E-2</v>
      </c>
      <c r="O1463" s="1" t="s">
        <v>63</v>
      </c>
      <c r="P1463" s="1" t="s">
        <v>50</v>
      </c>
      <c r="Q1463" s="1">
        <v>29</v>
      </c>
      <c r="R1463" s="1">
        <v>1</v>
      </c>
      <c r="S1463" s="1" t="s">
        <v>33</v>
      </c>
      <c r="T1463" s="1" t="s">
        <v>33</v>
      </c>
      <c r="U1463" s="1">
        <v>4</v>
      </c>
      <c r="V1463" s="1">
        <v>85600</v>
      </c>
      <c r="W1463" s="7">
        <v>1913.09</v>
      </c>
      <c r="X1463" s="1">
        <v>0.61</v>
      </c>
      <c r="Y1463" s="4">
        <v>44589</v>
      </c>
      <c r="Z1463" s="1" t="s">
        <v>32</v>
      </c>
      <c r="AA1463" s="1" t="s">
        <v>33</v>
      </c>
      <c r="AB1463" s="36" t="str" cm="1">
        <f t="array" ref="AB1463">_xlfn.IFS(K1463&gt;650,"LOW",K1463&gt;=550,"MEDIUM",K1463&lt;550,"HIGH")</f>
        <v>HIGH</v>
      </c>
    </row>
    <row r="1464" spans="3:28" x14ac:dyDescent="0.3">
      <c r="C1464" s="35" t="s">
        <v>2892</v>
      </c>
      <c r="D1464" s="1" t="s">
        <v>920</v>
      </c>
      <c r="E1464" s="1">
        <v>57</v>
      </c>
      <c r="F1464" s="1" t="s">
        <v>44</v>
      </c>
      <c r="G1464" s="1" t="s">
        <v>56</v>
      </c>
      <c r="H1464" s="1" t="s">
        <v>54</v>
      </c>
      <c r="I1464" s="1" t="s">
        <v>40</v>
      </c>
      <c r="J1464" s="7">
        <v>78047</v>
      </c>
      <c r="K1464" s="1">
        <v>447</v>
      </c>
      <c r="L1464" s="7">
        <v>18997</v>
      </c>
      <c r="M1464" s="1">
        <v>60</v>
      </c>
      <c r="N1464" s="6">
        <v>9.8400000000000001E-2</v>
      </c>
      <c r="O1464" s="1" t="s">
        <v>46</v>
      </c>
      <c r="P1464" s="1" t="s">
        <v>47</v>
      </c>
      <c r="Q1464" s="1">
        <v>13</v>
      </c>
      <c r="R1464" s="1">
        <v>3</v>
      </c>
      <c r="S1464" s="1" t="s">
        <v>33</v>
      </c>
      <c r="T1464" s="1" t="s">
        <v>33</v>
      </c>
      <c r="U1464" s="1">
        <v>0</v>
      </c>
      <c r="V1464" s="1">
        <v>48544</v>
      </c>
      <c r="W1464" s="7">
        <v>1248.1600000000001</v>
      </c>
      <c r="X1464" s="1">
        <v>0.73</v>
      </c>
      <c r="Y1464" s="4">
        <v>45821</v>
      </c>
      <c r="Z1464" s="1" t="s">
        <v>38</v>
      </c>
      <c r="AA1464" s="1" t="s">
        <v>33</v>
      </c>
      <c r="AB1464" s="36" t="str" cm="1">
        <f t="array" ref="AB1464">_xlfn.IFS(K1464&gt;650,"LOW",K1464&gt;=550,"MEDIUM",K1464&lt;550,"HIGH")</f>
        <v>HIGH</v>
      </c>
    </row>
    <row r="1465" spans="3:28" x14ac:dyDescent="0.3">
      <c r="C1465" s="35" t="s">
        <v>3637</v>
      </c>
      <c r="D1465" s="1" t="s">
        <v>1649</v>
      </c>
      <c r="E1465" s="1">
        <v>27</v>
      </c>
      <c r="F1465" s="1" t="s">
        <v>26</v>
      </c>
      <c r="G1465" s="1" t="s">
        <v>45</v>
      </c>
      <c r="H1465" s="1" t="s">
        <v>54</v>
      </c>
      <c r="I1465" s="1" t="s">
        <v>40</v>
      </c>
      <c r="J1465" s="7">
        <v>127197</v>
      </c>
      <c r="K1465" s="1">
        <v>447</v>
      </c>
      <c r="L1465" s="7">
        <v>42553</v>
      </c>
      <c r="M1465" s="1">
        <v>12</v>
      </c>
      <c r="N1465" s="6">
        <v>0.1424</v>
      </c>
      <c r="O1465" s="1" t="s">
        <v>52</v>
      </c>
      <c r="P1465" s="1" t="s">
        <v>47</v>
      </c>
      <c r="Q1465" s="1">
        <v>12</v>
      </c>
      <c r="R1465" s="1">
        <v>2</v>
      </c>
      <c r="S1465" s="1" t="s">
        <v>33</v>
      </c>
      <c r="T1465" s="1" t="s">
        <v>33</v>
      </c>
      <c r="U1465" s="1">
        <v>2</v>
      </c>
      <c r="V1465" s="1">
        <v>197946</v>
      </c>
      <c r="W1465" s="7">
        <v>412.84</v>
      </c>
      <c r="X1465" s="1">
        <v>0.85</v>
      </c>
      <c r="Y1465" s="4">
        <v>44138</v>
      </c>
      <c r="Z1465" s="1" t="s">
        <v>32</v>
      </c>
      <c r="AA1465" s="1" t="s">
        <v>33</v>
      </c>
      <c r="AB1465" s="36" t="str" cm="1">
        <f t="array" ref="AB1465">_xlfn.IFS(K1465&gt;650,"LOW",K1465&gt;=550,"MEDIUM",K1465&lt;550,"HIGH")</f>
        <v>HIGH</v>
      </c>
    </row>
    <row r="1466" spans="3:28" x14ac:dyDescent="0.3">
      <c r="C1466" s="35" t="s">
        <v>2380</v>
      </c>
      <c r="D1466" s="1" t="s">
        <v>410</v>
      </c>
      <c r="E1466" s="1">
        <v>46</v>
      </c>
      <c r="F1466" s="1" t="s">
        <v>26</v>
      </c>
      <c r="G1466" s="1" t="s">
        <v>27</v>
      </c>
      <c r="H1466" s="1" t="s">
        <v>36</v>
      </c>
      <c r="I1466" s="1" t="s">
        <v>57</v>
      </c>
      <c r="J1466" s="7">
        <v>57528</v>
      </c>
      <c r="K1466" s="1">
        <v>446</v>
      </c>
      <c r="L1466" s="7">
        <v>41159</v>
      </c>
      <c r="M1466" s="1">
        <v>36</v>
      </c>
      <c r="N1466" s="6">
        <v>0.19920000000000002</v>
      </c>
      <c r="O1466" s="1" t="s">
        <v>46</v>
      </c>
      <c r="P1466" s="1" t="s">
        <v>30</v>
      </c>
      <c r="Q1466" s="1">
        <v>26</v>
      </c>
      <c r="R1466" s="1">
        <v>4</v>
      </c>
      <c r="S1466" s="1" t="s">
        <v>33</v>
      </c>
      <c r="T1466" s="1" t="s">
        <v>33</v>
      </c>
      <c r="U1466" s="1">
        <v>2</v>
      </c>
      <c r="V1466" s="1">
        <v>2405</v>
      </c>
      <c r="W1466" s="7">
        <v>1764.17</v>
      </c>
      <c r="X1466" s="1">
        <v>0.57999999999999996</v>
      </c>
      <c r="Y1466" s="4">
        <v>44296</v>
      </c>
      <c r="Z1466" s="1" t="s">
        <v>32</v>
      </c>
      <c r="AA1466" s="1" t="s">
        <v>33</v>
      </c>
      <c r="AB1466" s="36" t="str" cm="1">
        <f t="array" ref="AB1466">_xlfn.IFS(K1466&gt;650,"LOW",K1466&gt;=550,"MEDIUM",K1466&lt;550,"HIGH")</f>
        <v>HIGH</v>
      </c>
    </row>
    <row r="1467" spans="3:28" x14ac:dyDescent="0.3">
      <c r="C1467" s="35" t="s">
        <v>2613</v>
      </c>
      <c r="D1467" s="1" t="s">
        <v>643</v>
      </c>
      <c r="E1467" s="1">
        <v>26</v>
      </c>
      <c r="F1467" s="1" t="s">
        <v>26</v>
      </c>
      <c r="G1467" s="1" t="s">
        <v>56</v>
      </c>
      <c r="H1467" s="1" t="s">
        <v>36</v>
      </c>
      <c r="I1467" s="1" t="s">
        <v>29</v>
      </c>
      <c r="J1467" s="7">
        <v>43723</v>
      </c>
      <c r="K1467" s="1">
        <v>446</v>
      </c>
      <c r="L1467" s="7">
        <v>46235</v>
      </c>
      <c r="M1467" s="1">
        <v>60</v>
      </c>
      <c r="N1467" s="6">
        <v>5.4199999999999998E-2</v>
      </c>
      <c r="O1467" s="1" t="s">
        <v>5</v>
      </c>
      <c r="P1467" s="1" t="s">
        <v>30</v>
      </c>
      <c r="Q1467" s="1">
        <v>22</v>
      </c>
      <c r="R1467" s="1">
        <v>1</v>
      </c>
      <c r="S1467" s="1" t="s">
        <v>31</v>
      </c>
      <c r="T1467" s="1" t="s">
        <v>31</v>
      </c>
      <c r="U1467" s="1">
        <v>1</v>
      </c>
      <c r="V1467" s="1">
        <v>8014</v>
      </c>
      <c r="W1467" s="7">
        <v>216.83</v>
      </c>
      <c r="X1467" s="1">
        <v>0.61</v>
      </c>
      <c r="Y1467" s="4">
        <v>45587</v>
      </c>
      <c r="Z1467" s="1" t="s">
        <v>38</v>
      </c>
      <c r="AA1467" s="1" t="s">
        <v>33</v>
      </c>
      <c r="AB1467" s="36" t="str" cm="1">
        <f t="array" ref="AB1467">_xlfn.IFS(K1467&gt;650,"LOW",K1467&gt;=550,"MEDIUM",K1467&lt;550,"HIGH")</f>
        <v>HIGH</v>
      </c>
    </row>
    <row r="1468" spans="3:28" x14ac:dyDescent="0.3">
      <c r="C1468" s="35" t="s">
        <v>2932</v>
      </c>
      <c r="D1468" s="1" t="s">
        <v>960</v>
      </c>
      <c r="E1468" s="1">
        <v>39</v>
      </c>
      <c r="F1468" s="1" t="s">
        <v>44</v>
      </c>
      <c r="G1468" s="1" t="s">
        <v>56</v>
      </c>
      <c r="H1468" s="1" t="s">
        <v>54</v>
      </c>
      <c r="I1468" s="1" t="s">
        <v>59</v>
      </c>
      <c r="J1468" s="7">
        <v>67599</v>
      </c>
      <c r="K1468" s="1">
        <v>446</v>
      </c>
      <c r="L1468" s="7">
        <v>32126</v>
      </c>
      <c r="M1468" s="1">
        <v>36</v>
      </c>
      <c r="N1468" s="6">
        <v>0.15529999999999999</v>
      </c>
      <c r="O1468" s="1" t="s">
        <v>41</v>
      </c>
      <c r="P1468" s="1" t="s">
        <v>47</v>
      </c>
      <c r="Q1468" s="1">
        <v>10</v>
      </c>
      <c r="R1468" s="1">
        <v>4</v>
      </c>
      <c r="S1468" s="1" t="s">
        <v>31</v>
      </c>
      <c r="T1468" s="1" t="s">
        <v>33</v>
      </c>
      <c r="U1468" s="1">
        <v>3</v>
      </c>
      <c r="V1468" s="1">
        <v>39150</v>
      </c>
      <c r="W1468" s="7">
        <v>1401.84</v>
      </c>
      <c r="X1468" s="1">
        <v>0.32</v>
      </c>
      <c r="Y1468" s="4">
        <v>45039</v>
      </c>
      <c r="Z1468" s="1" t="s">
        <v>38</v>
      </c>
      <c r="AA1468" s="1" t="s">
        <v>33</v>
      </c>
      <c r="AB1468" s="36" t="str" cm="1">
        <f t="array" ref="AB1468">_xlfn.IFS(K1468&gt;650,"LOW",K1468&gt;=550,"MEDIUM",K1468&lt;550,"HIGH")</f>
        <v>HIGH</v>
      </c>
    </row>
    <row r="1469" spans="3:28" x14ac:dyDescent="0.3">
      <c r="C1469" s="35" t="s">
        <v>3038</v>
      </c>
      <c r="D1469" s="1" t="s">
        <v>1065</v>
      </c>
      <c r="E1469" s="1">
        <v>47</v>
      </c>
      <c r="F1469" s="1" t="s">
        <v>26</v>
      </c>
      <c r="G1469" s="1" t="s">
        <v>56</v>
      </c>
      <c r="H1469" s="1" t="s">
        <v>36</v>
      </c>
      <c r="I1469" s="1" t="s">
        <v>57</v>
      </c>
      <c r="J1469" s="7">
        <v>115251</v>
      </c>
      <c r="K1469" s="1">
        <v>446</v>
      </c>
      <c r="L1469" s="7">
        <v>44665</v>
      </c>
      <c r="M1469" s="1">
        <v>48</v>
      </c>
      <c r="N1469" s="6">
        <v>0.14560000000000001</v>
      </c>
      <c r="O1469" s="1" t="s">
        <v>37</v>
      </c>
      <c r="P1469" s="1" t="s">
        <v>30</v>
      </c>
      <c r="Q1469" s="1">
        <v>22</v>
      </c>
      <c r="R1469" s="1">
        <v>0</v>
      </c>
      <c r="S1469" s="1" t="s">
        <v>33</v>
      </c>
      <c r="T1469" s="1" t="s">
        <v>31</v>
      </c>
      <c r="U1469" s="1">
        <v>0</v>
      </c>
      <c r="V1469" s="1">
        <v>113872</v>
      </c>
      <c r="W1469" s="7">
        <v>1489.29</v>
      </c>
      <c r="X1469" s="1">
        <v>0.48</v>
      </c>
      <c r="Y1469" s="4">
        <v>45100</v>
      </c>
      <c r="Z1469" s="1" t="s">
        <v>38</v>
      </c>
      <c r="AA1469" s="1" t="s">
        <v>33</v>
      </c>
      <c r="AB1469" s="36" t="str" cm="1">
        <f t="array" ref="AB1469">_xlfn.IFS(K1469&gt;650,"LOW",K1469&gt;=550,"MEDIUM",K1469&lt;550,"HIGH")</f>
        <v>HIGH</v>
      </c>
    </row>
    <row r="1470" spans="3:28" x14ac:dyDescent="0.3">
      <c r="C1470" s="35" t="s">
        <v>3285</v>
      </c>
      <c r="D1470" s="1" t="s">
        <v>1308</v>
      </c>
      <c r="E1470" s="1">
        <v>58</v>
      </c>
      <c r="F1470" s="1" t="s">
        <v>26</v>
      </c>
      <c r="G1470" s="1" t="s">
        <v>45</v>
      </c>
      <c r="H1470" s="1" t="s">
        <v>36</v>
      </c>
      <c r="I1470" s="1" t="s">
        <v>40</v>
      </c>
      <c r="J1470" s="7">
        <v>29107</v>
      </c>
      <c r="K1470" s="1">
        <v>446</v>
      </c>
      <c r="L1470" s="7">
        <v>47010</v>
      </c>
      <c r="M1470" s="1">
        <v>24</v>
      </c>
      <c r="N1470" s="6">
        <v>0.17829999999999999</v>
      </c>
      <c r="O1470" s="1" t="s">
        <v>5</v>
      </c>
      <c r="P1470" s="1" t="s">
        <v>30</v>
      </c>
      <c r="Q1470" s="1">
        <v>3</v>
      </c>
      <c r="R1470" s="1">
        <v>0</v>
      </c>
      <c r="S1470" s="1" t="s">
        <v>31</v>
      </c>
      <c r="T1470" s="1" t="s">
        <v>31</v>
      </c>
      <c r="U1470" s="1">
        <v>4</v>
      </c>
      <c r="V1470" s="1">
        <v>23593</v>
      </c>
      <c r="W1470" s="7">
        <v>1008.44</v>
      </c>
      <c r="X1470" s="1">
        <v>0.72</v>
      </c>
      <c r="Y1470" s="4">
        <v>45645</v>
      </c>
      <c r="Z1470" s="1" t="s">
        <v>38</v>
      </c>
      <c r="AA1470" s="1" t="s">
        <v>33</v>
      </c>
      <c r="AB1470" s="36" t="str" cm="1">
        <f t="array" ref="AB1470">_xlfn.IFS(K1470&gt;650,"LOW",K1470&gt;=550,"MEDIUM",K1470&lt;550,"HIGH")</f>
        <v>HIGH</v>
      </c>
    </row>
    <row r="1471" spans="3:28" x14ac:dyDescent="0.3">
      <c r="C1471" s="35" t="s">
        <v>2167</v>
      </c>
      <c r="D1471" s="1" t="s">
        <v>198</v>
      </c>
      <c r="E1471" s="1">
        <v>63</v>
      </c>
      <c r="F1471" s="1" t="s">
        <v>26</v>
      </c>
      <c r="G1471" s="1" t="s">
        <v>27</v>
      </c>
      <c r="H1471" s="1" t="s">
        <v>28</v>
      </c>
      <c r="I1471" s="1" t="s">
        <v>40</v>
      </c>
      <c r="J1471" s="7">
        <v>56404</v>
      </c>
      <c r="K1471" s="1">
        <v>445</v>
      </c>
      <c r="L1471" s="7">
        <v>44484</v>
      </c>
      <c r="M1471" s="1">
        <v>12</v>
      </c>
      <c r="N1471" s="6">
        <v>6.4299999999999996E-2</v>
      </c>
      <c r="O1471" s="1" t="s">
        <v>5</v>
      </c>
      <c r="P1471" s="1" t="s">
        <v>50</v>
      </c>
      <c r="Q1471" s="1">
        <v>25</v>
      </c>
      <c r="R1471" s="1">
        <v>3</v>
      </c>
      <c r="S1471" s="1" t="s">
        <v>33</v>
      </c>
      <c r="T1471" s="1" t="s">
        <v>33</v>
      </c>
      <c r="U1471" s="1">
        <v>3</v>
      </c>
      <c r="V1471" s="1">
        <v>53832</v>
      </c>
      <c r="W1471" s="7">
        <v>1659.77</v>
      </c>
      <c r="X1471" s="1">
        <v>0.19</v>
      </c>
      <c r="Y1471" s="4">
        <v>45783</v>
      </c>
      <c r="Z1471" s="1" t="s">
        <v>32</v>
      </c>
      <c r="AA1471" s="1" t="s">
        <v>33</v>
      </c>
      <c r="AB1471" s="36" t="str" cm="1">
        <f t="array" ref="AB1471">_xlfn.IFS(K1471&gt;650,"LOW",K1471&gt;=550,"MEDIUM",K1471&lt;550,"HIGH")</f>
        <v>HIGH</v>
      </c>
    </row>
    <row r="1472" spans="3:28" x14ac:dyDescent="0.3">
      <c r="C1472" s="35" t="s">
        <v>2252</v>
      </c>
      <c r="D1472" s="1" t="s">
        <v>283</v>
      </c>
      <c r="E1472" s="1">
        <v>39</v>
      </c>
      <c r="F1472" s="1" t="s">
        <v>44</v>
      </c>
      <c r="G1472" s="1" t="s">
        <v>56</v>
      </c>
      <c r="H1472" s="1" t="s">
        <v>61</v>
      </c>
      <c r="I1472" s="1" t="s">
        <v>59</v>
      </c>
      <c r="J1472" s="7">
        <v>143885</v>
      </c>
      <c r="K1472" s="1">
        <v>445</v>
      </c>
      <c r="L1472" s="7">
        <v>11537</v>
      </c>
      <c r="M1472" s="1">
        <v>12</v>
      </c>
      <c r="N1472" s="6">
        <v>0.1893</v>
      </c>
      <c r="O1472" s="1" t="s">
        <v>52</v>
      </c>
      <c r="P1472" s="1" t="s">
        <v>47</v>
      </c>
      <c r="Q1472" s="1">
        <v>15</v>
      </c>
      <c r="R1472" s="1">
        <v>0</v>
      </c>
      <c r="S1472" s="1" t="s">
        <v>33</v>
      </c>
      <c r="T1472" s="1" t="s">
        <v>31</v>
      </c>
      <c r="U1472" s="1">
        <v>0</v>
      </c>
      <c r="V1472" s="1">
        <v>11990</v>
      </c>
      <c r="W1472" s="7">
        <v>965.28</v>
      </c>
      <c r="X1472" s="1">
        <v>0.59</v>
      </c>
      <c r="Y1472" s="4">
        <v>45154</v>
      </c>
      <c r="Z1472" s="1" t="s">
        <v>38</v>
      </c>
      <c r="AA1472" s="1" t="s">
        <v>33</v>
      </c>
      <c r="AB1472" s="36" t="str" cm="1">
        <f t="array" ref="AB1472">_xlfn.IFS(K1472&gt;650,"LOW",K1472&gt;=550,"MEDIUM",K1472&lt;550,"HIGH")</f>
        <v>HIGH</v>
      </c>
    </row>
    <row r="1473" spans="3:28" x14ac:dyDescent="0.3">
      <c r="C1473" s="35" t="s">
        <v>2769</v>
      </c>
      <c r="D1473" s="1" t="s">
        <v>797</v>
      </c>
      <c r="E1473" s="1">
        <v>54</v>
      </c>
      <c r="F1473" s="1" t="s">
        <v>44</v>
      </c>
      <c r="G1473" s="1" t="s">
        <v>35</v>
      </c>
      <c r="H1473" s="1" t="s">
        <v>61</v>
      </c>
      <c r="I1473" s="1" t="s">
        <v>29</v>
      </c>
      <c r="J1473" s="7">
        <v>30450</v>
      </c>
      <c r="K1473" s="1">
        <v>445</v>
      </c>
      <c r="L1473" s="7">
        <v>19452</v>
      </c>
      <c r="M1473" s="1">
        <v>36</v>
      </c>
      <c r="N1473" s="6">
        <v>8.48E-2</v>
      </c>
      <c r="O1473" s="1" t="s">
        <v>41</v>
      </c>
      <c r="P1473" s="1" t="s">
        <v>30</v>
      </c>
      <c r="Q1473" s="1">
        <v>24</v>
      </c>
      <c r="R1473" s="1">
        <v>4</v>
      </c>
      <c r="S1473" s="1" t="s">
        <v>33</v>
      </c>
      <c r="T1473" s="1" t="s">
        <v>31</v>
      </c>
      <c r="U1473" s="1">
        <v>4</v>
      </c>
      <c r="V1473" s="1">
        <v>68260</v>
      </c>
      <c r="W1473" s="7">
        <v>1455.42</v>
      </c>
      <c r="X1473" s="1">
        <v>0.61</v>
      </c>
      <c r="Y1473" s="4">
        <v>44206</v>
      </c>
      <c r="Z1473" s="1" t="s">
        <v>32</v>
      </c>
      <c r="AA1473" s="1" t="s">
        <v>33</v>
      </c>
      <c r="AB1473" s="36" t="str" cm="1">
        <f t="array" ref="AB1473">_xlfn.IFS(K1473&gt;650,"LOW",K1473&gt;=550,"MEDIUM",K1473&lt;550,"HIGH")</f>
        <v>HIGH</v>
      </c>
    </row>
    <row r="1474" spans="3:28" x14ac:dyDescent="0.3">
      <c r="C1474" s="35" t="s">
        <v>3189</v>
      </c>
      <c r="D1474" s="1" t="s">
        <v>1213</v>
      </c>
      <c r="E1474" s="1">
        <v>48</v>
      </c>
      <c r="F1474" s="1" t="s">
        <v>26</v>
      </c>
      <c r="G1474" s="1" t="s">
        <v>56</v>
      </c>
      <c r="H1474" s="1" t="s">
        <v>28</v>
      </c>
      <c r="I1474" s="1" t="s">
        <v>59</v>
      </c>
      <c r="J1474" s="7">
        <v>40823</v>
      </c>
      <c r="K1474" s="1">
        <v>445</v>
      </c>
      <c r="L1474" s="7">
        <v>45698</v>
      </c>
      <c r="M1474" s="1">
        <v>24</v>
      </c>
      <c r="N1474" s="6">
        <v>6.7199999999999996E-2</v>
      </c>
      <c r="O1474" s="1" t="s">
        <v>52</v>
      </c>
      <c r="P1474" s="1" t="s">
        <v>30</v>
      </c>
      <c r="Q1474" s="1">
        <v>23</v>
      </c>
      <c r="R1474" s="1">
        <v>0</v>
      </c>
      <c r="S1474" s="1" t="s">
        <v>33</v>
      </c>
      <c r="T1474" s="1" t="s">
        <v>31</v>
      </c>
      <c r="U1474" s="1">
        <v>0</v>
      </c>
      <c r="V1474" s="1">
        <v>8187</v>
      </c>
      <c r="W1474" s="7">
        <v>767.78</v>
      </c>
      <c r="X1474" s="1">
        <v>0.38</v>
      </c>
      <c r="Y1474" s="4">
        <v>45775</v>
      </c>
      <c r="Z1474" s="1" t="s">
        <v>32</v>
      </c>
      <c r="AA1474" s="1" t="s">
        <v>33</v>
      </c>
      <c r="AB1474" s="36" t="str" cm="1">
        <f t="array" ref="AB1474">_xlfn.IFS(K1474&gt;650,"LOW",K1474&gt;=550,"MEDIUM",K1474&lt;550,"HIGH")</f>
        <v>HIGH</v>
      </c>
    </row>
    <row r="1475" spans="3:28" x14ac:dyDescent="0.3">
      <c r="C1475" s="35" t="s">
        <v>3465</v>
      </c>
      <c r="D1475" s="1" t="s">
        <v>1483</v>
      </c>
      <c r="E1475" s="1">
        <v>29</v>
      </c>
      <c r="F1475" s="1" t="s">
        <v>26</v>
      </c>
      <c r="G1475" s="1" t="s">
        <v>56</v>
      </c>
      <c r="H1475" s="1" t="s">
        <v>54</v>
      </c>
      <c r="I1475" s="1" t="s">
        <v>29</v>
      </c>
      <c r="J1475" s="7">
        <v>117927</v>
      </c>
      <c r="K1475" s="1">
        <v>445</v>
      </c>
      <c r="L1475" s="7">
        <v>14036</v>
      </c>
      <c r="M1475" s="1">
        <v>24</v>
      </c>
      <c r="N1475" s="6">
        <v>0.1401</v>
      </c>
      <c r="O1475" s="1" t="s">
        <v>41</v>
      </c>
      <c r="P1475" s="1" t="s">
        <v>50</v>
      </c>
      <c r="Q1475" s="1">
        <v>12</v>
      </c>
      <c r="R1475" s="1">
        <v>4</v>
      </c>
      <c r="S1475" s="1" t="s">
        <v>31</v>
      </c>
      <c r="T1475" s="1" t="s">
        <v>31</v>
      </c>
      <c r="U1475" s="1">
        <v>3</v>
      </c>
      <c r="V1475" s="1">
        <v>65037</v>
      </c>
      <c r="W1475" s="7">
        <v>492.22</v>
      </c>
      <c r="X1475" s="1">
        <v>0.17</v>
      </c>
      <c r="Y1475" s="4">
        <v>45713</v>
      </c>
      <c r="Z1475" s="1" t="s">
        <v>32</v>
      </c>
      <c r="AA1475" s="1" t="s">
        <v>33</v>
      </c>
      <c r="AB1475" s="36" t="str" cm="1">
        <f t="array" ref="AB1475">_xlfn.IFS(K1475&gt;650,"LOW",K1475&gt;=550,"MEDIUM",K1475&lt;550,"HIGH")</f>
        <v>HIGH</v>
      </c>
    </row>
    <row r="1476" spans="3:28" x14ac:dyDescent="0.3">
      <c r="C1476" s="35" t="s">
        <v>3493</v>
      </c>
      <c r="D1476" s="1" t="s">
        <v>881</v>
      </c>
      <c r="E1476" s="1">
        <v>25</v>
      </c>
      <c r="F1476" s="1" t="s">
        <v>44</v>
      </c>
      <c r="G1476" s="1" t="s">
        <v>27</v>
      </c>
      <c r="H1476" s="1" t="s">
        <v>61</v>
      </c>
      <c r="I1476" s="1" t="s">
        <v>29</v>
      </c>
      <c r="J1476" s="7">
        <v>22523</v>
      </c>
      <c r="K1476" s="1">
        <v>445</v>
      </c>
      <c r="L1476" s="7">
        <v>18333</v>
      </c>
      <c r="M1476" s="1">
        <v>36</v>
      </c>
      <c r="N1476" s="6">
        <v>9.3699999999999992E-2</v>
      </c>
      <c r="O1476" s="1" t="s">
        <v>46</v>
      </c>
      <c r="P1476" s="1" t="s">
        <v>50</v>
      </c>
      <c r="Q1476" s="1">
        <v>23</v>
      </c>
      <c r="R1476" s="1">
        <v>4</v>
      </c>
      <c r="S1476" s="1" t="s">
        <v>33</v>
      </c>
      <c r="T1476" s="1" t="s">
        <v>31</v>
      </c>
      <c r="U1476" s="1">
        <v>0</v>
      </c>
      <c r="V1476" s="1">
        <v>112235</v>
      </c>
      <c r="W1476" s="7">
        <v>1156.54</v>
      </c>
      <c r="X1476" s="1">
        <v>0.67</v>
      </c>
      <c r="Y1476" s="4">
        <v>45658</v>
      </c>
      <c r="Z1476" s="1" t="s">
        <v>32</v>
      </c>
      <c r="AA1476" s="1" t="s">
        <v>33</v>
      </c>
      <c r="AB1476" s="36" t="str" cm="1">
        <f t="array" ref="AB1476">_xlfn.IFS(K1476&gt;650,"LOW",K1476&gt;=550,"MEDIUM",K1476&lt;550,"HIGH")</f>
        <v>HIGH</v>
      </c>
    </row>
    <row r="1477" spans="3:28" x14ac:dyDescent="0.3">
      <c r="C1477" s="35" t="s">
        <v>3929</v>
      </c>
      <c r="D1477" s="1" t="s">
        <v>1933</v>
      </c>
      <c r="E1477" s="1">
        <v>34</v>
      </c>
      <c r="F1477" s="1" t="s">
        <v>26</v>
      </c>
      <c r="G1477" s="1" t="s">
        <v>45</v>
      </c>
      <c r="H1477" s="1" t="s">
        <v>54</v>
      </c>
      <c r="I1477" s="1" t="s">
        <v>59</v>
      </c>
      <c r="J1477" s="7">
        <v>59601</v>
      </c>
      <c r="K1477" s="1">
        <v>445</v>
      </c>
      <c r="L1477" s="7">
        <v>19226</v>
      </c>
      <c r="M1477" s="1">
        <v>12</v>
      </c>
      <c r="N1477" s="6">
        <v>0.1457</v>
      </c>
      <c r="O1477" s="1" t="s">
        <v>37</v>
      </c>
      <c r="P1477" s="1" t="s">
        <v>47</v>
      </c>
      <c r="Q1477" s="1">
        <v>11</v>
      </c>
      <c r="R1477" s="1">
        <v>3</v>
      </c>
      <c r="S1477" s="1" t="s">
        <v>33</v>
      </c>
      <c r="T1477" s="1" t="s">
        <v>31</v>
      </c>
      <c r="U1477" s="1">
        <v>1</v>
      </c>
      <c r="V1477" s="1">
        <v>169509</v>
      </c>
      <c r="W1477" s="7">
        <v>1761.34</v>
      </c>
      <c r="X1477" s="1">
        <v>0.6</v>
      </c>
      <c r="Y1477" s="4">
        <v>44241</v>
      </c>
      <c r="Z1477" s="1" t="s">
        <v>38</v>
      </c>
      <c r="AA1477" s="1" t="s">
        <v>33</v>
      </c>
      <c r="AB1477" s="36" t="str" cm="1">
        <f t="array" ref="AB1477">_xlfn.IFS(K1477&gt;650,"LOW",K1477&gt;=550,"MEDIUM",K1477&lt;550,"HIGH")</f>
        <v>HIGH</v>
      </c>
    </row>
    <row r="1478" spans="3:28" x14ac:dyDescent="0.3">
      <c r="C1478" s="35" t="s">
        <v>2396</v>
      </c>
      <c r="D1478" s="1" t="s">
        <v>426</v>
      </c>
      <c r="E1478" s="1">
        <v>54</v>
      </c>
      <c r="F1478" s="1" t="s">
        <v>26</v>
      </c>
      <c r="G1478" s="1" t="s">
        <v>56</v>
      </c>
      <c r="H1478" s="1" t="s">
        <v>36</v>
      </c>
      <c r="I1478" s="1" t="s">
        <v>57</v>
      </c>
      <c r="J1478" s="7">
        <v>65717</v>
      </c>
      <c r="K1478" s="1">
        <v>444</v>
      </c>
      <c r="L1478" s="7">
        <v>19105</v>
      </c>
      <c r="M1478" s="1">
        <v>48</v>
      </c>
      <c r="N1478" s="6">
        <v>0.12759999999999999</v>
      </c>
      <c r="O1478" s="1" t="s">
        <v>5</v>
      </c>
      <c r="P1478" s="1" t="s">
        <v>47</v>
      </c>
      <c r="Q1478" s="1">
        <v>2</v>
      </c>
      <c r="R1478" s="1">
        <v>0</v>
      </c>
      <c r="S1478" s="1" t="s">
        <v>33</v>
      </c>
      <c r="T1478" s="1" t="s">
        <v>33</v>
      </c>
      <c r="U1478" s="1">
        <v>4</v>
      </c>
      <c r="V1478" s="1">
        <v>193740</v>
      </c>
      <c r="W1478" s="7">
        <v>1406.81</v>
      </c>
      <c r="X1478" s="1">
        <v>0.49</v>
      </c>
      <c r="Y1478" s="4">
        <v>44351</v>
      </c>
      <c r="Z1478" s="1" t="s">
        <v>38</v>
      </c>
      <c r="AA1478" s="1" t="s">
        <v>33</v>
      </c>
      <c r="AB1478" s="36" t="str" cm="1">
        <f t="array" ref="AB1478">_xlfn.IFS(K1478&gt;650,"LOW",K1478&gt;=550,"MEDIUM",K1478&lt;550,"HIGH")</f>
        <v>HIGH</v>
      </c>
    </row>
    <row r="1479" spans="3:28" x14ac:dyDescent="0.3">
      <c r="C1479" s="35" t="s">
        <v>2878</v>
      </c>
      <c r="D1479" s="1" t="s">
        <v>906</v>
      </c>
      <c r="E1479" s="1">
        <v>56</v>
      </c>
      <c r="F1479" s="1" t="s">
        <v>26</v>
      </c>
      <c r="G1479" s="1" t="s">
        <v>45</v>
      </c>
      <c r="H1479" s="1" t="s">
        <v>54</v>
      </c>
      <c r="I1479" s="1" t="s">
        <v>29</v>
      </c>
      <c r="J1479" s="7">
        <v>65836</v>
      </c>
      <c r="K1479" s="1">
        <v>444</v>
      </c>
      <c r="L1479" s="7">
        <v>46667</v>
      </c>
      <c r="M1479" s="1">
        <v>48</v>
      </c>
      <c r="N1479" s="6">
        <v>6.4299999999999996E-2</v>
      </c>
      <c r="O1479" s="1" t="s">
        <v>5</v>
      </c>
      <c r="P1479" s="1" t="s">
        <v>30</v>
      </c>
      <c r="Q1479" s="1">
        <v>5</v>
      </c>
      <c r="R1479" s="1">
        <v>1</v>
      </c>
      <c r="S1479" s="1" t="s">
        <v>31</v>
      </c>
      <c r="T1479" s="1" t="s">
        <v>33</v>
      </c>
      <c r="U1479" s="1">
        <v>0</v>
      </c>
      <c r="V1479" s="1">
        <v>141639</v>
      </c>
      <c r="W1479" s="7">
        <v>1306.76</v>
      </c>
      <c r="X1479" s="1">
        <v>0.89</v>
      </c>
      <c r="Y1479" s="4">
        <v>44565</v>
      </c>
      <c r="Z1479" s="1" t="s">
        <v>32</v>
      </c>
      <c r="AA1479" s="1" t="s">
        <v>31</v>
      </c>
      <c r="AB1479" s="36" t="str" cm="1">
        <f t="array" ref="AB1479">_xlfn.IFS(K1479&gt;650,"LOW",K1479&gt;=550,"MEDIUM",K1479&lt;550,"HIGH")</f>
        <v>HIGH</v>
      </c>
    </row>
    <row r="1480" spans="3:28" x14ac:dyDescent="0.3">
      <c r="C1480" s="35" t="s">
        <v>3689</v>
      </c>
      <c r="D1480" s="1" t="s">
        <v>1700</v>
      </c>
      <c r="E1480" s="1">
        <v>35</v>
      </c>
      <c r="F1480" s="1" t="s">
        <v>44</v>
      </c>
      <c r="G1480" s="1" t="s">
        <v>45</v>
      </c>
      <c r="H1480" s="1" t="s">
        <v>28</v>
      </c>
      <c r="I1480" s="1" t="s">
        <v>59</v>
      </c>
      <c r="J1480" s="7">
        <v>98648</v>
      </c>
      <c r="K1480" s="1">
        <v>444</v>
      </c>
      <c r="L1480" s="7">
        <v>17876</v>
      </c>
      <c r="M1480" s="1">
        <v>36</v>
      </c>
      <c r="N1480" s="6">
        <v>9.9399999999999988E-2</v>
      </c>
      <c r="O1480" s="1" t="s">
        <v>63</v>
      </c>
      <c r="P1480" s="1" t="s">
        <v>47</v>
      </c>
      <c r="Q1480" s="1">
        <v>17</v>
      </c>
      <c r="R1480" s="1">
        <v>4</v>
      </c>
      <c r="S1480" s="1" t="s">
        <v>31</v>
      </c>
      <c r="T1480" s="1" t="s">
        <v>33</v>
      </c>
      <c r="U1480" s="1">
        <v>1</v>
      </c>
      <c r="V1480" s="1">
        <v>190031</v>
      </c>
      <c r="W1480" s="7">
        <v>447.14</v>
      </c>
      <c r="X1480" s="1">
        <v>0.69</v>
      </c>
      <c r="Y1480" s="4">
        <v>45663</v>
      </c>
      <c r="Z1480" s="1" t="s">
        <v>38</v>
      </c>
      <c r="AA1480" s="1" t="s">
        <v>31</v>
      </c>
      <c r="AB1480" s="36" t="str" cm="1">
        <f t="array" ref="AB1480">_xlfn.IFS(K1480&gt;650,"LOW",K1480&gt;=550,"MEDIUM",K1480&lt;550,"HIGH")</f>
        <v>HIGH</v>
      </c>
    </row>
    <row r="1481" spans="3:28" x14ac:dyDescent="0.3">
      <c r="C1481" s="35" t="s">
        <v>2104</v>
      </c>
      <c r="D1481" s="1" t="s">
        <v>135</v>
      </c>
      <c r="E1481" s="1">
        <v>49</v>
      </c>
      <c r="F1481" s="1" t="s">
        <v>26</v>
      </c>
      <c r="G1481" s="1" t="s">
        <v>45</v>
      </c>
      <c r="H1481" s="1" t="s">
        <v>54</v>
      </c>
      <c r="I1481" s="1" t="s">
        <v>29</v>
      </c>
      <c r="J1481" s="7">
        <v>44624</v>
      </c>
      <c r="K1481" s="1">
        <v>443</v>
      </c>
      <c r="L1481" s="7">
        <v>17078</v>
      </c>
      <c r="M1481" s="1">
        <v>48</v>
      </c>
      <c r="N1481" s="6">
        <v>0.14679999999999999</v>
      </c>
      <c r="O1481" s="1" t="s">
        <v>41</v>
      </c>
      <c r="P1481" s="1" t="s">
        <v>50</v>
      </c>
      <c r="Q1481" s="1">
        <v>24</v>
      </c>
      <c r="R1481" s="1">
        <v>2</v>
      </c>
      <c r="S1481" s="1" t="s">
        <v>33</v>
      </c>
      <c r="T1481" s="1" t="s">
        <v>33</v>
      </c>
      <c r="U1481" s="1">
        <v>4</v>
      </c>
      <c r="V1481" s="1">
        <v>115965</v>
      </c>
      <c r="W1481" s="7">
        <v>673.26</v>
      </c>
      <c r="X1481" s="1">
        <v>0.1</v>
      </c>
      <c r="Y1481" s="4">
        <v>45365</v>
      </c>
      <c r="Z1481" s="1" t="s">
        <v>38</v>
      </c>
      <c r="AA1481" s="1" t="s">
        <v>31</v>
      </c>
      <c r="AB1481" s="36" t="str" cm="1">
        <f t="array" ref="AB1481">_xlfn.IFS(K1481&gt;650,"LOW",K1481&gt;=550,"MEDIUM",K1481&lt;550,"HIGH")</f>
        <v>HIGH</v>
      </c>
    </row>
    <row r="1482" spans="3:28" x14ac:dyDescent="0.3">
      <c r="C1482" s="35" t="s">
        <v>2414</v>
      </c>
      <c r="D1482" s="1" t="s">
        <v>444</v>
      </c>
      <c r="E1482" s="1">
        <v>59</v>
      </c>
      <c r="F1482" s="1" t="s">
        <v>26</v>
      </c>
      <c r="G1482" s="1" t="s">
        <v>56</v>
      </c>
      <c r="H1482" s="1" t="s">
        <v>28</v>
      </c>
      <c r="I1482" s="1" t="s">
        <v>29</v>
      </c>
      <c r="J1482" s="7">
        <v>93474</v>
      </c>
      <c r="K1482" s="1">
        <v>443</v>
      </c>
      <c r="L1482" s="7">
        <v>31669</v>
      </c>
      <c r="M1482" s="1">
        <v>48</v>
      </c>
      <c r="N1482" s="6">
        <v>7.400000000000001E-2</v>
      </c>
      <c r="O1482" s="1" t="s">
        <v>37</v>
      </c>
      <c r="P1482" s="1" t="s">
        <v>30</v>
      </c>
      <c r="Q1482" s="1">
        <v>12</v>
      </c>
      <c r="R1482" s="1">
        <v>3</v>
      </c>
      <c r="S1482" s="1" t="s">
        <v>33</v>
      </c>
      <c r="T1482" s="1" t="s">
        <v>31</v>
      </c>
      <c r="U1482" s="1">
        <v>0</v>
      </c>
      <c r="V1482" s="1">
        <v>192622</v>
      </c>
      <c r="W1482" s="7">
        <v>712.41</v>
      </c>
      <c r="X1482" s="1">
        <v>0.15</v>
      </c>
      <c r="Y1482" s="4">
        <v>44954</v>
      </c>
      <c r="Z1482" s="1" t="s">
        <v>38</v>
      </c>
      <c r="AA1482" s="1" t="s">
        <v>33</v>
      </c>
      <c r="AB1482" s="36" t="str" cm="1">
        <f t="array" ref="AB1482">_xlfn.IFS(K1482&gt;650,"LOW",K1482&gt;=550,"MEDIUM",K1482&lt;550,"HIGH")</f>
        <v>HIGH</v>
      </c>
    </row>
    <row r="1483" spans="3:28" x14ac:dyDescent="0.3">
      <c r="C1483" s="35" t="s">
        <v>2617</v>
      </c>
      <c r="D1483" s="1" t="s">
        <v>647</v>
      </c>
      <c r="E1483" s="1">
        <v>59</v>
      </c>
      <c r="F1483" s="1" t="s">
        <v>44</v>
      </c>
      <c r="G1483" s="1" t="s">
        <v>45</v>
      </c>
      <c r="H1483" s="1" t="s">
        <v>54</v>
      </c>
      <c r="I1483" s="1" t="s">
        <v>59</v>
      </c>
      <c r="J1483" s="7">
        <v>144173</v>
      </c>
      <c r="K1483" s="1">
        <v>443</v>
      </c>
      <c r="L1483" s="7">
        <v>18920</v>
      </c>
      <c r="M1483" s="1">
        <v>36</v>
      </c>
      <c r="N1483" s="6">
        <v>7.2700000000000001E-2</v>
      </c>
      <c r="O1483" s="1" t="s">
        <v>52</v>
      </c>
      <c r="P1483" s="1" t="s">
        <v>47</v>
      </c>
      <c r="Q1483" s="1">
        <v>25</v>
      </c>
      <c r="R1483" s="1">
        <v>1</v>
      </c>
      <c r="S1483" s="1" t="s">
        <v>31</v>
      </c>
      <c r="T1483" s="1" t="s">
        <v>31</v>
      </c>
      <c r="U1483" s="1">
        <v>4</v>
      </c>
      <c r="V1483" s="1">
        <v>152931</v>
      </c>
      <c r="W1483" s="7">
        <v>1494.22</v>
      </c>
      <c r="X1483" s="1">
        <v>0.57999999999999996</v>
      </c>
      <c r="Y1483" s="4">
        <v>44445</v>
      </c>
      <c r="Z1483" s="1" t="s">
        <v>32</v>
      </c>
      <c r="AA1483" s="1" t="s">
        <v>33</v>
      </c>
      <c r="AB1483" s="36" t="str" cm="1">
        <f t="array" ref="AB1483">_xlfn.IFS(K1483&gt;650,"LOW",K1483&gt;=550,"MEDIUM",K1483&lt;550,"HIGH")</f>
        <v>HIGH</v>
      </c>
    </row>
    <row r="1484" spans="3:28" x14ac:dyDescent="0.3">
      <c r="C1484" s="35" t="s">
        <v>3042</v>
      </c>
      <c r="D1484" s="1" t="s">
        <v>1069</v>
      </c>
      <c r="E1484" s="1">
        <v>22</v>
      </c>
      <c r="F1484" s="1" t="s">
        <v>44</v>
      </c>
      <c r="G1484" s="1" t="s">
        <v>27</v>
      </c>
      <c r="H1484" s="1" t="s">
        <v>28</v>
      </c>
      <c r="I1484" s="1" t="s">
        <v>57</v>
      </c>
      <c r="J1484" s="7">
        <v>95761</v>
      </c>
      <c r="K1484" s="1">
        <v>443</v>
      </c>
      <c r="L1484" s="7">
        <v>3711</v>
      </c>
      <c r="M1484" s="1">
        <v>48</v>
      </c>
      <c r="N1484" s="6">
        <v>7.8E-2</v>
      </c>
      <c r="O1484" s="1" t="s">
        <v>5</v>
      </c>
      <c r="P1484" s="1" t="s">
        <v>47</v>
      </c>
      <c r="Q1484" s="1">
        <v>23</v>
      </c>
      <c r="R1484" s="1">
        <v>1</v>
      </c>
      <c r="S1484" s="1" t="s">
        <v>33</v>
      </c>
      <c r="T1484" s="1" t="s">
        <v>33</v>
      </c>
      <c r="U1484" s="1">
        <v>0</v>
      </c>
      <c r="V1484" s="1">
        <v>120300</v>
      </c>
      <c r="W1484" s="7">
        <v>1093.53</v>
      </c>
      <c r="X1484" s="1">
        <v>0.59</v>
      </c>
      <c r="Y1484" s="4">
        <v>44697</v>
      </c>
      <c r="Z1484" s="1" t="s">
        <v>38</v>
      </c>
      <c r="AA1484" s="1" t="s">
        <v>33</v>
      </c>
      <c r="AB1484" s="36" t="str" cm="1">
        <f t="array" ref="AB1484">_xlfn.IFS(K1484&gt;650,"LOW",K1484&gt;=550,"MEDIUM",K1484&lt;550,"HIGH")</f>
        <v>HIGH</v>
      </c>
    </row>
    <row r="1485" spans="3:28" x14ac:dyDescent="0.3">
      <c r="C1485" s="35" t="s">
        <v>3200</v>
      </c>
      <c r="D1485" s="1" t="s">
        <v>1224</v>
      </c>
      <c r="E1485" s="1">
        <v>23</v>
      </c>
      <c r="F1485" s="1" t="s">
        <v>26</v>
      </c>
      <c r="G1485" s="1" t="s">
        <v>45</v>
      </c>
      <c r="H1485" s="1" t="s">
        <v>36</v>
      </c>
      <c r="I1485" s="1" t="s">
        <v>59</v>
      </c>
      <c r="J1485" s="7">
        <v>32879</v>
      </c>
      <c r="K1485" s="1">
        <v>443</v>
      </c>
      <c r="L1485" s="7">
        <v>21079</v>
      </c>
      <c r="M1485" s="1">
        <v>60</v>
      </c>
      <c r="N1485" s="6">
        <v>0.16760000000000003</v>
      </c>
      <c r="O1485" s="1" t="s">
        <v>37</v>
      </c>
      <c r="P1485" s="1" t="s">
        <v>50</v>
      </c>
      <c r="Q1485" s="1">
        <v>12</v>
      </c>
      <c r="R1485" s="1">
        <v>2</v>
      </c>
      <c r="S1485" s="1" t="s">
        <v>33</v>
      </c>
      <c r="T1485" s="1" t="s">
        <v>33</v>
      </c>
      <c r="U1485" s="1">
        <v>3</v>
      </c>
      <c r="V1485" s="1">
        <v>28093</v>
      </c>
      <c r="W1485" s="7">
        <v>1291.28</v>
      </c>
      <c r="X1485" s="1">
        <v>0.27</v>
      </c>
      <c r="Y1485" s="4">
        <v>44914</v>
      </c>
      <c r="Z1485" s="1" t="s">
        <v>32</v>
      </c>
      <c r="AA1485" s="1" t="s">
        <v>31</v>
      </c>
      <c r="AB1485" s="36" t="str" cm="1">
        <f t="array" ref="AB1485">_xlfn.IFS(K1485&gt;650,"LOW",K1485&gt;=550,"MEDIUM",K1485&lt;550,"HIGH")</f>
        <v>HIGH</v>
      </c>
    </row>
    <row r="1486" spans="3:28" x14ac:dyDescent="0.3">
      <c r="C1486" s="35" t="s">
        <v>3402</v>
      </c>
      <c r="D1486" s="1" t="s">
        <v>1422</v>
      </c>
      <c r="E1486" s="1">
        <v>38</v>
      </c>
      <c r="F1486" s="1" t="s">
        <v>44</v>
      </c>
      <c r="G1486" s="1" t="s">
        <v>45</v>
      </c>
      <c r="H1486" s="1" t="s">
        <v>61</v>
      </c>
      <c r="I1486" s="1" t="s">
        <v>57</v>
      </c>
      <c r="J1486" s="7">
        <v>140044</v>
      </c>
      <c r="K1486" s="1">
        <v>443</v>
      </c>
      <c r="L1486" s="7">
        <v>28066</v>
      </c>
      <c r="M1486" s="1">
        <v>60</v>
      </c>
      <c r="N1486" s="6">
        <v>0.19620000000000001</v>
      </c>
      <c r="O1486" s="1" t="s">
        <v>63</v>
      </c>
      <c r="P1486" s="1" t="s">
        <v>30</v>
      </c>
      <c r="Q1486" s="1">
        <v>28</v>
      </c>
      <c r="R1486" s="1">
        <v>2</v>
      </c>
      <c r="S1486" s="1" t="s">
        <v>31</v>
      </c>
      <c r="T1486" s="1" t="s">
        <v>33</v>
      </c>
      <c r="U1486" s="1">
        <v>2</v>
      </c>
      <c r="V1486" s="1">
        <v>100369</v>
      </c>
      <c r="W1486" s="7">
        <v>284.87</v>
      </c>
      <c r="X1486" s="1">
        <v>0.94</v>
      </c>
      <c r="Y1486" s="4">
        <v>44696</v>
      </c>
      <c r="Z1486" s="1" t="s">
        <v>32</v>
      </c>
      <c r="AA1486" s="1" t="s">
        <v>31</v>
      </c>
      <c r="AB1486" s="36" t="str" cm="1">
        <f t="array" ref="AB1486">_xlfn.IFS(K1486&gt;650,"LOW",K1486&gt;=550,"MEDIUM",K1486&lt;550,"HIGH")</f>
        <v>HIGH</v>
      </c>
    </row>
    <row r="1487" spans="3:28" x14ac:dyDescent="0.3">
      <c r="C1487" s="35" t="s">
        <v>3446</v>
      </c>
      <c r="D1487" s="1" t="s">
        <v>1464</v>
      </c>
      <c r="E1487" s="1">
        <v>36</v>
      </c>
      <c r="F1487" s="1" t="s">
        <v>26</v>
      </c>
      <c r="G1487" s="1" t="s">
        <v>35</v>
      </c>
      <c r="H1487" s="1" t="s">
        <v>28</v>
      </c>
      <c r="I1487" s="1" t="s">
        <v>57</v>
      </c>
      <c r="J1487" s="7">
        <v>30619</v>
      </c>
      <c r="K1487" s="1">
        <v>443</v>
      </c>
      <c r="L1487" s="7">
        <v>7047</v>
      </c>
      <c r="M1487" s="1">
        <v>48</v>
      </c>
      <c r="N1487" s="6">
        <v>0.16260000000000002</v>
      </c>
      <c r="O1487" s="1" t="s">
        <v>63</v>
      </c>
      <c r="P1487" s="1" t="s">
        <v>50</v>
      </c>
      <c r="Q1487" s="1">
        <v>25</v>
      </c>
      <c r="R1487" s="1">
        <v>2</v>
      </c>
      <c r="S1487" s="1" t="s">
        <v>33</v>
      </c>
      <c r="T1487" s="1" t="s">
        <v>33</v>
      </c>
      <c r="U1487" s="1">
        <v>0</v>
      </c>
      <c r="V1487" s="1">
        <v>143165</v>
      </c>
      <c r="W1487" s="7">
        <v>947</v>
      </c>
      <c r="X1487" s="1">
        <v>0.22</v>
      </c>
      <c r="Y1487" s="4">
        <v>44244</v>
      </c>
      <c r="Z1487" s="1" t="s">
        <v>38</v>
      </c>
      <c r="AA1487" s="1" t="s">
        <v>33</v>
      </c>
      <c r="AB1487" s="36" t="str" cm="1">
        <f t="array" ref="AB1487">_xlfn.IFS(K1487&gt;650,"LOW",K1487&gt;=550,"MEDIUM",K1487&lt;550,"HIGH")</f>
        <v>HIGH</v>
      </c>
    </row>
    <row r="1488" spans="3:28" x14ac:dyDescent="0.3">
      <c r="C1488" s="35" t="s">
        <v>2495</v>
      </c>
      <c r="D1488" s="1" t="s">
        <v>525</v>
      </c>
      <c r="E1488" s="1">
        <v>57</v>
      </c>
      <c r="F1488" s="1" t="s">
        <v>26</v>
      </c>
      <c r="G1488" s="1" t="s">
        <v>27</v>
      </c>
      <c r="H1488" s="1" t="s">
        <v>28</v>
      </c>
      <c r="I1488" s="1" t="s">
        <v>40</v>
      </c>
      <c r="J1488" s="7">
        <v>104003</v>
      </c>
      <c r="K1488" s="1">
        <v>442</v>
      </c>
      <c r="L1488" s="7">
        <v>47624</v>
      </c>
      <c r="M1488" s="1">
        <v>60</v>
      </c>
      <c r="N1488" s="6">
        <v>9.0999999999999998E-2</v>
      </c>
      <c r="O1488" s="1" t="s">
        <v>46</v>
      </c>
      <c r="P1488" s="1" t="s">
        <v>30</v>
      </c>
      <c r="Q1488" s="1">
        <v>24</v>
      </c>
      <c r="R1488" s="1">
        <v>0</v>
      </c>
      <c r="S1488" s="1" t="s">
        <v>33</v>
      </c>
      <c r="T1488" s="1" t="s">
        <v>31</v>
      </c>
      <c r="U1488" s="1">
        <v>3</v>
      </c>
      <c r="V1488" s="1">
        <v>167010</v>
      </c>
      <c r="W1488" s="7">
        <v>1235.06</v>
      </c>
      <c r="X1488" s="1">
        <v>0.9</v>
      </c>
      <c r="Y1488" s="4">
        <v>45271</v>
      </c>
      <c r="Z1488" s="1" t="s">
        <v>38</v>
      </c>
      <c r="AA1488" s="1" t="s">
        <v>33</v>
      </c>
      <c r="AB1488" s="36" t="str" cm="1">
        <f t="array" ref="AB1488">_xlfn.IFS(K1488&gt;650,"LOW",K1488&gt;=550,"MEDIUM",K1488&lt;550,"HIGH")</f>
        <v>HIGH</v>
      </c>
    </row>
    <row r="1489" spans="3:28" x14ac:dyDescent="0.3">
      <c r="C1489" s="35" t="s">
        <v>3288</v>
      </c>
      <c r="D1489" s="1" t="s">
        <v>1311</v>
      </c>
      <c r="E1489" s="1">
        <v>62</v>
      </c>
      <c r="F1489" s="1" t="s">
        <v>26</v>
      </c>
      <c r="G1489" s="1" t="s">
        <v>35</v>
      </c>
      <c r="H1489" s="1" t="s">
        <v>28</v>
      </c>
      <c r="I1489" s="1" t="s">
        <v>57</v>
      </c>
      <c r="J1489" s="7">
        <v>116341</v>
      </c>
      <c r="K1489" s="1">
        <v>442</v>
      </c>
      <c r="L1489" s="7">
        <v>36338</v>
      </c>
      <c r="M1489" s="1">
        <v>36</v>
      </c>
      <c r="N1489" s="6">
        <v>5.7200000000000001E-2</v>
      </c>
      <c r="O1489" s="1" t="s">
        <v>52</v>
      </c>
      <c r="P1489" s="1" t="s">
        <v>30</v>
      </c>
      <c r="Q1489" s="1">
        <v>28</v>
      </c>
      <c r="R1489" s="1">
        <v>0</v>
      </c>
      <c r="S1489" s="1" t="s">
        <v>31</v>
      </c>
      <c r="T1489" s="1" t="s">
        <v>33</v>
      </c>
      <c r="U1489" s="1">
        <v>0</v>
      </c>
      <c r="V1489" s="1">
        <v>168923</v>
      </c>
      <c r="W1489" s="7">
        <v>1458.14</v>
      </c>
      <c r="X1489" s="1">
        <v>0.6</v>
      </c>
      <c r="Y1489" s="4">
        <v>44245</v>
      </c>
      <c r="Z1489" s="1" t="s">
        <v>38</v>
      </c>
      <c r="AA1489" s="1" t="s">
        <v>33</v>
      </c>
      <c r="AB1489" s="36" t="str" cm="1">
        <f t="array" ref="AB1489">_xlfn.IFS(K1489&gt;650,"LOW",K1489&gt;=550,"MEDIUM",K1489&lt;550,"HIGH")</f>
        <v>HIGH</v>
      </c>
    </row>
    <row r="1490" spans="3:28" x14ac:dyDescent="0.3">
      <c r="C1490" s="35" t="s">
        <v>2492</v>
      </c>
      <c r="D1490" s="1" t="s">
        <v>522</v>
      </c>
      <c r="E1490" s="1">
        <v>53</v>
      </c>
      <c r="F1490" s="1" t="s">
        <v>26</v>
      </c>
      <c r="G1490" s="1" t="s">
        <v>56</v>
      </c>
      <c r="H1490" s="1" t="s">
        <v>28</v>
      </c>
      <c r="I1490" s="1" t="s">
        <v>59</v>
      </c>
      <c r="J1490" s="7">
        <v>118850</v>
      </c>
      <c r="K1490" s="1">
        <v>441</v>
      </c>
      <c r="L1490" s="7">
        <v>16250</v>
      </c>
      <c r="M1490" s="1">
        <v>60</v>
      </c>
      <c r="N1490" s="6">
        <v>0.11109999999999999</v>
      </c>
      <c r="O1490" s="1" t="s">
        <v>63</v>
      </c>
      <c r="P1490" s="1" t="s">
        <v>30</v>
      </c>
      <c r="Q1490" s="1">
        <v>16</v>
      </c>
      <c r="R1490" s="1">
        <v>3</v>
      </c>
      <c r="S1490" s="1" t="s">
        <v>31</v>
      </c>
      <c r="T1490" s="1" t="s">
        <v>31</v>
      </c>
      <c r="U1490" s="1">
        <v>1</v>
      </c>
      <c r="V1490" s="1">
        <v>79584</v>
      </c>
      <c r="W1490" s="7">
        <v>513.15</v>
      </c>
      <c r="X1490" s="1">
        <v>0.97</v>
      </c>
      <c r="Y1490" s="4">
        <v>45753</v>
      </c>
      <c r="Z1490" s="1" t="s">
        <v>38</v>
      </c>
      <c r="AA1490" s="1" t="s">
        <v>31</v>
      </c>
      <c r="AB1490" s="36" t="str" cm="1">
        <f t="array" ref="AB1490">_xlfn.IFS(K1490&gt;650,"LOW",K1490&gt;=550,"MEDIUM",K1490&lt;550,"HIGH")</f>
        <v>HIGH</v>
      </c>
    </row>
    <row r="1491" spans="3:28" x14ac:dyDescent="0.3">
      <c r="C1491" s="35" t="s">
        <v>3040</v>
      </c>
      <c r="D1491" s="1" t="s">
        <v>1067</v>
      </c>
      <c r="E1491" s="1">
        <v>24</v>
      </c>
      <c r="F1491" s="1" t="s">
        <v>26</v>
      </c>
      <c r="G1491" s="1" t="s">
        <v>45</v>
      </c>
      <c r="H1491" s="1" t="s">
        <v>54</v>
      </c>
      <c r="I1491" s="1" t="s">
        <v>59</v>
      </c>
      <c r="J1491" s="7">
        <v>56901</v>
      </c>
      <c r="K1491" s="1">
        <v>441</v>
      </c>
      <c r="L1491" s="7">
        <v>32541</v>
      </c>
      <c r="M1491" s="1">
        <v>60</v>
      </c>
      <c r="N1491" s="6">
        <v>0.13109999999999999</v>
      </c>
      <c r="O1491" s="1" t="s">
        <v>5</v>
      </c>
      <c r="P1491" s="1" t="s">
        <v>47</v>
      </c>
      <c r="Q1491" s="1">
        <v>27</v>
      </c>
      <c r="R1491" s="1">
        <v>2</v>
      </c>
      <c r="S1491" s="1" t="s">
        <v>33</v>
      </c>
      <c r="T1491" s="1" t="s">
        <v>33</v>
      </c>
      <c r="U1491" s="1">
        <v>3</v>
      </c>
      <c r="V1491" s="1">
        <v>168097</v>
      </c>
      <c r="W1491" s="7">
        <v>1630.29</v>
      </c>
      <c r="X1491" s="1">
        <v>0.37</v>
      </c>
      <c r="Y1491" s="4">
        <v>44437</v>
      </c>
      <c r="Z1491" s="1" t="s">
        <v>32</v>
      </c>
      <c r="AA1491" s="1" t="s">
        <v>31</v>
      </c>
      <c r="AB1491" s="36" t="str" cm="1">
        <f t="array" ref="AB1491">_xlfn.IFS(K1491&gt;650,"LOW",K1491&gt;=550,"MEDIUM",K1491&lt;550,"HIGH")</f>
        <v>HIGH</v>
      </c>
    </row>
    <row r="1492" spans="3:28" x14ac:dyDescent="0.3">
      <c r="C1492" s="35" t="s">
        <v>3537</v>
      </c>
      <c r="D1492" s="1" t="s">
        <v>1554</v>
      </c>
      <c r="E1492" s="1">
        <v>46</v>
      </c>
      <c r="F1492" s="1" t="s">
        <v>26</v>
      </c>
      <c r="G1492" s="1" t="s">
        <v>35</v>
      </c>
      <c r="H1492" s="1" t="s">
        <v>36</v>
      </c>
      <c r="I1492" s="1" t="s">
        <v>59</v>
      </c>
      <c r="J1492" s="7">
        <v>57679</v>
      </c>
      <c r="K1492" s="1">
        <v>441</v>
      </c>
      <c r="L1492" s="7">
        <v>28631</v>
      </c>
      <c r="M1492" s="1">
        <v>48</v>
      </c>
      <c r="N1492" s="6">
        <v>7.9500000000000001E-2</v>
      </c>
      <c r="O1492" s="1" t="s">
        <v>5</v>
      </c>
      <c r="P1492" s="1" t="s">
        <v>47</v>
      </c>
      <c r="Q1492" s="1">
        <v>4</v>
      </c>
      <c r="R1492" s="1">
        <v>0</v>
      </c>
      <c r="S1492" s="1" t="s">
        <v>31</v>
      </c>
      <c r="T1492" s="1" t="s">
        <v>31</v>
      </c>
      <c r="U1492" s="1">
        <v>2</v>
      </c>
      <c r="V1492" s="1">
        <v>92519</v>
      </c>
      <c r="W1492" s="7">
        <v>1370.73</v>
      </c>
      <c r="X1492" s="1">
        <v>0.41</v>
      </c>
      <c r="Y1492" s="4">
        <v>44529</v>
      </c>
      <c r="Z1492" s="1" t="s">
        <v>32</v>
      </c>
      <c r="AA1492" s="1" t="s">
        <v>31</v>
      </c>
      <c r="AB1492" s="36" t="str" cm="1">
        <f t="array" ref="AB1492">_xlfn.IFS(K1492&gt;650,"LOW",K1492&gt;=550,"MEDIUM",K1492&lt;550,"HIGH")</f>
        <v>HIGH</v>
      </c>
    </row>
    <row r="1493" spans="3:28" x14ac:dyDescent="0.3">
      <c r="C1493" s="35" t="s">
        <v>2118</v>
      </c>
      <c r="D1493" s="1" t="s">
        <v>149</v>
      </c>
      <c r="E1493" s="1">
        <v>55</v>
      </c>
      <c r="F1493" s="1" t="s">
        <v>26</v>
      </c>
      <c r="G1493" s="1" t="s">
        <v>56</v>
      </c>
      <c r="H1493" s="1" t="s">
        <v>54</v>
      </c>
      <c r="I1493" s="1" t="s">
        <v>40</v>
      </c>
      <c r="J1493" s="7">
        <v>64786</v>
      </c>
      <c r="K1493" s="1">
        <v>440</v>
      </c>
      <c r="L1493" s="7">
        <v>44663</v>
      </c>
      <c r="M1493" s="1">
        <v>60</v>
      </c>
      <c r="N1493" s="6">
        <v>8.9499999999999996E-2</v>
      </c>
      <c r="O1493" s="1" t="s">
        <v>41</v>
      </c>
      <c r="P1493" s="1" t="s">
        <v>50</v>
      </c>
      <c r="Q1493" s="1">
        <v>17</v>
      </c>
      <c r="R1493" s="1">
        <v>3</v>
      </c>
      <c r="S1493" s="1" t="s">
        <v>33</v>
      </c>
      <c r="T1493" s="1" t="s">
        <v>33</v>
      </c>
      <c r="U1493" s="1">
        <v>4</v>
      </c>
      <c r="V1493" s="1">
        <v>155428</v>
      </c>
      <c r="W1493" s="7">
        <v>342.46</v>
      </c>
      <c r="X1493" s="1">
        <v>0.97</v>
      </c>
      <c r="Y1493" s="4">
        <v>44230</v>
      </c>
      <c r="Z1493" s="1" t="s">
        <v>32</v>
      </c>
      <c r="AA1493" s="1" t="s">
        <v>33</v>
      </c>
      <c r="AB1493" s="36" t="str" cm="1">
        <f t="array" ref="AB1493">_xlfn.IFS(K1493&gt;650,"LOW",K1493&gt;=550,"MEDIUM",K1493&lt;550,"HIGH")</f>
        <v>HIGH</v>
      </c>
    </row>
    <row r="1494" spans="3:28" x14ac:dyDescent="0.3">
      <c r="C1494" s="35" t="s">
        <v>2166</v>
      </c>
      <c r="D1494" s="1" t="s">
        <v>197</v>
      </c>
      <c r="E1494" s="1">
        <v>35</v>
      </c>
      <c r="F1494" s="1" t="s">
        <v>44</v>
      </c>
      <c r="G1494" s="1" t="s">
        <v>35</v>
      </c>
      <c r="H1494" s="1" t="s">
        <v>28</v>
      </c>
      <c r="I1494" s="1" t="s">
        <v>29</v>
      </c>
      <c r="J1494" s="7">
        <v>125185</v>
      </c>
      <c r="K1494" s="1">
        <v>440</v>
      </c>
      <c r="L1494" s="7">
        <v>18140</v>
      </c>
      <c r="M1494" s="1">
        <v>24</v>
      </c>
      <c r="N1494" s="6">
        <v>0.08</v>
      </c>
      <c r="O1494" s="1" t="s">
        <v>52</v>
      </c>
      <c r="P1494" s="1" t="s">
        <v>30</v>
      </c>
      <c r="Q1494" s="1">
        <v>24</v>
      </c>
      <c r="R1494" s="1">
        <v>3</v>
      </c>
      <c r="S1494" s="1" t="s">
        <v>31</v>
      </c>
      <c r="T1494" s="1" t="s">
        <v>31</v>
      </c>
      <c r="U1494" s="1">
        <v>1</v>
      </c>
      <c r="V1494" s="1">
        <v>157979</v>
      </c>
      <c r="W1494" s="7">
        <v>1706.3</v>
      </c>
      <c r="X1494" s="1">
        <v>0.88</v>
      </c>
      <c r="Y1494" s="4">
        <v>45319</v>
      </c>
      <c r="Z1494" s="1" t="s">
        <v>32</v>
      </c>
      <c r="AA1494" s="1" t="s">
        <v>33</v>
      </c>
      <c r="AB1494" s="36" t="str" cm="1">
        <f t="array" ref="AB1494">_xlfn.IFS(K1494&gt;650,"LOW",K1494&gt;=550,"MEDIUM",K1494&lt;550,"HIGH")</f>
        <v>HIGH</v>
      </c>
    </row>
    <row r="1495" spans="3:28" x14ac:dyDescent="0.3">
      <c r="C1495" s="35" t="s">
        <v>2835</v>
      </c>
      <c r="D1495" s="1" t="s">
        <v>863</v>
      </c>
      <c r="E1495" s="1">
        <v>56</v>
      </c>
      <c r="F1495" s="1" t="s">
        <v>44</v>
      </c>
      <c r="G1495" s="1" t="s">
        <v>27</v>
      </c>
      <c r="H1495" s="1" t="s">
        <v>61</v>
      </c>
      <c r="I1495" s="1" t="s">
        <v>40</v>
      </c>
      <c r="J1495" s="7">
        <v>85641</v>
      </c>
      <c r="K1495" s="1">
        <v>440</v>
      </c>
      <c r="L1495" s="7">
        <v>33283</v>
      </c>
      <c r="M1495" s="1">
        <v>48</v>
      </c>
      <c r="N1495" s="6">
        <v>0.18859999999999999</v>
      </c>
      <c r="O1495" s="1" t="s">
        <v>41</v>
      </c>
      <c r="P1495" s="1" t="s">
        <v>47</v>
      </c>
      <c r="Q1495" s="1">
        <v>16</v>
      </c>
      <c r="R1495" s="1">
        <v>2</v>
      </c>
      <c r="S1495" s="1" t="s">
        <v>31</v>
      </c>
      <c r="T1495" s="1" t="s">
        <v>31</v>
      </c>
      <c r="U1495" s="1">
        <v>4</v>
      </c>
      <c r="V1495" s="1">
        <v>108814</v>
      </c>
      <c r="W1495" s="7">
        <v>882.51</v>
      </c>
      <c r="X1495" s="1">
        <v>0.7</v>
      </c>
      <c r="Y1495" s="4">
        <v>44439</v>
      </c>
      <c r="Z1495" s="1" t="s">
        <v>38</v>
      </c>
      <c r="AA1495" s="1" t="s">
        <v>33</v>
      </c>
      <c r="AB1495" s="36" t="str" cm="1">
        <f t="array" ref="AB1495">_xlfn.IFS(K1495&gt;650,"LOW",K1495&gt;=550,"MEDIUM",K1495&lt;550,"HIGH")</f>
        <v>HIGH</v>
      </c>
    </row>
    <row r="1496" spans="3:28" x14ac:dyDescent="0.3">
      <c r="C1496" s="35" t="s">
        <v>3377</v>
      </c>
      <c r="D1496" s="1" t="s">
        <v>1398</v>
      </c>
      <c r="E1496" s="1">
        <v>46</v>
      </c>
      <c r="F1496" s="1" t="s">
        <v>26</v>
      </c>
      <c r="G1496" s="1" t="s">
        <v>45</v>
      </c>
      <c r="H1496" s="1" t="s">
        <v>36</v>
      </c>
      <c r="I1496" s="1" t="s">
        <v>59</v>
      </c>
      <c r="J1496" s="7">
        <v>144891</v>
      </c>
      <c r="K1496" s="1">
        <v>440</v>
      </c>
      <c r="L1496" s="7">
        <v>10797</v>
      </c>
      <c r="M1496" s="1">
        <v>48</v>
      </c>
      <c r="N1496" s="6">
        <v>5.45E-2</v>
      </c>
      <c r="O1496" s="1" t="s">
        <v>37</v>
      </c>
      <c r="P1496" s="1" t="s">
        <v>47</v>
      </c>
      <c r="Q1496" s="1">
        <v>12</v>
      </c>
      <c r="R1496" s="1">
        <v>0</v>
      </c>
      <c r="S1496" s="1" t="s">
        <v>31</v>
      </c>
      <c r="T1496" s="1" t="s">
        <v>33</v>
      </c>
      <c r="U1496" s="1">
        <v>2</v>
      </c>
      <c r="V1496" s="1">
        <v>82485</v>
      </c>
      <c r="W1496" s="7">
        <v>921.1</v>
      </c>
      <c r="X1496" s="1">
        <v>0.39</v>
      </c>
      <c r="Y1496" s="4">
        <v>44212</v>
      </c>
      <c r="Z1496" s="1" t="s">
        <v>32</v>
      </c>
      <c r="AA1496" s="1" t="s">
        <v>31</v>
      </c>
      <c r="AB1496" s="36" t="str" cm="1">
        <f t="array" ref="AB1496">_xlfn.IFS(K1496&gt;650,"LOW",K1496&gt;=550,"MEDIUM",K1496&lt;550,"HIGH")</f>
        <v>HIGH</v>
      </c>
    </row>
    <row r="1497" spans="3:28" x14ac:dyDescent="0.3">
      <c r="C1497" s="35" t="s">
        <v>3918</v>
      </c>
      <c r="D1497" s="1" t="s">
        <v>1922</v>
      </c>
      <c r="E1497" s="1">
        <v>63</v>
      </c>
      <c r="F1497" s="1" t="s">
        <v>26</v>
      </c>
      <c r="G1497" s="1" t="s">
        <v>27</v>
      </c>
      <c r="H1497" s="1" t="s">
        <v>28</v>
      </c>
      <c r="I1497" s="1" t="s">
        <v>59</v>
      </c>
      <c r="J1497" s="7">
        <v>119279</v>
      </c>
      <c r="K1497" s="1">
        <v>439</v>
      </c>
      <c r="L1497" s="7">
        <v>43903</v>
      </c>
      <c r="M1497" s="1">
        <v>12</v>
      </c>
      <c r="N1497" s="6">
        <v>0.10630000000000001</v>
      </c>
      <c r="O1497" s="1" t="s">
        <v>52</v>
      </c>
      <c r="P1497" s="1" t="s">
        <v>50</v>
      </c>
      <c r="Q1497" s="1">
        <v>29</v>
      </c>
      <c r="R1497" s="1">
        <v>4</v>
      </c>
      <c r="S1497" s="1" t="s">
        <v>31</v>
      </c>
      <c r="T1497" s="1" t="s">
        <v>31</v>
      </c>
      <c r="U1497" s="1">
        <v>0</v>
      </c>
      <c r="V1497" s="1">
        <v>61666</v>
      </c>
      <c r="W1497" s="7">
        <v>1317.09</v>
      </c>
      <c r="X1497" s="1">
        <v>0.72</v>
      </c>
      <c r="Y1497" s="4">
        <v>44062</v>
      </c>
      <c r="Z1497" s="1" t="s">
        <v>38</v>
      </c>
      <c r="AA1497" s="1" t="s">
        <v>33</v>
      </c>
      <c r="AB1497" s="36" t="str" cm="1">
        <f t="array" ref="AB1497">_xlfn.IFS(K1497&gt;650,"LOW",K1497&gt;=550,"MEDIUM",K1497&lt;550,"HIGH")</f>
        <v>HIGH</v>
      </c>
    </row>
    <row r="1498" spans="3:28" x14ac:dyDescent="0.3">
      <c r="C1498" s="35" t="s">
        <v>2079</v>
      </c>
      <c r="D1498" s="1" t="s">
        <v>110</v>
      </c>
      <c r="E1498" s="1">
        <v>22</v>
      </c>
      <c r="F1498" s="1" t="s">
        <v>26</v>
      </c>
      <c r="G1498" s="1" t="s">
        <v>27</v>
      </c>
      <c r="H1498" s="1" t="s">
        <v>36</v>
      </c>
      <c r="I1498" s="1" t="s">
        <v>59</v>
      </c>
      <c r="J1498" s="7">
        <v>134584</v>
      </c>
      <c r="K1498" s="1">
        <v>438</v>
      </c>
      <c r="L1498" s="7">
        <v>12244</v>
      </c>
      <c r="M1498" s="1">
        <v>60</v>
      </c>
      <c r="N1498" s="6">
        <v>0.19399999999999998</v>
      </c>
      <c r="O1498" s="1" t="s">
        <v>46</v>
      </c>
      <c r="P1498" s="1" t="s">
        <v>30</v>
      </c>
      <c r="Q1498" s="1">
        <v>19</v>
      </c>
      <c r="R1498" s="1">
        <v>2</v>
      </c>
      <c r="S1498" s="1" t="s">
        <v>33</v>
      </c>
      <c r="T1498" s="1" t="s">
        <v>33</v>
      </c>
      <c r="U1498" s="1">
        <v>3</v>
      </c>
      <c r="V1498" s="1">
        <v>120087</v>
      </c>
      <c r="W1498" s="7">
        <v>283.64</v>
      </c>
      <c r="X1498" s="1">
        <v>1</v>
      </c>
      <c r="Y1498" s="4">
        <v>44064</v>
      </c>
      <c r="Z1498" s="1" t="s">
        <v>38</v>
      </c>
      <c r="AA1498" s="1" t="s">
        <v>31</v>
      </c>
      <c r="AB1498" s="36" t="str" cm="1">
        <f t="array" ref="AB1498">_xlfn.IFS(K1498&gt;650,"LOW",K1498&gt;=550,"MEDIUM",K1498&lt;550,"HIGH")</f>
        <v>HIGH</v>
      </c>
    </row>
    <row r="1499" spans="3:28" x14ac:dyDescent="0.3">
      <c r="C1499" s="35" t="s">
        <v>2383</v>
      </c>
      <c r="D1499" s="1" t="s">
        <v>413</v>
      </c>
      <c r="E1499" s="1">
        <v>44</v>
      </c>
      <c r="F1499" s="1" t="s">
        <v>44</v>
      </c>
      <c r="G1499" s="1" t="s">
        <v>45</v>
      </c>
      <c r="H1499" s="1" t="s">
        <v>54</v>
      </c>
      <c r="I1499" s="1" t="s">
        <v>29</v>
      </c>
      <c r="J1499" s="7">
        <v>85602</v>
      </c>
      <c r="K1499" s="1">
        <v>438</v>
      </c>
      <c r="L1499" s="7">
        <v>22516</v>
      </c>
      <c r="M1499" s="1">
        <v>36</v>
      </c>
      <c r="N1499" s="6">
        <v>0.18390000000000001</v>
      </c>
      <c r="O1499" s="1" t="s">
        <v>63</v>
      </c>
      <c r="P1499" s="1" t="s">
        <v>47</v>
      </c>
      <c r="Q1499" s="1">
        <v>11</v>
      </c>
      <c r="R1499" s="1">
        <v>4</v>
      </c>
      <c r="S1499" s="1" t="s">
        <v>31</v>
      </c>
      <c r="T1499" s="1" t="s">
        <v>33</v>
      </c>
      <c r="U1499" s="1">
        <v>1</v>
      </c>
      <c r="V1499" s="1">
        <v>155356</v>
      </c>
      <c r="W1499" s="7">
        <v>1344.7</v>
      </c>
      <c r="X1499" s="1">
        <v>0.95</v>
      </c>
      <c r="Y1499" s="4">
        <v>45057</v>
      </c>
      <c r="Z1499" s="1" t="s">
        <v>32</v>
      </c>
      <c r="AA1499" s="1" t="s">
        <v>33</v>
      </c>
      <c r="AB1499" s="36" t="str" cm="1">
        <f t="array" ref="AB1499">_xlfn.IFS(K1499&gt;650,"LOW",K1499&gt;=550,"MEDIUM",K1499&lt;550,"HIGH")</f>
        <v>HIGH</v>
      </c>
    </row>
    <row r="1500" spans="3:28" x14ac:dyDescent="0.3">
      <c r="C1500" s="35" t="s">
        <v>2464</v>
      </c>
      <c r="D1500" s="1" t="s">
        <v>494</v>
      </c>
      <c r="E1500" s="1">
        <v>59</v>
      </c>
      <c r="F1500" s="1" t="s">
        <v>44</v>
      </c>
      <c r="G1500" s="1" t="s">
        <v>45</v>
      </c>
      <c r="H1500" s="1" t="s">
        <v>61</v>
      </c>
      <c r="I1500" s="1" t="s">
        <v>40</v>
      </c>
      <c r="J1500" s="7">
        <v>133606</v>
      </c>
      <c r="K1500" s="1">
        <v>438</v>
      </c>
      <c r="L1500" s="7">
        <v>4536</v>
      </c>
      <c r="M1500" s="1">
        <v>36</v>
      </c>
      <c r="N1500" s="6">
        <v>8.6500000000000007E-2</v>
      </c>
      <c r="O1500" s="1" t="s">
        <v>46</v>
      </c>
      <c r="P1500" s="1" t="s">
        <v>50</v>
      </c>
      <c r="Q1500" s="1">
        <v>4</v>
      </c>
      <c r="R1500" s="1">
        <v>3</v>
      </c>
      <c r="S1500" s="1" t="s">
        <v>33</v>
      </c>
      <c r="T1500" s="1" t="s">
        <v>33</v>
      </c>
      <c r="U1500" s="1">
        <v>3</v>
      </c>
      <c r="V1500" s="1">
        <v>141533</v>
      </c>
      <c r="W1500" s="7">
        <v>1969.83</v>
      </c>
      <c r="X1500" s="1">
        <v>0.87</v>
      </c>
      <c r="Y1500" s="4">
        <v>44820</v>
      </c>
      <c r="Z1500" s="1" t="s">
        <v>32</v>
      </c>
      <c r="AA1500" s="1" t="s">
        <v>31</v>
      </c>
      <c r="AB1500" s="36" t="str" cm="1">
        <f t="array" ref="AB1500">_xlfn.IFS(K1500&gt;650,"LOW",K1500&gt;=550,"MEDIUM",K1500&lt;550,"HIGH")</f>
        <v>HIGH</v>
      </c>
    </row>
    <row r="1501" spans="3:28" x14ac:dyDescent="0.3">
      <c r="C1501" s="35" t="s">
        <v>2837</v>
      </c>
      <c r="D1501" s="1" t="s">
        <v>865</v>
      </c>
      <c r="E1501" s="1">
        <v>28</v>
      </c>
      <c r="F1501" s="1" t="s">
        <v>44</v>
      </c>
      <c r="G1501" s="1" t="s">
        <v>56</v>
      </c>
      <c r="H1501" s="1" t="s">
        <v>36</v>
      </c>
      <c r="I1501" s="1" t="s">
        <v>57</v>
      </c>
      <c r="J1501" s="7">
        <v>106673</v>
      </c>
      <c r="K1501" s="1">
        <v>438</v>
      </c>
      <c r="L1501" s="7">
        <v>39995</v>
      </c>
      <c r="M1501" s="1">
        <v>60</v>
      </c>
      <c r="N1501" s="6">
        <v>0.12539999999999998</v>
      </c>
      <c r="O1501" s="1" t="s">
        <v>63</v>
      </c>
      <c r="P1501" s="1" t="s">
        <v>30</v>
      </c>
      <c r="Q1501" s="1">
        <v>26</v>
      </c>
      <c r="R1501" s="1">
        <v>4</v>
      </c>
      <c r="S1501" s="1" t="s">
        <v>33</v>
      </c>
      <c r="T1501" s="1" t="s">
        <v>31</v>
      </c>
      <c r="U1501" s="1">
        <v>2</v>
      </c>
      <c r="V1501" s="1">
        <v>166265</v>
      </c>
      <c r="W1501" s="7">
        <v>1147.3</v>
      </c>
      <c r="X1501" s="1">
        <v>0.13</v>
      </c>
      <c r="Y1501" s="4">
        <v>45686</v>
      </c>
      <c r="Z1501" s="1" t="s">
        <v>38</v>
      </c>
      <c r="AA1501" s="1" t="s">
        <v>33</v>
      </c>
      <c r="AB1501" s="36" t="str" cm="1">
        <f t="array" ref="AB1501">_xlfn.IFS(K1501&gt;650,"LOW",K1501&gt;=550,"MEDIUM",K1501&lt;550,"HIGH")</f>
        <v>HIGH</v>
      </c>
    </row>
    <row r="1502" spans="3:28" x14ac:dyDescent="0.3">
      <c r="C1502" s="35" t="s">
        <v>2890</v>
      </c>
      <c r="D1502" s="1" t="s">
        <v>918</v>
      </c>
      <c r="E1502" s="1">
        <v>54</v>
      </c>
      <c r="F1502" s="1" t="s">
        <v>26</v>
      </c>
      <c r="G1502" s="1" t="s">
        <v>45</v>
      </c>
      <c r="H1502" s="1" t="s">
        <v>54</v>
      </c>
      <c r="I1502" s="1" t="s">
        <v>57</v>
      </c>
      <c r="J1502" s="7">
        <v>112918</v>
      </c>
      <c r="K1502" s="1">
        <v>438</v>
      </c>
      <c r="L1502" s="7">
        <v>29415</v>
      </c>
      <c r="M1502" s="1">
        <v>60</v>
      </c>
      <c r="N1502" s="6">
        <v>5.1200000000000002E-2</v>
      </c>
      <c r="O1502" s="1" t="s">
        <v>5</v>
      </c>
      <c r="P1502" s="1" t="s">
        <v>47</v>
      </c>
      <c r="Q1502" s="1">
        <v>2</v>
      </c>
      <c r="R1502" s="1">
        <v>4</v>
      </c>
      <c r="S1502" s="1" t="s">
        <v>31</v>
      </c>
      <c r="T1502" s="1" t="s">
        <v>33</v>
      </c>
      <c r="U1502" s="1">
        <v>2</v>
      </c>
      <c r="V1502" s="1">
        <v>137312</v>
      </c>
      <c r="W1502" s="7">
        <v>370.33</v>
      </c>
      <c r="X1502" s="1">
        <v>0.68</v>
      </c>
      <c r="Y1502" s="4">
        <v>44814</v>
      </c>
      <c r="Z1502" s="1" t="s">
        <v>32</v>
      </c>
      <c r="AA1502" s="1" t="s">
        <v>31</v>
      </c>
      <c r="AB1502" s="36" t="str" cm="1">
        <f t="array" ref="AB1502">_xlfn.IFS(K1502&gt;650,"LOW",K1502&gt;=550,"MEDIUM",K1502&lt;550,"HIGH")</f>
        <v>HIGH</v>
      </c>
    </row>
    <row r="1503" spans="3:28" x14ac:dyDescent="0.3">
      <c r="C1503" s="35" t="s">
        <v>3517</v>
      </c>
      <c r="D1503" s="1" t="s">
        <v>1534</v>
      </c>
      <c r="E1503" s="1">
        <v>48</v>
      </c>
      <c r="F1503" s="1" t="s">
        <v>26</v>
      </c>
      <c r="G1503" s="1" t="s">
        <v>56</v>
      </c>
      <c r="H1503" s="1" t="s">
        <v>61</v>
      </c>
      <c r="I1503" s="1" t="s">
        <v>59</v>
      </c>
      <c r="J1503" s="7">
        <v>94991</v>
      </c>
      <c r="K1503" s="1">
        <v>438</v>
      </c>
      <c r="L1503" s="7">
        <v>23796</v>
      </c>
      <c r="M1503" s="1">
        <v>60</v>
      </c>
      <c r="N1503" s="6">
        <v>0.12520000000000001</v>
      </c>
      <c r="O1503" s="1" t="s">
        <v>37</v>
      </c>
      <c r="P1503" s="1" t="s">
        <v>47</v>
      </c>
      <c r="Q1503" s="1">
        <v>29</v>
      </c>
      <c r="R1503" s="1">
        <v>0</v>
      </c>
      <c r="S1503" s="1" t="s">
        <v>31</v>
      </c>
      <c r="T1503" s="1" t="s">
        <v>31</v>
      </c>
      <c r="U1503" s="1">
        <v>2</v>
      </c>
      <c r="V1503" s="1">
        <v>69051</v>
      </c>
      <c r="W1503" s="7">
        <v>1327.29</v>
      </c>
      <c r="X1503" s="1">
        <v>0.32</v>
      </c>
      <c r="Y1503" s="4">
        <v>44608</v>
      </c>
      <c r="Z1503" s="1" t="s">
        <v>32</v>
      </c>
      <c r="AA1503" s="1" t="s">
        <v>31</v>
      </c>
      <c r="AB1503" s="36" t="str" cm="1">
        <f t="array" ref="AB1503">_xlfn.IFS(K1503&gt;650,"LOW",K1503&gt;=550,"MEDIUM",K1503&lt;550,"HIGH")</f>
        <v>HIGH</v>
      </c>
    </row>
    <row r="1504" spans="3:28" x14ac:dyDescent="0.3">
      <c r="C1504" s="35" t="s">
        <v>3909</v>
      </c>
      <c r="D1504" s="1" t="s">
        <v>1913</v>
      </c>
      <c r="E1504" s="1">
        <v>21</v>
      </c>
      <c r="F1504" s="1" t="s">
        <v>26</v>
      </c>
      <c r="G1504" s="1" t="s">
        <v>56</v>
      </c>
      <c r="H1504" s="1" t="s">
        <v>54</v>
      </c>
      <c r="I1504" s="1" t="s">
        <v>59</v>
      </c>
      <c r="J1504" s="7">
        <v>53349</v>
      </c>
      <c r="K1504" s="1">
        <v>438</v>
      </c>
      <c r="L1504" s="7">
        <v>29152</v>
      </c>
      <c r="M1504" s="1">
        <v>12</v>
      </c>
      <c r="N1504" s="6">
        <v>7.0599999999999996E-2</v>
      </c>
      <c r="O1504" s="1" t="s">
        <v>52</v>
      </c>
      <c r="P1504" s="1" t="s">
        <v>47</v>
      </c>
      <c r="Q1504" s="1">
        <v>20</v>
      </c>
      <c r="R1504" s="1">
        <v>0</v>
      </c>
      <c r="S1504" s="1" t="s">
        <v>31</v>
      </c>
      <c r="T1504" s="1" t="s">
        <v>31</v>
      </c>
      <c r="U1504" s="1">
        <v>0</v>
      </c>
      <c r="V1504" s="1">
        <v>70779</v>
      </c>
      <c r="W1504" s="7">
        <v>727.44</v>
      </c>
      <c r="X1504" s="1">
        <v>0.55000000000000004</v>
      </c>
      <c r="Y1504" s="4">
        <v>45307</v>
      </c>
      <c r="Z1504" s="1" t="s">
        <v>38</v>
      </c>
      <c r="AA1504" s="1" t="s">
        <v>31</v>
      </c>
      <c r="AB1504" s="36" t="str" cm="1">
        <f t="array" ref="AB1504">_xlfn.IFS(K1504&gt;650,"LOW",K1504&gt;=550,"MEDIUM",K1504&lt;550,"HIGH")</f>
        <v>HIGH</v>
      </c>
    </row>
    <row r="1505" spans="3:28" x14ac:dyDescent="0.3">
      <c r="C1505" s="35" t="s">
        <v>2020</v>
      </c>
      <c r="D1505" s="1" t="s">
        <v>25</v>
      </c>
      <c r="E1505" s="1">
        <v>59</v>
      </c>
      <c r="F1505" s="1" t="s">
        <v>26</v>
      </c>
      <c r="G1505" s="1" t="s">
        <v>27</v>
      </c>
      <c r="H1505" s="1" t="s">
        <v>28</v>
      </c>
      <c r="I1505" s="1" t="s">
        <v>29</v>
      </c>
      <c r="J1505" s="7">
        <v>95118</v>
      </c>
      <c r="K1505" s="1">
        <v>437</v>
      </c>
      <c r="L1505" s="7">
        <v>13026</v>
      </c>
      <c r="M1505" s="1">
        <v>24</v>
      </c>
      <c r="N1505" s="6">
        <v>0.15869999999999998</v>
      </c>
      <c r="O1505" s="1" t="s">
        <v>5</v>
      </c>
      <c r="P1505" s="1" t="s">
        <v>30</v>
      </c>
      <c r="Q1505" s="1">
        <v>27</v>
      </c>
      <c r="R1505" s="1">
        <v>0</v>
      </c>
      <c r="S1505" s="1" t="s">
        <v>31</v>
      </c>
      <c r="T1505" s="1" t="s">
        <v>31</v>
      </c>
      <c r="U1505" s="1">
        <v>3</v>
      </c>
      <c r="V1505" s="1">
        <v>145482</v>
      </c>
      <c r="W1505" s="7">
        <v>1676.51</v>
      </c>
      <c r="X1505" s="1">
        <v>0.4</v>
      </c>
      <c r="Y1505" s="4">
        <v>44918</v>
      </c>
      <c r="Z1505" s="1" t="s">
        <v>32</v>
      </c>
      <c r="AA1505" s="1" t="s">
        <v>33</v>
      </c>
      <c r="AB1505" s="36" t="str" cm="1">
        <f t="array" ref="AB1505">_xlfn.IFS(K1505&gt;650,"LOW",K1505&gt;=550,"MEDIUM",K1505&lt;550,"HIGH")</f>
        <v>HIGH</v>
      </c>
    </row>
    <row r="1506" spans="3:28" x14ac:dyDescent="0.3">
      <c r="C1506" s="35" t="s">
        <v>2182</v>
      </c>
      <c r="D1506" s="1" t="s">
        <v>213</v>
      </c>
      <c r="E1506" s="1">
        <v>40</v>
      </c>
      <c r="F1506" s="1" t="s">
        <v>44</v>
      </c>
      <c r="G1506" s="1" t="s">
        <v>45</v>
      </c>
      <c r="H1506" s="1" t="s">
        <v>61</v>
      </c>
      <c r="I1506" s="1" t="s">
        <v>59</v>
      </c>
      <c r="J1506" s="7">
        <v>114979</v>
      </c>
      <c r="K1506" s="1">
        <v>437</v>
      </c>
      <c r="L1506" s="7">
        <v>25762</v>
      </c>
      <c r="M1506" s="1">
        <v>48</v>
      </c>
      <c r="N1506" s="6">
        <v>0.1419</v>
      </c>
      <c r="O1506" s="1" t="s">
        <v>63</v>
      </c>
      <c r="P1506" s="1" t="s">
        <v>47</v>
      </c>
      <c r="Q1506" s="1">
        <v>22</v>
      </c>
      <c r="R1506" s="1">
        <v>1</v>
      </c>
      <c r="S1506" s="1" t="s">
        <v>31</v>
      </c>
      <c r="T1506" s="1" t="s">
        <v>33</v>
      </c>
      <c r="U1506" s="1">
        <v>1</v>
      </c>
      <c r="V1506" s="1">
        <v>19133</v>
      </c>
      <c r="W1506" s="7">
        <v>1996.23</v>
      </c>
      <c r="X1506" s="1">
        <v>0.39</v>
      </c>
      <c r="Y1506" s="4">
        <v>44158</v>
      </c>
      <c r="Z1506" s="1" t="s">
        <v>32</v>
      </c>
      <c r="AA1506" s="1" t="s">
        <v>33</v>
      </c>
      <c r="AB1506" s="36" t="str" cm="1">
        <f t="array" ref="AB1506">_xlfn.IFS(K1506&gt;650,"LOW",K1506&gt;=550,"MEDIUM",K1506&lt;550,"HIGH")</f>
        <v>HIGH</v>
      </c>
    </row>
    <row r="1507" spans="3:28" x14ac:dyDescent="0.3">
      <c r="C1507" s="35" t="s">
        <v>2227</v>
      </c>
      <c r="D1507" s="1" t="s">
        <v>258</v>
      </c>
      <c r="E1507" s="1">
        <v>52</v>
      </c>
      <c r="F1507" s="1" t="s">
        <v>26</v>
      </c>
      <c r="G1507" s="1" t="s">
        <v>35</v>
      </c>
      <c r="H1507" s="1" t="s">
        <v>36</v>
      </c>
      <c r="I1507" s="1" t="s">
        <v>40</v>
      </c>
      <c r="J1507" s="7">
        <v>80924</v>
      </c>
      <c r="K1507" s="1">
        <v>437</v>
      </c>
      <c r="L1507" s="7">
        <v>36361</v>
      </c>
      <c r="M1507" s="1">
        <v>48</v>
      </c>
      <c r="N1507" s="6">
        <v>0.19420000000000001</v>
      </c>
      <c r="O1507" s="1" t="s">
        <v>5</v>
      </c>
      <c r="P1507" s="1" t="s">
        <v>30</v>
      </c>
      <c r="Q1507" s="1">
        <v>9</v>
      </c>
      <c r="R1507" s="1">
        <v>2</v>
      </c>
      <c r="S1507" s="1" t="s">
        <v>33</v>
      </c>
      <c r="T1507" s="1" t="s">
        <v>33</v>
      </c>
      <c r="U1507" s="1">
        <v>0</v>
      </c>
      <c r="V1507" s="1">
        <v>178250</v>
      </c>
      <c r="W1507" s="7">
        <v>470.21</v>
      </c>
      <c r="X1507" s="1">
        <v>0.96</v>
      </c>
      <c r="Y1507" s="4">
        <v>44651</v>
      </c>
      <c r="Z1507" s="1" t="s">
        <v>38</v>
      </c>
      <c r="AA1507" s="1" t="s">
        <v>31</v>
      </c>
      <c r="AB1507" s="36" t="str" cm="1">
        <f t="array" ref="AB1507">_xlfn.IFS(K1507&gt;650,"LOW",K1507&gt;=550,"MEDIUM",K1507&lt;550,"HIGH")</f>
        <v>HIGH</v>
      </c>
    </row>
    <row r="1508" spans="3:28" x14ac:dyDescent="0.3">
      <c r="C1508" s="35" t="s">
        <v>2325</v>
      </c>
      <c r="D1508" s="1" t="s">
        <v>356</v>
      </c>
      <c r="E1508" s="1">
        <v>28</v>
      </c>
      <c r="F1508" s="1" t="s">
        <v>44</v>
      </c>
      <c r="G1508" s="1" t="s">
        <v>56</v>
      </c>
      <c r="H1508" s="1" t="s">
        <v>54</v>
      </c>
      <c r="I1508" s="1" t="s">
        <v>57</v>
      </c>
      <c r="J1508" s="7">
        <v>97603</v>
      </c>
      <c r="K1508" s="1">
        <v>437</v>
      </c>
      <c r="L1508" s="7">
        <v>28913</v>
      </c>
      <c r="M1508" s="1">
        <v>12</v>
      </c>
      <c r="N1508" s="6">
        <v>0.11699999999999999</v>
      </c>
      <c r="O1508" s="1" t="s">
        <v>52</v>
      </c>
      <c r="P1508" s="1" t="s">
        <v>50</v>
      </c>
      <c r="Q1508" s="1">
        <v>8</v>
      </c>
      <c r="R1508" s="1">
        <v>1</v>
      </c>
      <c r="S1508" s="1" t="s">
        <v>33</v>
      </c>
      <c r="T1508" s="1" t="s">
        <v>33</v>
      </c>
      <c r="U1508" s="1">
        <v>4</v>
      </c>
      <c r="V1508" s="1">
        <v>67104</v>
      </c>
      <c r="W1508" s="7">
        <v>1480.02</v>
      </c>
      <c r="X1508" s="1">
        <v>0.46</v>
      </c>
      <c r="Y1508" s="4">
        <v>45464</v>
      </c>
      <c r="Z1508" s="1" t="s">
        <v>32</v>
      </c>
      <c r="AA1508" s="1" t="s">
        <v>31</v>
      </c>
      <c r="AB1508" s="36" t="str" cm="1">
        <f t="array" ref="AB1508">_xlfn.IFS(K1508&gt;650,"LOW",K1508&gt;=550,"MEDIUM",K1508&lt;550,"HIGH")</f>
        <v>HIGH</v>
      </c>
    </row>
    <row r="1509" spans="3:28" x14ac:dyDescent="0.3">
      <c r="C1509" s="35" t="s">
        <v>2432</v>
      </c>
      <c r="D1509" s="1" t="s">
        <v>462</v>
      </c>
      <c r="E1509" s="1">
        <v>43</v>
      </c>
      <c r="F1509" s="1" t="s">
        <v>44</v>
      </c>
      <c r="G1509" s="1" t="s">
        <v>45</v>
      </c>
      <c r="H1509" s="1" t="s">
        <v>36</v>
      </c>
      <c r="I1509" s="1" t="s">
        <v>57</v>
      </c>
      <c r="J1509" s="7">
        <v>119811</v>
      </c>
      <c r="K1509" s="1">
        <v>437</v>
      </c>
      <c r="L1509" s="7">
        <v>47665</v>
      </c>
      <c r="M1509" s="1">
        <v>12</v>
      </c>
      <c r="N1509" s="6">
        <v>0.16390000000000002</v>
      </c>
      <c r="O1509" s="1" t="s">
        <v>46</v>
      </c>
      <c r="P1509" s="1" t="s">
        <v>50</v>
      </c>
      <c r="Q1509" s="1">
        <v>9</v>
      </c>
      <c r="R1509" s="1">
        <v>1</v>
      </c>
      <c r="S1509" s="1" t="s">
        <v>33</v>
      </c>
      <c r="T1509" s="1" t="s">
        <v>31</v>
      </c>
      <c r="U1509" s="1">
        <v>2</v>
      </c>
      <c r="V1509" s="1">
        <v>60325</v>
      </c>
      <c r="W1509" s="7">
        <v>914.79</v>
      </c>
      <c r="X1509" s="1">
        <v>0.92</v>
      </c>
      <c r="Y1509" s="4">
        <v>44969</v>
      </c>
      <c r="Z1509" s="1" t="s">
        <v>38</v>
      </c>
      <c r="AA1509" s="1" t="s">
        <v>31</v>
      </c>
      <c r="AB1509" s="36" t="str" cm="1">
        <f t="array" ref="AB1509">_xlfn.IFS(K1509&gt;650,"LOW",K1509&gt;=550,"MEDIUM",K1509&lt;550,"HIGH")</f>
        <v>HIGH</v>
      </c>
    </row>
    <row r="1510" spans="3:28" x14ac:dyDescent="0.3">
      <c r="C1510" s="35" t="s">
        <v>3222</v>
      </c>
      <c r="D1510" s="1" t="s">
        <v>1246</v>
      </c>
      <c r="E1510" s="1">
        <v>43</v>
      </c>
      <c r="F1510" s="1" t="s">
        <v>26</v>
      </c>
      <c r="G1510" s="1" t="s">
        <v>45</v>
      </c>
      <c r="H1510" s="1" t="s">
        <v>54</v>
      </c>
      <c r="I1510" s="1" t="s">
        <v>57</v>
      </c>
      <c r="J1510" s="7">
        <v>145331</v>
      </c>
      <c r="K1510" s="1">
        <v>437</v>
      </c>
      <c r="L1510" s="7">
        <v>40107</v>
      </c>
      <c r="M1510" s="1">
        <v>36</v>
      </c>
      <c r="N1510" s="6">
        <v>0.1452</v>
      </c>
      <c r="O1510" s="1" t="s">
        <v>46</v>
      </c>
      <c r="P1510" s="1" t="s">
        <v>30</v>
      </c>
      <c r="Q1510" s="1">
        <v>18</v>
      </c>
      <c r="R1510" s="1">
        <v>3</v>
      </c>
      <c r="S1510" s="1" t="s">
        <v>31</v>
      </c>
      <c r="T1510" s="1" t="s">
        <v>31</v>
      </c>
      <c r="U1510" s="1">
        <v>4</v>
      </c>
      <c r="V1510" s="1">
        <v>97772</v>
      </c>
      <c r="W1510" s="7">
        <v>215.87</v>
      </c>
      <c r="X1510" s="1">
        <v>0.21</v>
      </c>
      <c r="Y1510" s="4">
        <v>44586</v>
      </c>
      <c r="Z1510" s="1" t="s">
        <v>32</v>
      </c>
      <c r="AA1510" s="1" t="s">
        <v>33</v>
      </c>
      <c r="AB1510" s="36" t="str" cm="1">
        <f t="array" ref="AB1510">_xlfn.IFS(K1510&gt;650,"LOW",K1510&gt;=550,"MEDIUM",K1510&lt;550,"HIGH")</f>
        <v>HIGH</v>
      </c>
    </row>
    <row r="1511" spans="3:28" x14ac:dyDescent="0.3">
      <c r="C1511" s="35" t="s">
        <v>3378</v>
      </c>
      <c r="D1511" s="1" t="s">
        <v>1399</v>
      </c>
      <c r="E1511" s="1">
        <v>61</v>
      </c>
      <c r="F1511" s="1" t="s">
        <v>26</v>
      </c>
      <c r="G1511" s="1" t="s">
        <v>45</v>
      </c>
      <c r="H1511" s="1" t="s">
        <v>61</v>
      </c>
      <c r="I1511" s="1" t="s">
        <v>40</v>
      </c>
      <c r="J1511" s="7">
        <v>143725</v>
      </c>
      <c r="K1511" s="1">
        <v>437</v>
      </c>
      <c r="L1511" s="7">
        <v>21594</v>
      </c>
      <c r="M1511" s="1">
        <v>12</v>
      </c>
      <c r="N1511" s="6">
        <v>0.13449999999999998</v>
      </c>
      <c r="O1511" s="1" t="s">
        <v>5</v>
      </c>
      <c r="P1511" s="1" t="s">
        <v>50</v>
      </c>
      <c r="Q1511" s="1">
        <v>28</v>
      </c>
      <c r="R1511" s="1">
        <v>2</v>
      </c>
      <c r="S1511" s="1" t="s">
        <v>31</v>
      </c>
      <c r="T1511" s="1" t="s">
        <v>33</v>
      </c>
      <c r="U1511" s="1">
        <v>0</v>
      </c>
      <c r="V1511" s="1">
        <v>138723</v>
      </c>
      <c r="W1511" s="7">
        <v>632.89</v>
      </c>
      <c r="X1511" s="1">
        <v>0.66</v>
      </c>
      <c r="Y1511" s="4">
        <v>44251</v>
      </c>
      <c r="Z1511" s="1" t="s">
        <v>32</v>
      </c>
      <c r="AA1511" s="1" t="s">
        <v>33</v>
      </c>
      <c r="AB1511" s="36" t="str" cm="1">
        <f t="array" ref="AB1511">_xlfn.IFS(K1511&gt;650,"LOW",K1511&gt;=550,"MEDIUM",K1511&lt;550,"HIGH")</f>
        <v>HIGH</v>
      </c>
    </row>
    <row r="1512" spans="3:28" x14ac:dyDescent="0.3">
      <c r="C1512" s="35" t="s">
        <v>3762</v>
      </c>
      <c r="D1512" s="1" t="s">
        <v>1770</v>
      </c>
      <c r="E1512" s="1">
        <v>53</v>
      </c>
      <c r="F1512" s="1" t="s">
        <v>44</v>
      </c>
      <c r="G1512" s="1" t="s">
        <v>56</v>
      </c>
      <c r="H1512" s="1" t="s">
        <v>36</v>
      </c>
      <c r="I1512" s="1" t="s">
        <v>40</v>
      </c>
      <c r="J1512" s="7">
        <v>101187</v>
      </c>
      <c r="K1512" s="1">
        <v>437</v>
      </c>
      <c r="L1512" s="7">
        <v>20589</v>
      </c>
      <c r="M1512" s="1">
        <v>12</v>
      </c>
      <c r="N1512" s="6">
        <v>7.5600000000000001E-2</v>
      </c>
      <c r="O1512" s="1" t="s">
        <v>63</v>
      </c>
      <c r="P1512" s="1" t="s">
        <v>47</v>
      </c>
      <c r="Q1512" s="1">
        <v>15</v>
      </c>
      <c r="R1512" s="1">
        <v>1</v>
      </c>
      <c r="S1512" s="1" t="s">
        <v>31</v>
      </c>
      <c r="T1512" s="1" t="s">
        <v>31</v>
      </c>
      <c r="U1512" s="1">
        <v>2</v>
      </c>
      <c r="V1512" s="1">
        <v>199694</v>
      </c>
      <c r="W1512" s="7">
        <v>1426.03</v>
      </c>
      <c r="X1512" s="1">
        <v>0.18</v>
      </c>
      <c r="Y1512" s="4">
        <v>45604</v>
      </c>
      <c r="Z1512" s="1" t="s">
        <v>38</v>
      </c>
      <c r="AA1512" s="1" t="s">
        <v>33</v>
      </c>
      <c r="AB1512" s="36" t="str" cm="1">
        <f t="array" ref="AB1512">_xlfn.IFS(K1512&gt;650,"LOW",K1512&gt;=550,"MEDIUM",K1512&lt;550,"HIGH")</f>
        <v>HIGH</v>
      </c>
    </row>
    <row r="1513" spans="3:28" x14ac:dyDescent="0.3">
      <c r="C1513" s="35" t="s">
        <v>3329</v>
      </c>
      <c r="D1513" s="1" t="s">
        <v>1352</v>
      </c>
      <c r="E1513" s="1">
        <v>63</v>
      </c>
      <c r="F1513" s="1" t="s">
        <v>44</v>
      </c>
      <c r="G1513" s="1" t="s">
        <v>35</v>
      </c>
      <c r="H1513" s="1" t="s">
        <v>61</v>
      </c>
      <c r="I1513" s="1" t="s">
        <v>57</v>
      </c>
      <c r="J1513" s="7">
        <v>41322</v>
      </c>
      <c r="K1513" s="1">
        <v>436</v>
      </c>
      <c r="L1513" s="7">
        <v>31788</v>
      </c>
      <c r="M1513" s="1">
        <v>48</v>
      </c>
      <c r="N1513" s="6">
        <v>0.13400000000000001</v>
      </c>
      <c r="O1513" s="1" t="s">
        <v>37</v>
      </c>
      <c r="P1513" s="1" t="s">
        <v>47</v>
      </c>
      <c r="Q1513" s="1">
        <v>7</v>
      </c>
      <c r="R1513" s="1">
        <v>3</v>
      </c>
      <c r="S1513" s="1" t="s">
        <v>33</v>
      </c>
      <c r="T1513" s="1" t="s">
        <v>33</v>
      </c>
      <c r="U1513" s="1">
        <v>0</v>
      </c>
      <c r="V1513" s="1">
        <v>16820</v>
      </c>
      <c r="W1513" s="7">
        <v>1831.36</v>
      </c>
      <c r="X1513" s="1">
        <v>0.8</v>
      </c>
      <c r="Y1513" s="4">
        <v>45342</v>
      </c>
      <c r="Z1513" s="1" t="s">
        <v>32</v>
      </c>
      <c r="AA1513" s="1" t="s">
        <v>33</v>
      </c>
      <c r="AB1513" s="36" t="str" cm="1">
        <f t="array" ref="AB1513">_xlfn.IFS(K1513&gt;650,"LOW",K1513&gt;=550,"MEDIUM",K1513&lt;550,"HIGH")</f>
        <v>HIGH</v>
      </c>
    </row>
    <row r="1514" spans="3:28" x14ac:dyDescent="0.3">
      <c r="C1514" s="35" t="s">
        <v>3920</v>
      </c>
      <c r="D1514" s="1" t="s">
        <v>1924</v>
      </c>
      <c r="E1514" s="1">
        <v>57</v>
      </c>
      <c r="F1514" s="1" t="s">
        <v>26</v>
      </c>
      <c r="G1514" s="1" t="s">
        <v>45</v>
      </c>
      <c r="H1514" s="1" t="s">
        <v>61</v>
      </c>
      <c r="I1514" s="1" t="s">
        <v>29</v>
      </c>
      <c r="J1514" s="7">
        <v>27213</v>
      </c>
      <c r="K1514" s="1">
        <v>436</v>
      </c>
      <c r="L1514" s="7">
        <v>42506</v>
      </c>
      <c r="M1514" s="1">
        <v>12</v>
      </c>
      <c r="N1514" s="6">
        <v>0.16850000000000001</v>
      </c>
      <c r="O1514" s="1" t="s">
        <v>37</v>
      </c>
      <c r="P1514" s="1" t="s">
        <v>47</v>
      </c>
      <c r="Q1514" s="1">
        <v>20</v>
      </c>
      <c r="R1514" s="1">
        <v>4</v>
      </c>
      <c r="S1514" s="1" t="s">
        <v>33</v>
      </c>
      <c r="T1514" s="1" t="s">
        <v>31</v>
      </c>
      <c r="U1514" s="1">
        <v>4</v>
      </c>
      <c r="V1514" s="1">
        <v>80420</v>
      </c>
      <c r="W1514" s="7">
        <v>182.77</v>
      </c>
      <c r="X1514" s="1">
        <v>0.75</v>
      </c>
      <c r="Y1514" s="4">
        <v>44952</v>
      </c>
      <c r="Z1514" s="1" t="s">
        <v>38</v>
      </c>
      <c r="AA1514" s="1" t="s">
        <v>31</v>
      </c>
      <c r="AB1514" s="36" t="str" cm="1">
        <f t="array" ref="AB1514">_xlfn.IFS(K1514&gt;650,"LOW",K1514&gt;=550,"MEDIUM",K1514&lt;550,"HIGH")</f>
        <v>HIGH</v>
      </c>
    </row>
    <row r="1515" spans="3:28" x14ac:dyDescent="0.3">
      <c r="C1515" s="35" t="s">
        <v>2456</v>
      </c>
      <c r="D1515" s="1" t="s">
        <v>486</v>
      </c>
      <c r="E1515" s="1">
        <v>25</v>
      </c>
      <c r="F1515" s="1" t="s">
        <v>26</v>
      </c>
      <c r="G1515" s="1" t="s">
        <v>35</v>
      </c>
      <c r="H1515" s="1" t="s">
        <v>61</v>
      </c>
      <c r="I1515" s="1" t="s">
        <v>40</v>
      </c>
      <c r="J1515" s="7">
        <v>37482</v>
      </c>
      <c r="K1515" s="1">
        <v>435</v>
      </c>
      <c r="L1515" s="7">
        <v>23185</v>
      </c>
      <c r="M1515" s="1">
        <v>48</v>
      </c>
      <c r="N1515" s="6">
        <v>6.3899999999999998E-2</v>
      </c>
      <c r="O1515" s="1" t="s">
        <v>41</v>
      </c>
      <c r="P1515" s="1" t="s">
        <v>50</v>
      </c>
      <c r="Q1515" s="1">
        <v>25</v>
      </c>
      <c r="R1515" s="1">
        <v>0</v>
      </c>
      <c r="S1515" s="1" t="s">
        <v>33</v>
      </c>
      <c r="T1515" s="1" t="s">
        <v>33</v>
      </c>
      <c r="U1515" s="1">
        <v>3</v>
      </c>
      <c r="V1515" s="1">
        <v>136268</v>
      </c>
      <c r="W1515" s="7">
        <v>1334.03</v>
      </c>
      <c r="X1515" s="1">
        <v>0.93</v>
      </c>
      <c r="Y1515" s="4">
        <v>45793</v>
      </c>
      <c r="Z1515" s="1" t="s">
        <v>38</v>
      </c>
      <c r="AA1515" s="1" t="s">
        <v>33</v>
      </c>
      <c r="AB1515" s="36" t="str" cm="1">
        <f t="array" ref="AB1515">_xlfn.IFS(K1515&gt;650,"LOW",K1515&gt;=550,"MEDIUM",K1515&lt;550,"HIGH")</f>
        <v>HIGH</v>
      </c>
    </row>
    <row r="1516" spans="3:28" x14ac:dyDescent="0.3">
      <c r="C1516" s="35" t="s">
        <v>3181</v>
      </c>
      <c r="D1516" s="1" t="s">
        <v>1205</v>
      </c>
      <c r="E1516" s="1">
        <v>23</v>
      </c>
      <c r="F1516" s="1" t="s">
        <v>44</v>
      </c>
      <c r="G1516" s="1" t="s">
        <v>35</v>
      </c>
      <c r="H1516" s="1" t="s">
        <v>54</v>
      </c>
      <c r="I1516" s="1" t="s">
        <v>59</v>
      </c>
      <c r="J1516" s="7">
        <v>109719</v>
      </c>
      <c r="K1516" s="1">
        <v>435</v>
      </c>
      <c r="L1516" s="7">
        <v>7655</v>
      </c>
      <c r="M1516" s="1">
        <v>60</v>
      </c>
      <c r="N1516" s="6">
        <v>0.11230000000000001</v>
      </c>
      <c r="O1516" s="1" t="s">
        <v>52</v>
      </c>
      <c r="P1516" s="1" t="s">
        <v>47</v>
      </c>
      <c r="Q1516" s="1">
        <v>6</v>
      </c>
      <c r="R1516" s="1">
        <v>3</v>
      </c>
      <c r="S1516" s="1" t="s">
        <v>33</v>
      </c>
      <c r="T1516" s="1" t="s">
        <v>31</v>
      </c>
      <c r="U1516" s="1">
        <v>3</v>
      </c>
      <c r="V1516" s="1">
        <v>168501</v>
      </c>
      <c r="W1516" s="7">
        <v>1308.18</v>
      </c>
      <c r="X1516" s="1">
        <v>0.52</v>
      </c>
      <c r="Y1516" s="4">
        <v>44377</v>
      </c>
      <c r="Z1516" s="1" t="s">
        <v>32</v>
      </c>
      <c r="AA1516" s="1" t="s">
        <v>33</v>
      </c>
      <c r="AB1516" s="36" t="str" cm="1">
        <f t="array" ref="AB1516">_xlfn.IFS(K1516&gt;650,"LOW",K1516&gt;=550,"MEDIUM",K1516&lt;550,"HIGH")</f>
        <v>HIGH</v>
      </c>
    </row>
    <row r="1517" spans="3:28" x14ac:dyDescent="0.3">
      <c r="C1517" s="35" t="s">
        <v>3675</v>
      </c>
      <c r="D1517" s="1" t="s">
        <v>1687</v>
      </c>
      <c r="E1517" s="1">
        <v>40</v>
      </c>
      <c r="F1517" s="1" t="s">
        <v>26</v>
      </c>
      <c r="G1517" s="1" t="s">
        <v>35</v>
      </c>
      <c r="H1517" s="1" t="s">
        <v>28</v>
      </c>
      <c r="I1517" s="1" t="s">
        <v>57</v>
      </c>
      <c r="J1517" s="7">
        <v>43664</v>
      </c>
      <c r="K1517" s="1">
        <v>435</v>
      </c>
      <c r="L1517" s="7">
        <v>15325</v>
      </c>
      <c r="M1517" s="1">
        <v>60</v>
      </c>
      <c r="N1517" s="6">
        <v>0.11840000000000001</v>
      </c>
      <c r="O1517" s="1" t="s">
        <v>52</v>
      </c>
      <c r="P1517" s="1" t="s">
        <v>47</v>
      </c>
      <c r="Q1517" s="1">
        <v>6</v>
      </c>
      <c r="R1517" s="1">
        <v>4</v>
      </c>
      <c r="S1517" s="1" t="s">
        <v>31</v>
      </c>
      <c r="T1517" s="1" t="s">
        <v>31</v>
      </c>
      <c r="U1517" s="1">
        <v>3</v>
      </c>
      <c r="V1517" s="1">
        <v>194209</v>
      </c>
      <c r="W1517" s="7">
        <v>1673.23</v>
      </c>
      <c r="X1517" s="1">
        <v>0.52</v>
      </c>
      <c r="Y1517" s="4">
        <v>45611</v>
      </c>
      <c r="Z1517" s="1" t="s">
        <v>32</v>
      </c>
      <c r="AA1517" s="1" t="s">
        <v>31</v>
      </c>
      <c r="AB1517" s="36" t="str" cm="1">
        <f t="array" ref="AB1517">_xlfn.IFS(K1517&gt;650,"LOW",K1517&gt;=550,"MEDIUM",K1517&lt;550,"HIGH")</f>
        <v>HIGH</v>
      </c>
    </row>
    <row r="1518" spans="3:28" x14ac:dyDescent="0.3">
      <c r="C1518" s="35" t="s">
        <v>2677</v>
      </c>
      <c r="D1518" s="1" t="s">
        <v>707</v>
      </c>
      <c r="E1518" s="1">
        <v>61</v>
      </c>
      <c r="F1518" s="1" t="s">
        <v>26</v>
      </c>
      <c r="G1518" s="1" t="s">
        <v>45</v>
      </c>
      <c r="H1518" s="1" t="s">
        <v>28</v>
      </c>
      <c r="I1518" s="1" t="s">
        <v>40</v>
      </c>
      <c r="J1518" s="7">
        <v>37548</v>
      </c>
      <c r="K1518" s="1">
        <v>434</v>
      </c>
      <c r="L1518" s="7">
        <v>2949</v>
      </c>
      <c r="M1518" s="1">
        <v>12</v>
      </c>
      <c r="N1518" s="6">
        <v>0.1464</v>
      </c>
      <c r="O1518" s="1" t="s">
        <v>46</v>
      </c>
      <c r="P1518" s="1" t="s">
        <v>50</v>
      </c>
      <c r="Q1518" s="1">
        <v>21</v>
      </c>
      <c r="R1518" s="1">
        <v>2</v>
      </c>
      <c r="S1518" s="1" t="s">
        <v>33</v>
      </c>
      <c r="T1518" s="1" t="s">
        <v>31</v>
      </c>
      <c r="U1518" s="1">
        <v>1</v>
      </c>
      <c r="V1518" s="1">
        <v>4286</v>
      </c>
      <c r="W1518" s="7">
        <v>213.46</v>
      </c>
      <c r="X1518" s="1">
        <v>0.32</v>
      </c>
      <c r="Y1518" s="4">
        <v>44136</v>
      </c>
      <c r="Z1518" s="1" t="s">
        <v>32</v>
      </c>
      <c r="AA1518" s="1" t="s">
        <v>33</v>
      </c>
      <c r="AB1518" s="36" t="str" cm="1">
        <f t="array" ref="AB1518">_xlfn.IFS(K1518&gt;650,"LOW",K1518&gt;=550,"MEDIUM",K1518&lt;550,"HIGH")</f>
        <v>HIGH</v>
      </c>
    </row>
    <row r="1519" spans="3:28" x14ac:dyDescent="0.3">
      <c r="C1519" s="35" t="s">
        <v>3467</v>
      </c>
      <c r="D1519" s="1" t="s">
        <v>1485</v>
      </c>
      <c r="E1519" s="1">
        <v>44</v>
      </c>
      <c r="F1519" s="1" t="s">
        <v>26</v>
      </c>
      <c r="G1519" s="1" t="s">
        <v>27</v>
      </c>
      <c r="H1519" s="1" t="s">
        <v>54</v>
      </c>
      <c r="I1519" s="1" t="s">
        <v>57</v>
      </c>
      <c r="J1519" s="7">
        <v>104085</v>
      </c>
      <c r="K1519" s="1">
        <v>434</v>
      </c>
      <c r="L1519" s="7">
        <v>1048</v>
      </c>
      <c r="M1519" s="1">
        <v>36</v>
      </c>
      <c r="N1519" s="6">
        <v>0.192</v>
      </c>
      <c r="O1519" s="1" t="s">
        <v>46</v>
      </c>
      <c r="P1519" s="1" t="s">
        <v>50</v>
      </c>
      <c r="Q1519" s="1">
        <v>15</v>
      </c>
      <c r="R1519" s="1">
        <v>2</v>
      </c>
      <c r="S1519" s="1" t="s">
        <v>31</v>
      </c>
      <c r="T1519" s="1" t="s">
        <v>33</v>
      </c>
      <c r="U1519" s="1">
        <v>4</v>
      </c>
      <c r="V1519" s="1">
        <v>183987</v>
      </c>
      <c r="W1519" s="7">
        <v>117.78</v>
      </c>
      <c r="X1519" s="1">
        <v>0.93</v>
      </c>
      <c r="Y1519" s="4">
        <v>45495</v>
      </c>
      <c r="Z1519" s="1" t="s">
        <v>32</v>
      </c>
      <c r="AA1519" s="1" t="s">
        <v>33</v>
      </c>
      <c r="AB1519" s="36" t="str" cm="1">
        <f t="array" ref="AB1519">_xlfn.IFS(K1519&gt;650,"LOW",K1519&gt;=550,"MEDIUM",K1519&lt;550,"HIGH")</f>
        <v>HIGH</v>
      </c>
    </row>
    <row r="1520" spans="3:28" x14ac:dyDescent="0.3">
      <c r="C1520" s="35" t="s">
        <v>4015</v>
      </c>
      <c r="D1520" s="1" t="s">
        <v>2015</v>
      </c>
      <c r="E1520" s="1">
        <v>54</v>
      </c>
      <c r="F1520" s="1" t="s">
        <v>44</v>
      </c>
      <c r="G1520" s="1" t="s">
        <v>45</v>
      </c>
      <c r="H1520" s="1" t="s">
        <v>54</v>
      </c>
      <c r="I1520" s="1" t="s">
        <v>57</v>
      </c>
      <c r="J1520" s="7">
        <v>62495</v>
      </c>
      <c r="K1520" s="1">
        <v>434</v>
      </c>
      <c r="L1520" s="7">
        <v>47244</v>
      </c>
      <c r="M1520" s="1">
        <v>36</v>
      </c>
      <c r="N1520" s="6">
        <v>0.19109999999999999</v>
      </c>
      <c r="O1520" s="1" t="s">
        <v>63</v>
      </c>
      <c r="P1520" s="1" t="s">
        <v>50</v>
      </c>
      <c r="Q1520" s="1">
        <v>19</v>
      </c>
      <c r="R1520" s="1">
        <v>3</v>
      </c>
      <c r="S1520" s="1" t="s">
        <v>31</v>
      </c>
      <c r="T1520" s="1" t="s">
        <v>31</v>
      </c>
      <c r="U1520" s="1">
        <v>3</v>
      </c>
      <c r="V1520" s="1">
        <v>21407</v>
      </c>
      <c r="W1520" s="7">
        <v>726.14</v>
      </c>
      <c r="X1520" s="1">
        <v>0.92</v>
      </c>
      <c r="Y1520" s="4">
        <v>45636</v>
      </c>
      <c r="Z1520" s="1" t="s">
        <v>38</v>
      </c>
      <c r="AA1520" s="1" t="s">
        <v>33</v>
      </c>
      <c r="AB1520" s="36" t="str" cm="1">
        <f t="array" ref="AB1520">_xlfn.IFS(K1520&gt;650,"LOW",K1520&gt;=550,"MEDIUM",K1520&lt;550,"HIGH")</f>
        <v>HIGH</v>
      </c>
    </row>
    <row r="1521" spans="3:28" x14ac:dyDescent="0.3">
      <c r="C1521" s="35" t="s">
        <v>2146</v>
      </c>
      <c r="D1521" s="1" t="s">
        <v>177</v>
      </c>
      <c r="E1521" s="1">
        <v>21</v>
      </c>
      <c r="F1521" s="1" t="s">
        <v>44</v>
      </c>
      <c r="G1521" s="1" t="s">
        <v>35</v>
      </c>
      <c r="H1521" s="1" t="s">
        <v>61</v>
      </c>
      <c r="I1521" s="1" t="s">
        <v>57</v>
      </c>
      <c r="J1521" s="7">
        <v>137478</v>
      </c>
      <c r="K1521" s="1">
        <v>433</v>
      </c>
      <c r="L1521" s="7">
        <v>3036</v>
      </c>
      <c r="M1521" s="1">
        <v>60</v>
      </c>
      <c r="N1521" s="6">
        <v>0.14319999999999999</v>
      </c>
      <c r="O1521" s="1" t="s">
        <v>52</v>
      </c>
      <c r="P1521" s="1" t="s">
        <v>30</v>
      </c>
      <c r="Q1521" s="1">
        <v>22</v>
      </c>
      <c r="R1521" s="1">
        <v>2</v>
      </c>
      <c r="S1521" s="1" t="s">
        <v>33</v>
      </c>
      <c r="T1521" s="1" t="s">
        <v>31</v>
      </c>
      <c r="U1521" s="1">
        <v>0</v>
      </c>
      <c r="V1521" s="1">
        <v>189889</v>
      </c>
      <c r="W1521" s="7">
        <v>841.98</v>
      </c>
      <c r="X1521" s="1">
        <v>0.11</v>
      </c>
      <c r="Y1521" s="4">
        <v>44212</v>
      </c>
      <c r="Z1521" s="1" t="s">
        <v>32</v>
      </c>
      <c r="AA1521" s="1" t="s">
        <v>33</v>
      </c>
      <c r="AB1521" s="36" t="str" cm="1">
        <f t="array" ref="AB1521">_xlfn.IFS(K1521&gt;650,"LOW",K1521&gt;=550,"MEDIUM",K1521&lt;550,"HIGH")</f>
        <v>HIGH</v>
      </c>
    </row>
    <row r="1522" spans="3:28" x14ac:dyDescent="0.3">
      <c r="C1522" s="35" t="s">
        <v>2977</v>
      </c>
      <c r="D1522" s="1" t="s">
        <v>1005</v>
      </c>
      <c r="E1522" s="1">
        <v>32</v>
      </c>
      <c r="F1522" s="1" t="s">
        <v>44</v>
      </c>
      <c r="G1522" s="1" t="s">
        <v>27</v>
      </c>
      <c r="H1522" s="1" t="s">
        <v>28</v>
      </c>
      <c r="I1522" s="1" t="s">
        <v>57</v>
      </c>
      <c r="J1522" s="7">
        <v>60297</v>
      </c>
      <c r="K1522" s="1">
        <v>433</v>
      </c>
      <c r="L1522" s="7">
        <v>2885</v>
      </c>
      <c r="M1522" s="1">
        <v>48</v>
      </c>
      <c r="N1522" s="6">
        <v>0.10249999999999999</v>
      </c>
      <c r="O1522" s="1" t="s">
        <v>41</v>
      </c>
      <c r="P1522" s="1" t="s">
        <v>30</v>
      </c>
      <c r="Q1522" s="1">
        <v>17</v>
      </c>
      <c r="R1522" s="1">
        <v>4</v>
      </c>
      <c r="S1522" s="1" t="s">
        <v>33</v>
      </c>
      <c r="T1522" s="1" t="s">
        <v>33</v>
      </c>
      <c r="U1522" s="1">
        <v>0</v>
      </c>
      <c r="V1522" s="1">
        <v>90236</v>
      </c>
      <c r="W1522" s="7">
        <v>1694.72</v>
      </c>
      <c r="X1522" s="1">
        <v>0.43</v>
      </c>
      <c r="Y1522" s="4">
        <v>44442</v>
      </c>
      <c r="Z1522" s="1" t="s">
        <v>38</v>
      </c>
      <c r="AA1522" s="1" t="s">
        <v>31</v>
      </c>
      <c r="AB1522" s="36" t="str" cm="1">
        <f t="array" ref="AB1522">_xlfn.IFS(K1522&gt;650,"LOW",K1522&gt;=550,"MEDIUM",K1522&lt;550,"HIGH")</f>
        <v>HIGH</v>
      </c>
    </row>
    <row r="1523" spans="3:28" x14ac:dyDescent="0.3">
      <c r="C1523" s="35" t="s">
        <v>3983</v>
      </c>
      <c r="D1523" s="1" t="s">
        <v>1983</v>
      </c>
      <c r="E1523" s="1">
        <v>28</v>
      </c>
      <c r="F1523" s="1" t="s">
        <v>26</v>
      </c>
      <c r="G1523" s="1" t="s">
        <v>45</v>
      </c>
      <c r="H1523" s="1" t="s">
        <v>28</v>
      </c>
      <c r="I1523" s="1" t="s">
        <v>57</v>
      </c>
      <c r="J1523" s="7">
        <v>141701</v>
      </c>
      <c r="K1523" s="1">
        <v>433</v>
      </c>
      <c r="L1523" s="7">
        <v>31143</v>
      </c>
      <c r="M1523" s="1">
        <v>48</v>
      </c>
      <c r="N1523" s="6">
        <v>9.4299999999999995E-2</v>
      </c>
      <c r="O1523" s="1" t="s">
        <v>46</v>
      </c>
      <c r="P1523" s="1" t="s">
        <v>47</v>
      </c>
      <c r="Q1523" s="1">
        <v>15</v>
      </c>
      <c r="R1523" s="1">
        <v>2</v>
      </c>
      <c r="S1523" s="1" t="s">
        <v>31</v>
      </c>
      <c r="T1523" s="1" t="s">
        <v>33</v>
      </c>
      <c r="U1523" s="1">
        <v>2</v>
      </c>
      <c r="V1523" s="1">
        <v>64591</v>
      </c>
      <c r="W1523" s="7">
        <v>324.12</v>
      </c>
      <c r="X1523" s="1">
        <v>0.56999999999999995</v>
      </c>
      <c r="Y1523" s="4">
        <v>44518</v>
      </c>
      <c r="Z1523" s="1" t="s">
        <v>38</v>
      </c>
      <c r="AA1523" s="1" t="s">
        <v>33</v>
      </c>
      <c r="AB1523" s="36" t="str" cm="1">
        <f t="array" ref="AB1523">_xlfn.IFS(K1523&gt;650,"LOW",K1523&gt;=550,"MEDIUM",K1523&lt;550,"HIGH")</f>
        <v>HIGH</v>
      </c>
    </row>
    <row r="1524" spans="3:28" x14ac:dyDescent="0.3">
      <c r="C1524" s="35" t="s">
        <v>2190</v>
      </c>
      <c r="D1524" s="1" t="s">
        <v>221</v>
      </c>
      <c r="E1524" s="1">
        <v>47</v>
      </c>
      <c r="F1524" s="1" t="s">
        <v>26</v>
      </c>
      <c r="G1524" s="1" t="s">
        <v>27</v>
      </c>
      <c r="H1524" s="1" t="s">
        <v>36</v>
      </c>
      <c r="I1524" s="1" t="s">
        <v>59</v>
      </c>
      <c r="J1524" s="7">
        <v>91776</v>
      </c>
      <c r="K1524" s="1">
        <v>432</v>
      </c>
      <c r="L1524" s="7">
        <v>42300</v>
      </c>
      <c r="M1524" s="1">
        <v>36</v>
      </c>
      <c r="N1524" s="6">
        <v>0.16420000000000001</v>
      </c>
      <c r="O1524" s="1" t="s">
        <v>41</v>
      </c>
      <c r="P1524" s="1" t="s">
        <v>30</v>
      </c>
      <c r="Q1524" s="1">
        <v>1</v>
      </c>
      <c r="R1524" s="1">
        <v>2</v>
      </c>
      <c r="S1524" s="1" t="s">
        <v>31</v>
      </c>
      <c r="T1524" s="1" t="s">
        <v>33</v>
      </c>
      <c r="U1524" s="1">
        <v>0</v>
      </c>
      <c r="V1524" s="1">
        <v>192958</v>
      </c>
      <c r="W1524" s="7">
        <v>828.32</v>
      </c>
      <c r="X1524" s="1">
        <v>0.81</v>
      </c>
      <c r="Y1524" s="4">
        <v>45012</v>
      </c>
      <c r="Z1524" s="1" t="s">
        <v>32</v>
      </c>
      <c r="AA1524" s="1" t="s">
        <v>33</v>
      </c>
      <c r="AB1524" s="36" t="str" cm="1">
        <f t="array" ref="AB1524">_xlfn.IFS(K1524&gt;650,"LOW",K1524&gt;=550,"MEDIUM",K1524&lt;550,"HIGH")</f>
        <v>HIGH</v>
      </c>
    </row>
    <row r="1525" spans="3:28" x14ac:dyDescent="0.3">
      <c r="C1525" s="35" t="s">
        <v>2338</v>
      </c>
      <c r="D1525" s="1" t="s">
        <v>369</v>
      </c>
      <c r="E1525" s="1">
        <v>37</v>
      </c>
      <c r="F1525" s="1" t="s">
        <v>26</v>
      </c>
      <c r="G1525" s="1" t="s">
        <v>27</v>
      </c>
      <c r="H1525" s="1" t="s">
        <v>28</v>
      </c>
      <c r="I1525" s="1" t="s">
        <v>59</v>
      </c>
      <c r="J1525" s="7">
        <v>124879</v>
      </c>
      <c r="K1525" s="1">
        <v>432</v>
      </c>
      <c r="L1525" s="7">
        <v>45078</v>
      </c>
      <c r="M1525" s="1">
        <v>36</v>
      </c>
      <c r="N1525" s="6">
        <v>0.19769999999999999</v>
      </c>
      <c r="O1525" s="1" t="s">
        <v>37</v>
      </c>
      <c r="P1525" s="1" t="s">
        <v>47</v>
      </c>
      <c r="Q1525" s="1">
        <v>22</v>
      </c>
      <c r="R1525" s="1">
        <v>3</v>
      </c>
      <c r="S1525" s="1" t="s">
        <v>31</v>
      </c>
      <c r="T1525" s="1" t="s">
        <v>31</v>
      </c>
      <c r="U1525" s="1">
        <v>4</v>
      </c>
      <c r="V1525" s="1">
        <v>188445</v>
      </c>
      <c r="W1525" s="7">
        <v>912.77</v>
      </c>
      <c r="X1525" s="1">
        <v>0.92</v>
      </c>
      <c r="Y1525" s="4">
        <v>45122</v>
      </c>
      <c r="Z1525" s="1" t="s">
        <v>32</v>
      </c>
      <c r="AA1525" s="1" t="s">
        <v>33</v>
      </c>
      <c r="AB1525" s="36" t="str" cm="1">
        <f t="array" ref="AB1525">_xlfn.IFS(K1525&gt;650,"LOW",K1525&gt;=550,"MEDIUM",K1525&lt;550,"HIGH")</f>
        <v>HIGH</v>
      </c>
    </row>
    <row r="1526" spans="3:28" x14ac:dyDescent="0.3">
      <c r="C1526" s="35" t="s">
        <v>2536</v>
      </c>
      <c r="D1526" s="1" t="s">
        <v>566</v>
      </c>
      <c r="E1526" s="1">
        <v>59</v>
      </c>
      <c r="F1526" s="1" t="s">
        <v>26</v>
      </c>
      <c r="G1526" s="1" t="s">
        <v>45</v>
      </c>
      <c r="H1526" s="1" t="s">
        <v>28</v>
      </c>
      <c r="I1526" s="1" t="s">
        <v>59</v>
      </c>
      <c r="J1526" s="7">
        <v>21620</v>
      </c>
      <c r="K1526" s="1">
        <v>432</v>
      </c>
      <c r="L1526" s="7">
        <v>7766</v>
      </c>
      <c r="M1526" s="1">
        <v>24</v>
      </c>
      <c r="N1526" s="6">
        <v>0.15380000000000002</v>
      </c>
      <c r="O1526" s="1" t="s">
        <v>63</v>
      </c>
      <c r="P1526" s="1" t="s">
        <v>30</v>
      </c>
      <c r="Q1526" s="1">
        <v>11</v>
      </c>
      <c r="R1526" s="1">
        <v>4</v>
      </c>
      <c r="S1526" s="1" t="s">
        <v>33</v>
      </c>
      <c r="T1526" s="1" t="s">
        <v>33</v>
      </c>
      <c r="U1526" s="1">
        <v>1</v>
      </c>
      <c r="V1526" s="1">
        <v>86356</v>
      </c>
      <c r="W1526" s="7">
        <v>534.78</v>
      </c>
      <c r="X1526" s="1">
        <v>0.66</v>
      </c>
      <c r="Y1526" s="4">
        <v>44602</v>
      </c>
      <c r="Z1526" s="1" t="s">
        <v>32</v>
      </c>
      <c r="AA1526" s="1" t="s">
        <v>33</v>
      </c>
      <c r="AB1526" s="36" t="str" cm="1">
        <f t="array" ref="AB1526">_xlfn.IFS(K1526&gt;650,"LOW",K1526&gt;=550,"MEDIUM",K1526&lt;550,"HIGH")</f>
        <v>HIGH</v>
      </c>
    </row>
    <row r="1527" spans="3:28" x14ac:dyDescent="0.3">
      <c r="C1527" s="35" t="s">
        <v>2555</v>
      </c>
      <c r="D1527" s="1" t="s">
        <v>585</v>
      </c>
      <c r="E1527" s="1">
        <v>56</v>
      </c>
      <c r="F1527" s="1" t="s">
        <v>44</v>
      </c>
      <c r="G1527" s="1" t="s">
        <v>56</v>
      </c>
      <c r="H1527" s="1" t="s">
        <v>54</v>
      </c>
      <c r="I1527" s="1" t="s">
        <v>57</v>
      </c>
      <c r="J1527" s="7">
        <v>105945</v>
      </c>
      <c r="K1527" s="1">
        <v>432</v>
      </c>
      <c r="L1527" s="7">
        <v>11523</v>
      </c>
      <c r="M1527" s="1">
        <v>36</v>
      </c>
      <c r="N1527" s="6">
        <v>8.6400000000000005E-2</v>
      </c>
      <c r="O1527" s="1" t="s">
        <v>46</v>
      </c>
      <c r="P1527" s="1" t="s">
        <v>50</v>
      </c>
      <c r="Q1527" s="1">
        <v>5</v>
      </c>
      <c r="R1527" s="1">
        <v>2</v>
      </c>
      <c r="S1527" s="1" t="s">
        <v>31</v>
      </c>
      <c r="T1527" s="1" t="s">
        <v>33</v>
      </c>
      <c r="U1527" s="1">
        <v>3</v>
      </c>
      <c r="V1527" s="1">
        <v>146628</v>
      </c>
      <c r="W1527" s="7">
        <v>1636.26</v>
      </c>
      <c r="X1527" s="1">
        <v>0.62</v>
      </c>
      <c r="Y1527" s="4">
        <v>45709</v>
      </c>
      <c r="Z1527" s="1" t="s">
        <v>32</v>
      </c>
      <c r="AA1527" s="1" t="s">
        <v>33</v>
      </c>
      <c r="AB1527" s="36" t="str" cm="1">
        <f t="array" ref="AB1527">_xlfn.IFS(K1527&gt;650,"LOW",K1527&gt;=550,"MEDIUM",K1527&lt;550,"HIGH")</f>
        <v>HIGH</v>
      </c>
    </row>
    <row r="1528" spans="3:28" x14ac:dyDescent="0.3">
      <c r="C1528" s="35" t="s">
        <v>3572</v>
      </c>
      <c r="D1528" s="1" t="s">
        <v>1589</v>
      </c>
      <c r="E1528" s="1">
        <v>25</v>
      </c>
      <c r="F1528" s="1" t="s">
        <v>26</v>
      </c>
      <c r="G1528" s="1" t="s">
        <v>35</v>
      </c>
      <c r="H1528" s="1" t="s">
        <v>28</v>
      </c>
      <c r="I1528" s="1" t="s">
        <v>29</v>
      </c>
      <c r="J1528" s="7">
        <v>33777</v>
      </c>
      <c r="K1528" s="1">
        <v>432</v>
      </c>
      <c r="L1528" s="7">
        <v>45052</v>
      </c>
      <c r="M1528" s="1">
        <v>12</v>
      </c>
      <c r="N1528" s="6">
        <v>0.105</v>
      </c>
      <c r="O1528" s="1" t="s">
        <v>52</v>
      </c>
      <c r="P1528" s="1" t="s">
        <v>47</v>
      </c>
      <c r="Q1528" s="1">
        <v>3</v>
      </c>
      <c r="R1528" s="1">
        <v>2</v>
      </c>
      <c r="S1528" s="1" t="s">
        <v>33</v>
      </c>
      <c r="T1528" s="1" t="s">
        <v>33</v>
      </c>
      <c r="U1528" s="1">
        <v>3</v>
      </c>
      <c r="V1528" s="1">
        <v>47594</v>
      </c>
      <c r="W1528" s="7">
        <v>336.06</v>
      </c>
      <c r="X1528" s="1">
        <v>0.39</v>
      </c>
      <c r="Y1528" s="4">
        <v>45321</v>
      </c>
      <c r="Z1528" s="1" t="s">
        <v>38</v>
      </c>
      <c r="AA1528" s="1" t="s">
        <v>33</v>
      </c>
      <c r="AB1528" s="36" t="str" cm="1">
        <f t="array" ref="AB1528">_xlfn.IFS(K1528&gt;650,"LOW",K1528&gt;=550,"MEDIUM",K1528&lt;550,"HIGH")</f>
        <v>HIGH</v>
      </c>
    </row>
    <row r="1529" spans="3:28" x14ac:dyDescent="0.3">
      <c r="C1529" s="35" t="s">
        <v>3677</v>
      </c>
      <c r="D1529" s="1" t="s">
        <v>1689</v>
      </c>
      <c r="E1529" s="1">
        <v>39</v>
      </c>
      <c r="F1529" s="1" t="s">
        <v>26</v>
      </c>
      <c r="G1529" s="1" t="s">
        <v>56</v>
      </c>
      <c r="H1529" s="1" t="s">
        <v>54</v>
      </c>
      <c r="I1529" s="1" t="s">
        <v>29</v>
      </c>
      <c r="J1529" s="7">
        <v>140012</v>
      </c>
      <c r="K1529" s="1">
        <v>432</v>
      </c>
      <c r="L1529" s="7">
        <v>2753</v>
      </c>
      <c r="M1529" s="1">
        <v>48</v>
      </c>
      <c r="N1529" s="6">
        <v>0.13150000000000001</v>
      </c>
      <c r="O1529" s="1" t="s">
        <v>41</v>
      </c>
      <c r="P1529" s="1" t="s">
        <v>30</v>
      </c>
      <c r="Q1529" s="1">
        <v>13</v>
      </c>
      <c r="R1529" s="1">
        <v>1</v>
      </c>
      <c r="S1529" s="1" t="s">
        <v>33</v>
      </c>
      <c r="T1529" s="1" t="s">
        <v>31</v>
      </c>
      <c r="U1529" s="1">
        <v>3</v>
      </c>
      <c r="V1529" s="1">
        <v>21635</v>
      </c>
      <c r="W1529" s="7">
        <v>1897.57</v>
      </c>
      <c r="X1529" s="1">
        <v>0.55000000000000004</v>
      </c>
      <c r="Y1529" s="4">
        <v>44633</v>
      </c>
      <c r="Z1529" s="1" t="s">
        <v>38</v>
      </c>
      <c r="AA1529" s="1" t="s">
        <v>33</v>
      </c>
      <c r="AB1529" s="36" t="str" cm="1">
        <f t="array" ref="AB1529">_xlfn.IFS(K1529&gt;650,"LOW",K1529&gt;=550,"MEDIUM",K1529&lt;550,"HIGH")</f>
        <v>HIGH</v>
      </c>
    </row>
    <row r="1530" spans="3:28" x14ac:dyDescent="0.3">
      <c r="C1530" s="35" t="s">
        <v>3756</v>
      </c>
      <c r="D1530" s="1" t="s">
        <v>1764</v>
      </c>
      <c r="E1530" s="1">
        <v>22</v>
      </c>
      <c r="F1530" s="1" t="s">
        <v>44</v>
      </c>
      <c r="G1530" s="1" t="s">
        <v>35</v>
      </c>
      <c r="H1530" s="1" t="s">
        <v>28</v>
      </c>
      <c r="I1530" s="1" t="s">
        <v>29</v>
      </c>
      <c r="J1530" s="7">
        <v>79624</v>
      </c>
      <c r="K1530" s="1">
        <v>432</v>
      </c>
      <c r="L1530" s="7">
        <v>37048</v>
      </c>
      <c r="M1530" s="1">
        <v>48</v>
      </c>
      <c r="N1530" s="6">
        <v>0.18989999999999999</v>
      </c>
      <c r="O1530" s="1" t="s">
        <v>41</v>
      </c>
      <c r="P1530" s="1" t="s">
        <v>47</v>
      </c>
      <c r="Q1530" s="1">
        <v>7</v>
      </c>
      <c r="R1530" s="1">
        <v>0</v>
      </c>
      <c r="S1530" s="1" t="s">
        <v>33</v>
      </c>
      <c r="T1530" s="1" t="s">
        <v>33</v>
      </c>
      <c r="U1530" s="1">
        <v>2</v>
      </c>
      <c r="V1530" s="1">
        <v>17447</v>
      </c>
      <c r="W1530" s="7">
        <v>1653.16</v>
      </c>
      <c r="X1530" s="1">
        <v>0.79</v>
      </c>
      <c r="Y1530" s="4">
        <v>45150</v>
      </c>
      <c r="Z1530" s="1" t="s">
        <v>38</v>
      </c>
      <c r="AA1530" s="1" t="s">
        <v>33</v>
      </c>
      <c r="AB1530" s="36" t="str" cm="1">
        <f t="array" ref="AB1530">_xlfn.IFS(K1530&gt;650,"LOW",K1530&gt;=550,"MEDIUM",K1530&lt;550,"HIGH")</f>
        <v>HIGH</v>
      </c>
    </row>
    <row r="1531" spans="3:28" x14ac:dyDescent="0.3">
      <c r="C1531" s="35" t="s">
        <v>2357</v>
      </c>
      <c r="D1531" s="1" t="s">
        <v>388</v>
      </c>
      <c r="E1531" s="1">
        <v>38</v>
      </c>
      <c r="F1531" s="1" t="s">
        <v>44</v>
      </c>
      <c r="G1531" s="1" t="s">
        <v>35</v>
      </c>
      <c r="H1531" s="1" t="s">
        <v>61</v>
      </c>
      <c r="I1531" s="1" t="s">
        <v>29</v>
      </c>
      <c r="J1531" s="7">
        <v>47867</v>
      </c>
      <c r="K1531" s="1">
        <v>431</v>
      </c>
      <c r="L1531" s="7">
        <v>10304</v>
      </c>
      <c r="M1531" s="1">
        <v>12</v>
      </c>
      <c r="N1531" s="6">
        <v>0.16300000000000001</v>
      </c>
      <c r="O1531" s="1" t="s">
        <v>41</v>
      </c>
      <c r="P1531" s="1" t="s">
        <v>30</v>
      </c>
      <c r="Q1531" s="1">
        <v>23</v>
      </c>
      <c r="R1531" s="1">
        <v>4</v>
      </c>
      <c r="S1531" s="1" t="s">
        <v>31</v>
      </c>
      <c r="T1531" s="1" t="s">
        <v>33</v>
      </c>
      <c r="U1531" s="1">
        <v>0</v>
      </c>
      <c r="V1531" s="1">
        <v>11772</v>
      </c>
      <c r="W1531" s="7">
        <v>1665.97</v>
      </c>
      <c r="X1531" s="1">
        <v>0.26</v>
      </c>
      <c r="Y1531" s="4">
        <v>45793</v>
      </c>
      <c r="Z1531" s="1" t="s">
        <v>38</v>
      </c>
      <c r="AA1531" s="1" t="s">
        <v>33</v>
      </c>
      <c r="AB1531" s="36" t="str" cm="1">
        <f t="array" ref="AB1531">_xlfn.IFS(K1531&gt;650,"LOW",K1531&gt;=550,"MEDIUM",K1531&lt;550,"HIGH")</f>
        <v>HIGH</v>
      </c>
    </row>
    <row r="1532" spans="3:28" x14ac:dyDescent="0.3">
      <c r="C1532" s="35" t="s">
        <v>2430</v>
      </c>
      <c r="D1532" s="1" t="s">
        <v>460</v>
      </c>
      <c r="E1532" s="1">
        <v>57</v>
      </c>
      <c r="F1532" s="1" t="s">
        <v>26</v>
      </c>
      <c r="G1532" s="1" t="s">
        <v>35</v>
      </c>
      <c r="H1532" s="1" t="s">
        <v>36</v>
      </c>
      <c r="I1532" s="1" t="s">
        <v>57</v>
      </c>
      <c r="J1532" s="7">
        <v>70711</v>
      </c>
      <c r="K1532" s="1">
        <v>431</v>
      </c>
      <c r="L1532" s="7">
        <v>13239</v>
      </c>
      <c r="M1532" s="1">
        <v>12</v>
      </c>
      <c r="N1532" s="6">
        <v>0.1381</v>
      </c>
      <c r="O1532" s="1" t="s">
        <v>46</v>
      </c>
      <c r="P1532" s="1" t="s">
        <v>47</v>
      </c>
      <c r="Q1532" s="1">
        <v>7</v>
      </c>
      <c r="R1532" s="1">
        <v>1</v>
      </c>
      <c r="S1532" s="1" t="s">
        <v>33</v>
      </c>
      <c r="T1532" s="1" t="s">
        <v>33</v>
      </c>
      <c r="U1532" s="1">
        <v>0</v>
      </c>
      <c r="V1532" s="1">
        <v>172443</v>
      </c>
      <c r="W1532" s="7">
        <v>1999.66</v>
      </c>
      <c r="X1532" s="1">
        <v>0.23</v>
      </c>
      <c r="Y1532" s="4">
        <v>45519</v>
      </c>
      <c r="Z1532" s="1" t="s">
        <v>32</v>
      </c>
      <c r="AA1532" s="1" t="s">
        <v>33</v>
      </c>
      <c r="AB1532" s="36" t="str" cm="1">
        <f t="array" ref="AB1532">_xlfn.IFS(K1532&gt;650,"LOW",K1532&gt;=550,"MEDIUM",K1532&lt;550,"HIGH")</f>
        <v>HIGH</v>
      </c>
    </row>
    <row r="1533" spans="3:28" x14ac:dyDescent="0.3">
      <c r="C1533" s="35" t="s">
        <v>3074</v>
      </c>
      <c r="D1533" s="1" t="s">
        <v>1100</v>
      </c>
      <c r="E1533" s="1">
        <v>28</v>
      </c>
      <c r="F1533" s="1" t="s">
        <v>44</v>
      </c>
      <c r="G1533" s="1" t="s">
        <v>56</v>
      </c>
      <c r="H1533" s="1" t="s">
        <v>54</v>
      </c>
      <c r="I1533" s="1" t="s">
        <v>57</v>
      </c>
      <c r="J1533" s="7">
        <v>71586</v>
      </c>
      <c r="K1533" s="1">
        <v>431</v>
      </c>
      <c r="L1533" s="7">
        <v>39973</v>
      </c>
      <c r="M1533" s="1">
        <v>36</v>
      </c>
      <c r="N1533" s="6">
        <v>0.19690000000000002</v>
      </c>
      <c r="O1533" s="1" t="s">
        <v>63</v>
      </c>
      <c r="P1533" s="1" t="s">
        <v>47</v>
      </c>
      <c r="Q1533" s="1">
        <v>11</v>
      </c>
      <c r="R1533" s="1">
        <v>0</v>
      </c>
      <c r="S1533" s="1" t="s">
        <v>31</v>
      </c>
      <c r="T1533" s="1" t="s">
        <v>33</v>
      </c>
      <c r="U1533" s="1">
        <v>1</v>
      </c>
      <c r="V1533" s="1">
        <v>87667</v>
      </c>
      <c r="W1533" s="7">
        <v>1873.82</v>
      </c>
      <c r="X1533" s="1">
        <v>0.25</v>
      </c>
      <c r="Y1533" s="4">
        <v>45457</v>
      </c>
      <c r="Z1533" s="1" t="s">
        <v>32</v>
      </c>
      <c r="AA1533" s="1" t="s">
        <v>31</v>
      </c>
      <c r="AB1533" s="36" t="str" cm="1">
        <f t="array" ref="AB1533">_xlfn.IFS(K1533&gt;650,"LOW",K1533&gt;=550,"MEDIUM",K1533&lt;550,"HIGH")</f>
        <v>HIGH</v>
      </c>
    </row>
    <row r="1534" spans="3:28" x14ac:dyDescent="0.3">
      <c r="C1534" s="35" t="s">
        <v>3776</v>
      </c>
      <c r="D1534" s="1" t="s">
        <v>1783</v>
      </c>
      <c r="E1534" s="1">
        <v>31</v>
      </c>
      <c r="F1534" s="1" t="s">
        <v>44</v>
      </c>
      <c r="G1534" s="1" t="s">
        <v>35</v>
      </c>
      <c r="H1534" s="1" t="s">
        <v>61</v>
      </c>
      <c r="I1534" s="1" t="s">
        <v>59</v>
      </c>
      <c r="J1534" s="7">
        <v>126718</v>
      </c>
      <c r="K1534" s="1">
        <v>431</v>
      </c>
      <c r="L1534" s="7">
        <v>39255</v>
      </c>
      <c r="M1534" s="1">
        <v>36</v>
      </c>
      <c r="N1534" s="6">
        <v>0.1192</v>
      </c>
      <c r="O1534" s="1" t="s">
        <v>41</v>
      </c>
      <c r="P1534" s="1" t="s">
        <v>50</v>
      </c>
      <c r="Q1534" s="1">
        <v>7</v>
      </c>
      <c r="R1534" s="1">
        <v>4</v>
      </c>
      <c r="S1534" s="1" t="s">
        <v>31</v>
      </c>
      <c r="T1534" s="1" t="s">
        <v>33</v>
      </c>
      <c r="U1534" s="1">
        <v>4</v>
      </c>
      <c r="V1534" s="1">
        <v>198138</v>
      </c>
      <c r="W1534" s="7">
        <v>285.2</v>
      </c>
      <c r="X1534" s="1">
        <v>0.6</v>
      </c>
      <c r="Y1534" s="4">
        <v>45498</v>
      </c>
      <c r="Z1534" s="1" t="s">
        <v>32</v>
      </c>
      <c r="AA1534" s="1" t="s">
        <v>33</v>
      </c>
      <c r="AB1534" s="36" t="str" cm="1">
        <f t="array" ref="AB1534">_xlfn.IFS(K1534&gt;650,"LOW",K1534&gt;=550,"MEDIUM",K1534&lt;550,"HIGH")</f>
        <v>HIGH</v>
      </c>
    </row>
    <row r="1535" spans="3:28" x14ac:dyDescent="0.3">
      <c r="C1535" s="35" t="s">
        <v>2544</v>
      </c>
      <c r="D1535" s="1" t="s">
        <v>574</v>
      </c>
      <c r="E1535" s="1">
        <v>43</v>
      </c>
      <c r="F1535" s="1" t="s">
        <v>26</v>
      </c>
      <c r="G1535" s="1" t="s">
        <v>56</v>
      </c>
      <c r="H1535" s="1" t="s">
        <v>36</v>
      </c>
      <c r="I1535" s="1" t="s">
        <v>40</v>
      </c>
      <c r="J1535" s="7">
        <v>91629</v>
      </c>
      <c r="K1535" s="1">
        <v>430</v>
      </c>
      <c r="L1535" s="7">
        <v>3552</v>
      </c>
      <c r="M1535" s="1">
        <v>48</v>
      </c>
      <c r="N1535" s="6">
        <v>8.4100000000000008E-2</v>
      </c>
      <c r="O1535" s="1" t="s">
        <v>41</v>
      </c>
      <c r="P1535" s="1" t="s">
        <v>50</v>
      </c>
      <c r="Q1535" s="1">
        <v>3</v>
      </c>
      <c r="R1535" s="1">
        <v>1</v>
      </c>
      <c r="S1535" s="1" t="s">
        <v>33</v>
      </c>
      <c r="T1535" s="1" t="s">
        <v>33</v>
      </c>
      <c r="U1535" s="1">
        <v>4</v>
      </c>
      <c r="V1535" s="1">
        <v>1986</v>
      </c>
      <c r="W1535" s="7">
        <v>553.67999999999995</v>
      </c>
      <c r="X1535" s="1">
        <v>0.47</v>
      </c>
      <c r="Y1535" s="4">
        <v>44187</v>
      </c>
      <c r="Z1535" s="1" t="s">
        <v>38</v>
      </c>
      <c r="AA1535" s="1" t="s">
        <v>31</v>
      </c>
      <c r="AB1535" s="36" t="str" cm="1">
        <f t="array" ref="AB1535">_xlfn.IFS(K1535&gt;650,"LOW",K1535&gt;=550,"MEDIUM",K1535&lt;550,"HIGH")</f>
        <v>HIGH</v>
      </c>
    </row>
    <row r="1536" spans="3:28" x14ac:dyDescent="0.3">
      <c r="C1536" s="35" t="s">
        <v>2715</v>
      </c>
      <c r="D1536" s="1" t="s">
        <v>745</v>
      </c>
      <c r="E1536" s="1">
        <v>48</v>
      </c>
      <c r="F1536" s="1" t="s">
        <v>26</v>
      </c>
      <c r="G1536" s="1" t="s">
        <v>35</v>
      </c>
      <c r="H1536" s="1" t="s">
        <v>54</v>
      </c>
      <c r="I1536" s="1" t="s">
        <v>59</v>
      </c>
      <c r="J1536" s="7">
        <v>60502</v>
      </c>
      <c r="K1536" s="1">
        <v>430</v>
      </c>
      <c r="L1536" s="7">
        <v>38657</v>
      </c>
      <c r="M1536" s="1">
        <v>12</v>
      </c>
      <c r="N1536" s="6">
        <v>0.1507</v>
      </c>
      <c r="O1536" s="1" t="s">
        <v>52</v>
      </c>
      <c r="P1536" s="1" t="s">
        <v>30</v>
      </c>
      <c r="Q1536" s="1">
        <v>7</v>
      </c>
      <c r="R1536" s="1">
        <v>4</v>
      </c>
      <c r="S1536" s="1" t="s">
        <v>33</v>
      </c>
      <c r="T1536" s="1" t="s">
        <v>33</v>
      </c>
      <c r="U1536" s="1">
        <v>3</v>
      </c>
      <c r="V1536" s="1">
        <v>188564</v>
      </c>
      <c r="W1536" s="7">
        <v>1429.79</v>
      </c>
      <c r="X1536" s="1">
        <v>0.43</v>
      </c>
      <c r="Y1536" s="4">
        <v>44344</v>
      </c>
      <c r="Z1536" s="1" t="s">
        <v>32</v>
      </c>
      <c r="AA1536" s="1" t="s">
        <v>33</v>
      </c>
      <c r="AB1536" s="36" t="str" cm="1">
        <f t="array" ref="AB1536">_xlfn.IFS(K1536&gt;650,"LOW",K1536&gt;=550,"MEDIUM",K1536&lt;550,"HIGH")</f>
        <v>HIGH</v>
      </c>
    </row>
    <row r="1537" spans="3:28" x14ac:dyDescent="0.3">
      <c r="C1537" s="35" t="s">
        <v>3270</v>
      </c>
      <c r="D1537" s="1" t="s">
        <v>1293</v>
      </c>
      <c r="E1537" s="1">
        <v>54</v>
      </c>
      <c r="F1537" s="1" t="s">
        <v>44</v>
      </c>
      <c r="G1537" s="1" t="s">
        <v>56</v>
      </c>
      <c r="H1537" s="1" t="s">
        <v>61</v>
      </c>
      <c r="I1537" s="1" t="s">
        <v>57</v>
      </c>
      <c r="J1537" s="7">
        <v>100373</v>
      </c>
      <c r="K1537" s="1">
        <v>430</v>
      </c>
      <c r="L1537" s="7">
        <v>3526</v>
      </c>
      <c r="M1537" s="1">
        <v>48</v>
      </c>
      <c r="N1537" s="6">
        <v>6.4299999999999996E-2</v>
      </c>
      <c r="O1537" s="1" t="s">
        <v>5</v>
      </c>
      <c r="P1537" s="1" t="s">
        <v>50</v>
      </c>
      <c r="Q1537" s="1">
        <v>9</v>
      </c>
      <c r="R1537" s="1">
        <v>3</v>
      </c>
      <c r="S1537" s="1" t="s">
        <v>33</v>
      </c>
      <c r="T1537" s="1" t="s">
        <v>33</v>
      </c>
      <c r="U1537" s="1">
        <v>2</v>
      </c>
      <c r="V1537" s="1">
        <v>149416</v>
      </c>
      <c r="W1537" s="7">
        <v>932.79</v>
      </c>
      <c r="X1537" s="1">
        <v>0.51</v>
      </c>
      <c r="Y1537" s="4">
        <v>45047</v>
      </c>
      <c r="Z1537" s="1" t="s">
        <v>38</v>
      </c>
      <c r="AA1537" s="1" t="s">
        <v>33</v>
      </c>
      <c r="AB1537" s="36" t="str" cm="1">
        <f t="array" ref="AB1537">_xlfn.IFS(K1537&gt;650,"LOW",K1537&gt;=550,"MEDIUM",K1537&lt;550,"HIGH")</f>
        <v>HIGH</v>
      </c>
    </row>
    <row r="1538" spans="3:28" x14ac:dyDescent="0.3">
      <c r="C1538" s="35" t="s">
        <v>2239</v>
      </c>
      <c r="D1538" s="1" t="s">
        <v>270</v>
      </c>
      <c r="E1538" s="1">
        <v>31</v>
      </c>
      <c r="F1538" s="1" t="s">
        <v>26</v>
      </c>
      <c r="G1538" s="1" t="s">
        <v>45</v>
      </c>
      <c r="H1538" s="1" t="s">
        <v>54</v>
      </c>
      <c r="I1538" s="1" t="s">
        <v>40</v>
      </c>
      <c r="J1538" s="7">
        <v>121489</v>
      </c>
      <c r="K1538" s="1">
        <v>429</v>
      </c>
      <c r="L1538" s="7">
        <v>24446</v>
      </c>
      <c r="M1538" s="1">
        <v>36</v>
      </c>
      <c r="N1538" s="6">
        <v>5.8200000000000002E-2</v>
      </c>
      <c r="O1538" s="1" t="s">
        <v>5</v>
      </c>
      <c r="P1538" s="1" t="s">
        <v>50</v>
      </c>
      <c r="Q1538" s="1">
        <v>11</v>
      </c>
      <c r="R1538" s="1">
        <v>1</v>
      </c>
      <c r="S1538" s="1" t="s">
        <v>31</v>
      </c>
      <c r="T1538" s="1" t="s">
        <v>31</v>
      </c>
      <c r="U1538" s="1">
        <v>2</v>
      </c>
      <c r="V1538" s="1">
        <v>14612</v>
      </c>
      <c r="W1538" s="7">
        <v>243.29</v>
      </c>
      <c r="X1538" s="1">
        <v>0.54</v>
      </c>
      <c r="Y1538" s="4">
        <v>45794</v>
      </c>
      <c r="Z1538" s="1" t="s">
        <v>32</v>
      </c>
      <c r="AA1538" s="1" t="s">
        <v>33</v>
      </c>
      <c r="AB1538" s="36" t="str" cm="1">
        <f t="array" ref="AB1538">_xlfn.IFS(K1538&gt;650,"LOW",K1538&gt;=550,"MEDIUM",K1538&lt;550,"HIGH")</f>
        <v>HIGH</v>
      </c>
    </row>
    <row r="1539" spans="3:28" x14ac:dyDescent="0.3">
      <c r="C1539" s="35" t="s">
        <v>2355</v>
      </c>
      <c r="D1539" s="1" t="s">
        <v>386</v>
      </c>
      <c r="E1539" s="1">
        <v>53</v>
      </c>
      <c r="F1539" s="1" t="s">
        <v>26</v>
      </c>
      <c r="G1539" s="1" t="s">
        <v>56</v>
      </c>
      <c r="H1539" s="1" t="s">
        <v>28</v>
      </c>
      <c r="I1539" s="1" t="s">
        <v>59</v>
      </c>
      <c r="J1539" s="7">
        <v>58826</v>
      </c>
      <c r="K1539" s="1">
        <v>429</v>
      </c>
      <c r="L1539" s="7">
        <v>17479</v>
      </c>
      <c r="M1539" s="1">
        <v>24</v>
      </c>
      <c r="N1539" s="6">
        <v>0.16519999999999999</v>
      </c>
      <c r="O1539" s="1" t="s">
        <v>41</v>
      </c>
      <c r="P1539" s="1" t="s">
        <v>30</v>
      </c>
      <c r="Q1539" s="1">
        <v>19</v>
      </c>
      <c r="R1539" s="1">
        <v>4</v>
      </c>
      <c r="S1539" s="1" t="s">
        <v>31</v>
      </c>
      <c r="T1539" s="1" t="s">
        <v>31</v>
      </c>
      <c r="U1539" s="1">
        <v>2</v>
      </c>
      <c r="V1539" s="1">
        <v>118156</v>
      </c>
      <c r="W1539" s="7">
        <v>1773.28</v>
      </c>
      <c r="X1539" s="1">
        <v>0.44</v>
      </c>
      <c r="Y1539" s="4">
        <v>45548</v>
      </c>
      <c r="Z1539" s="1" t="s">
        <v>32</v>
      </c>
      <c r="AA1539" s="1" t="s">
        <v>33</v>
      </c>
      <c r="AB1539" s="36" t="str" cm="1">
        <f t="array" ref="AB1539">_xlfn.IFS(K1539&gt;650,"LOW",K1539&gt;=550,"MEDIUM",K1539&lt;550,"HIGH")</f>
        <v>HIGH</v>
      </c>
    </row>
    <row r="1540" spans="3:28" x14ac:dyDescent="0.3">
      <c r="C1540" s="35" t="s">
        <v>2367</v>
      </c>
      <c r="D1540" s="1" t="s">
        <v>397</v>
      </c>
      <c r="E1540" s="1">
        <v>22</v>
      </c>
      <c r="F1540" s="1" t="s">
        <v>26</v>
      </c>
      <c r="G1540" s="1" t="s">
        <v>27</v>
      </c>
      <c r="H1540" s="1" t="s">
        <v>28</v>
      </c>
      <c r="I1540" s="1" t="s">
        <v>57</v>
      </c>
      <c r="J1540" s="7">
        <v>69434</v>
      </c>
      <c r="K1540" s="1">
        <v>429</v>
      </c>
      <c r="L1540" s="7">
        <v>37845</v>
      </c>
      <c r="M1540" s="1">
        <v>12</v>
      </c>
      <c r="N1540" s="6">
        <v>0.1245</v>
      </c>
      <c r="O1540" s="1" t="s">
        <v>5</v>
      </c>
      <c r="P1540" s="1" t="s">
        <v>47</v>
      </c>
      <c r="Q1540" s="1">
        <v>8</v>
      </c>
      <c r="R1540" s="1">
        <v>2</v>
      </c>
      <c r="S1540" s="1" t="s">
        <v>31</v>
      </c>
      <c r="T1540" s="1" t="s">
        <v>31</v>
      </c>
      <c r="U1540" s="1">
        <v>2</v>
      </c>
      <c r="V1540" s="1">
        <v>158629</v>
      </c>
      <c r="W1540" s="7">
        <v>933.09</v>
      </c>
      <c r="X1540" s="1">
        <v>0.93</v>
      </c>
      <c r="Y1540" s="4">
        <v>44773</v>
      </c>
      <c r="Z1540" s="1" t="s">
        <v>38</v>
      </c>
      <c r="AA1540" s="1" t="s">
        <v>33</v>
      </c>
      <c r="AB1540" s="36" t="str" cm="1">
        <f t="array" ref="AB1540">_xlfn.IFS(K1540&gt;650,"LOW",K1540&gt;=550,"MEDIUM",K1540&lt;550,"HIGH")</f>
        <v>HIGH</v>
      </c>
    </row>
    <row r="1541" spans="3:28" x14ac:dyDescent="0.3">
      <c r="C1541" s="35" t="s">
        <v>2021</v>
      </c>
      <c r="D1541" s="1" t="s">
        <v>34</v>
      </c>
      <c r="E1541" s="1">
        <v>49</v>
      </c>
      <c r="F1541" s="1" t="s">
        <v>26</v>
      </c>
      <c r="G1541" s="1" t="s">
        <v>35</v>
      </c>
      <c r="H1541" s="1" t="s">
        <v>36</v>
      </c>
      <c r="I1541" s="1" t="s">
        <v>29</v>
      </c>
      <c r="J1541" s="7">
        <v>144010</v>
      </c>
      <c r="K1541" s="1">
        <v>428</v>
      </c>
      <c r="L1541" s="7">
        <v>41611</v>
      </c>
      <c r="M1541" s="1">
        <v>48</v>
      </c>
      <c r="N1541" s="6">
        <v>0.10249999999999999</v>
      </c>
      <c r="O1541" s="1" t="s">
        <v>37</v>
      </c>
      <c r="P1541" s="1" t="s">
        <v>30</v>
      </c>
      <c r="Q1541" s="1">
        <v>27</v>
      </c>
      <c r="R1541" s="1">
        <v>1</v>
      </c>
      <c r="S1541" s="1" t="s">
        <v>31</v>
      </c>
      <c r="T1541" s="1" t="s">
        <v>33</v>
      </c>
      <c r="U1541" s="1">
        <v>3</v>
      </c>
      <c r="V1541" s="1">
        <v>174835</v>
      </c>
      <c r="W1541" s="7">
        <v>1897.43</v>
      </c>
      <c r="X1541" s="1">
        <v>0.56000000000000005</v>
      </c>
      <c r="Y1541" s="4">
        <v>45183</v>
      </c>
      <c r="Z1541" s="1" t="s">
        <v>38</v>
      </c>
      <c r="AA1541" s="1" t="s">
        <v>33</v>
      </c>
      <c r="AB1541" s="36" t="str" cm="1">
        <f t="array" ref="AB1541">_xlfn.IFS(K1541&gt;650,"LOW",K1541&gt;=550,"MEDIUM",K1541&lt;550,"HIGH")</f>
        <v>HIGH</v>
      </c>
    </row>
    <row r="1542" spans="3:28" x14ac:dyDescent="0.3">
      <c r="C1542" s="35" t="s">
        <v>3002</v>
      </c>
      <c r="D1542" s="1" t="s">
        <v>1029</v>
      </c>
      <c r="E1542" s="1">
        <v>60</v>
      </c>
      <c r="F1542" s="1" t="s">
        <v>26</v>
      </c>
      <c r="G1542" s="1" t="s">
        <v>56</v>
      </c>
      <c r="H1542" s="1" t="s">
        <v>61</v>
      </c>
      <c r="I1542" s="1" t="s">
        <v>59</v>
      </c>
      <c r="J1542" s="7">
        <v>128612</v>
      </c>
      <c r="K1542" s="1">
        <v>428</v>
      </c>
      <c r="L1542" s="7">
        <v>47581</v>
      </c>
      <c r="M1542" s="1">
        <v>36</v>
      </c>
      <c r="N1542" s="6">
        <v>7.22E-2</v>
      </c>
      <c r="O1542" s="1" t="s">
        <v>41</v>
      </c>
      <c r="P1542" s="1" t="s">
        <v>30</v>
      </c>
      <c r="Q1542" s="1">
        <v>20</v>
      </c>
      <c r="R1542" s="1">
        <v>0</v>
      </c>
      <c r="S1542" s="1" t="s">
        <v>31</v>
      </c>
      <c r="T1542" s="1" t="s">
        <v>33</v>
      </c>
      <c r="U1542" s="1">
        <v>4</v>
      </c>
      <c r="V1542" s="1">
        <v>128428</v>
      </c>
      <c r="W1542" s="7">
        <v>584.01</v>
      </c>
      <c r="X1542" s="1">
        <v>0.86</v>
      </c>
      <c r="Y1542" s="4">
        <v>44539</v>
      </c>
      <c r="Z1542" s="1" t="s">
        <v>38</v>
      </c>
      <c r="AA1542" s="1" t="s">
        <v>31</v>
      </c>
      <c r="AB1542" s="36" t="str" cm="1">
        <f t="array" ref="AB1542">_xlfn.IFS(K1542&gt;650,"LOW",K1542&gt;=550,"MEDIUM",K1542&lt;550,"HIGH")</f>
        <v>HIGH</v>
      </c>
    </row>
    <row r="1543" spans="3:28" x14ac:dyDescent="0.3">
      <c r="C1543" s="35" t="s">
        <v>2048</v>
      </c>
      <c r="D1543" s="1" t="s">
        <v>79</v>
      </c>
      <c r="E1543" s="1">
        <v>45</v>
      </c>
      <c r="F1543" s="1" t="s">
        <v>44</v>
      </c>
      <c r="G1543" s="1" t="s">
        <v>56</v>
      </c>
      <c r="H1543" s="1" t="s">
        <v>54</v>
      </c>
      <c r="I1543" s="1" t="s">
        <v>29</v>
      </c>
      <c r="J1543" s="7">
        <v>25666</v>
      </c>
      <c r="K1543" s="1">
        <v>427</v>
      </c>
      <c r="L1543" s="7">
        <v>16611</v>
      </c>
      <c r="M1543" s="1">
        <v>60</v>
      </c>
      <c r="N1543" s="6">
        <v>6.4899999999999999E-2</v>
      </c>
      <c r="O1543" s="1" t="s">
        <v>41</v>
      </c>
      <c r="P1543" s="1" t="s">
        <v>30</v>
      </c>
      <c r="Q1543" s="1">
        <v>15</v>
      </c>
      <c r="R1543" s="1">
        <v>1</v>
      </c>
      <c r="S1543" s="1" t="s">
        <v>31</v>
      </c>
      <c r="T1543" s="1" t="s">
        <v>31</v>
      </c>
      <c r="U1543" s="1">
        <v>3</v>
      </c>
      <c r="V1543" s="1">
        <v>183490</v>
      </c>
      <c r="W1543" s="7">
        <v>1200.47</v>
      </c>
      <c r="X1543" s="1">
        <v>0.74</v>
      </c>
      <c r="Y1543" s="4">
        <v>45618</v>
      </c>
      <c r="Z1543" s="1" t="s">
        <v>38</v>
      </c>
      <c r="AA1543" s="1" t="s">
        <v>33</v>
      </c>
      <c r="AB1543" s="36" t="str" cm="1">
        <f t="array" ref="AB1543">_xlfn.IFS(K1543&gt;650,"LOW",K1543&gt;=550,"MEDIUM",K1543&lt;550,"HIGH")</f>
        <v>HIGH</v>
      </c>
    </row>
    <row r="1544" spans="3:28" x14ac:dyDescent="0.3">
      <c r="C1544" s="35" t="s">
        <v>2171</v>
      </c>
      <c r="D1544" s="1" t="s">
        <v>202</v>
      </c>
      <c r="E1544" s="1">
        <v>52</v>
      </c>
      <c r="F1544" s="1" t="s">
        <v>44</v>
      </c>
      <c r="G1544" s="1" t="s">
        <v>27</v>
      </c>
      <c r="H1544" s="1" t="s">
        <v>54</v>
      </c>
      <c r="I1544" s="1" t="s">
        <v>40</v>
      </c>
      <c r="J1544" s="7">
        <v>67663</v>
      </c>
      <c r="K1544" s="1">
        <v>427</v>
      </c>
      <c r="L1544" s="7">
        <v>7487</v>
      </c>
      <c r="M1544" s="1">
        <v>60</v>
      </c>
      <c r="N1544" s="6">
        <v>8.3699999999999997E-2</v>
      </c>
      <c r="O1544" s="1" t="s">
        <v>63</v>
      </c>
      <c r="P1544" s="1" t="s">
        <v>47</v>
      </c>
      <c r="Q1544" s="1">
        <v>23</v>
      </c>
      <c r="R1544" s="1">
        <v>2</v>
      </c>
      <c r="S1544" s="1" t="s">
        <v>31</v>
      </c>
      <c r="T1544" s="1" t="s">
        <v>31</v>
      </c>
      <c r="U1544" s="1">
        <v>2</v>
      </c>
      <c r="V1544" s="1">
        <v>73501</v>
      </c>
      <c r="W1544" s="7">
        <v>1494.05</v>
      </c>
      <c r="X1544" s="1">
        <v>0.16</v>
      </c>
      <c r="Y1544" s="4">
        <v>44240</v>
      </c>
      <c r="Z1544" s="1" t="s">
        <v>38</v>
      </c>
      <c r="AA1544" s="1" t="s">
        <v>31</v>
      </c>
      <c r="AB1544" s="36" t="str" cm="1">
        <f t="array" ref="AB1544">_xlfn.IFS(K1544&gt;650,"LOW",K1544&gt;=550,"MEDIUM",K1544&lt;550,"HIGH")</f>
        <v>HIGH</v>
      </c>
    </row>
    <row r="1545" spans="3:28" x14ac:dyDescent="0.3">
      <c r="C1545" s="35" t="s">
        <v>2405</v>
      </c>
      <c r="D1545" s="1" t="s">
        <v>435</v>
      </c>
      <c r="E1545" s="1">
        <v>26</v>
      </c>
      <c r="F1545" s="1" t="s">
        <v>44</v>
      </c>
      <c r="G1545" s="1" t="s">
        <v>35</v>
      </c>
      <c r="H1545" s="1" t="s">
        <v>54</v>
      </c>
      <c r="I1545" s="1" t="s">
        <v>57</v>
      </c>
      <c r="J1545" s="7">
        <v>80624</v>
      </c>
      <c r="K1545" s="1">
        <v>427</v>
      </c>
      <c r="L1545" s="7">
        <v>23159</v>
      </c>
      <c r="M1545" s="1">
        <v>24</v>
      </c>
      <c r="N1545" s="6">
        <v>0.19339999999999999</v>
      </c>
      <c r="O1545" s="1" t="s">
        <v>46</v>
      </c>
      <c r="P1545" s="1" t="s">
        <v>30</v>
      </c>
      <c r="Q1545" s="1">
        <v>11</v>
      </c>
      <c r="R1545" s="1">
        <v>2</v>
      </c>
      <c r="S1545" s="1" t="s">
        <v>33</v>
      </c>
      <c r="T1545" s="1" t="s">
        <v>31</v>
      </c>
      <c r="U1545" s="1">
        <v>0</v>
      </c>
      <c r="V1545" s="1">
        <v>173883</v>
      </c>
      <c r="W1545" s="7">
        <v>1468.89</v>
      </c>
      <c r="X1545" s="1">
        <v>0.66</v>
      </c>
      <c r="Y1545" s="4">
        <v>45571</v>
      </c>
      <c r="Z1545" s="1" t="s">
        <v>38</v>
      </c>
      <c r="AA1545" s="1" t="s">
        <v>33</v>
      </c>
      <c r="AB1545" s="36" t="str" cm="1">
        <f t="array" ref="AB1545">_xlfn.IFS(K1545&gt;650,"LOW",K1545&gt;=550,"MEDIUM",K1545&lt;550,"HIGH")</f>
        <v>HIGH</v>
      </c>
    </row>
    <row r="1546" spans="3:28" x14ac:dyDescent="0.3">
      <c r="C1546" s="35" t="s">
        <v>2450</v>
      </c>
      <c r="D1546" s="1" t="s">
        <v>480</v>
      </c>
      <c r="E1546" s="1">
        <v>36</v>
      </c>
      <c r="F1546" s="1" t="s">
        <v>26</v>
      </c>
      <c r="G1546" s="1" t="s">
        <v>35</v>
      </c>
      <c r="H1546" s="1" t="s">
        <v>61</v>
      </c>
      <c r="I1546" s="1" t="s">
        <v>59</v>
      </c>
      <c r="J1546" s="7">
        <v>70755</v>
      </c>
      <c r="K1546" s="1">
        <v>427</v>
      </c>
      <c r="L1546" s="7">
        <v>44989</v>
      </c>
      <c r="M1546" s="1">
        <v>24</v>
      </c>
      <c r="N1546" s="6">
        <v>0.1338</v>
      </c>
      <c r="O1546" s="1" t="s">
        <v>46</v>
      </c>
      <c r="P1546" s="1" t="s">
        <v>50</v>
      </c>
      <c r="Q1546" s="1">
        <v>16</v>
      </c>
      <c r="R1546" s="1">
        <v>0</v>
      </c>
      <c r="S1546" s="1" t="s">
        <v>31</v>
      </c>
      <c r="T1546" s="1" t="s">
        <v>31</v>
      </c>
      <c r="U1546" s="1">
        <v>3</v>
      </c>
      <c r="V1546" s="1">
        <v>186087</v>
      </c>
      <c r="W1546" s="7">
        <v>1081.55</v>
      </c>
      <c r="X1546" s="1">
        <v>0.77</v>
      </c>
      <c r="Y1546" s="4">
        <v>44651</v>
      </c>
      <c r="Z1546" s="1" t="s">
        <v>38</v>
      </c>
      <c r="AA1546" s="1" t="s">
        <v>33</v>
      </c>
      <c r="AB1546" s="36" t="str" cm="1">
        <f t="array" ref="AB1546">_xlfn.IFS(K1546&gt;650,"LOW",K1546&gt;=550,"MEDIUM",K1546&lt;550,"HIGH")</f>
        <v>HIGH</v>
      </c>
    </row>
    <row r="1547" spans="3:28" x14ac:dyDescent="0.3">
      <c r="C1547" s="35" t="s">
        <v>3628</v>
      </c>
      <c r="D1547" s="1" t="s">
        <v>1640</v>
      </c>
      <c r="E1547" s="1">
        <v>42</v>
      </c>
      <c r="F1547" s="1" t="s">
        <v>44</v>
      </c>
      <c r="G1547" s="1" t="s">
        <v>27</v>
      </c>
      <c r="H1547" s="1" t="s">
        <v>28</v>
      </c>
      <c r="I1547" s="1" t="s">
        <v>40</v>
      </c>
      <c r="J1547" s="7">
        <v>70374</v>
      </c>
      <c r="K1547" s="1">
        <v>427</v>
      </c>
      <c r="L1547" s="7">
        <v>26594</v>
      </c>
      <c r="M1547" s="1">
        <v>60</v>
      </c>
      <c r="N1547" s="6">
        <v>0.17480000000000001</v>
      </c>
      <c r="O1547" s="1" t="s">
        <v>63</v>
      </c>
      <c r="P1547" s="1" t="s">
        <v>47</v>
      </c>
      <c r="Q1547" s="1">
        <v>5</v>
      </c>
      <c r="R1547" s="1">
        <v>3</v>
      </c>
      <c r="S1547" s="1" t="s">
        <v>33</v>
      </c>
      <c r="T1547" s="1" t="s">
        <v>33</v>
      </c>
      <c r="U1547" s="1">
        <v>2</v>
      </c>
      <c r="V1547" s="1">
        <v>60159</v>
      </c>
      <c r="W1547" s="7">
        <v>1496.13</v>
      </c>
      <c r="X1547" s="1">
        <v>0.46</v>
      </c>
      <c r="Y1547" s="4">
        <v>44502</v>
      </c>
      <c r="Z1547" s="1" t="s">
        <v>38</v>
      </c>
      <c r="AA1547" s="1" t="s">
        <v>33</v>
      </c>
      <c r="AB1547" s="36" t="str" cm="1">
        <f t="array" ref="AB1547">_xlfn.IFS(K1547&gt;650,"LOW",K1547&gt;=550,"MEDIUM",K1547&lt;550,"HIGH")</f>
        <v>HIGH</v>
      </c>
    </row>
    <row r="1548" spans="3:28" x14ac:dyDescent="0.3">
      <c r="C1548" s="35" t="s">
        <v>3886</v>
      </c>
      <c r="D1548" s="1" t="s">
        <v>410</v>
      </c>
      <c r="E1548" s="1">
        <v>45</v>
      </c>
      <c r="F1548" s="1" t="s">
        <v>26</v>
      </c>
      <c r="G1548" s="1" t="s">
        <v>35</v>
      </c>
      <c r="H1548" s="1" t="s">
        <v>36</v>
      </c>
      <c r="I1548" s="1" t="s">
        <v>57</v>
      </c>
      <c r="J1548" s="7">
        <v>69377</v>
      </c>
      <c r="K1548" s="1">
        <v>427</v>
      </c>
      <c r="L1548" s="7">
        <v>29715</v>
      </c>
      <c r="M1548" s="1">
        <v>36</v>
      </c>
      <c r="N1548" s="6">
        <v>0.12609999999999999</v>
      </c>
      <c r="O1548" s="1" t="s">
        <v>46</v>
      </c>
      <c r="P1548" s="1" t="s">
        <v>30</v>
      </c>
      <c r="Q1548" s="1">
        <v>28</v>
      </c>
      <c r="R1548" s="1">
        <v>2</v>
      </c>
      <c r="S1548" s="1" t="s">
        <v>33</v>
      </c>
      <c r="T1548" s="1" t="s">
        <v>33</v>
      </c>
      <c r="U1548" s="1">
        <v>0</v>
      </c>
      <c r="V1548" s="1">
        <v>108538</v>
      </c>
      <c r="W1548" s="7">
        <v>412.28</v>
      </c>
      <c r="X1548" s="1">
        <v>0.64</v>
      </c>
      <c r="Y1548" s="4">
        <v>45183</v>
      </c>
      <c r="Z1548" s="1" t="s">
        <v>38</v>
      </c>
      <c r="AA1548" s="1" t="s">
        <v>33</v>
      </c>
      <c r="AB1548" s="36" t="str" cm="1">
        <f t="array" ref="AB1548">_xlfn.IFS(K1548&gt;650,"LOW",K1548&gt;=550,"MEDIUM",K1548&lt;550,"HIGH")</f>
        <v>HIGH</v>
      </c>
    </row>
    <row r="1549" spans="3:28" x14ac:dyDescent="0.3">
      <c r="C1549" s="35" t="s">
        <v>3975</v>
      </c>
      <c r="D1549" s="1" t="s">
        <v>1975</v>
      </c>
      <c r="E1549" s="1">
        <v>50</v>
      </c>
      <c r="F1549" s="1" t="s">
        <v>26</v>
      </c>
      <c r="G1549" s="1" t="s">
        <v>56</v>
      </c>
      <c r="H1549" s="1" t="s">
        <v>61</v>
      </c>
      <c r="I1549" s="1" t="s">
        <v>40</v>
      </c>
      <c r="J1549" s="7">
        <v>71514</v>
      </c>
      <c r="K1549" s="1">
        <v>427</v>
      </c>
      <c r="L1549" s="7">
        <v>35329</v>
      </c>
      <c r="M1549" s="1">
        <v>60</v>
      </c>
      <c r="N1549" s="6">
        <v>9.5899999999999999E-2</v>
      </c>
      <c r="O1549" s="1" t="s">
        <v>37</v>
      </c>
      <c r="P1549" s="1" t="s">
        <v>50</v>
      </c>
      <c r="Q1549" s="1">
        <v>7</v>
      </c>
      <c r="R1549" s="1">
        <v>0</v>
      </c>
      <c r="S1549" s="1" t="s">
        <v>31</v>
      </c>
      <c r="T1549" s="1" t="s">
        <v>33</v>
      </c>
      <c r="U1549" s="1">
        <v>2</v>
      </c>
      <c r="V1549" s="1">
        <v>182108</v>
      </c>
      <c r="W1549" s="7">
        <v>200.21</v>
      </c>
      <c r="X1549" s="1">
        <v>0.59</v>
      </c>
      <c r="Y1549" s="4">
        <v>44623</v>
      </c>
      <c r="Z1549" s="1" t="s">
        <v>32</v>
      </c>
      <c r="AA1549" s="1" t="s">
        <v>33</v>
      </c>
      <c r="AB1549" s="36" t="str" cm="1">
        <f t="array" ref="AB1549">_xlfn.IFS(K1549&gt;650,"LOW",K1549&gt;=550,"MEDIUM",K1549&lt;550,"HIGH")</f>
        <v>HIGH</v>
      </c>
    </row>
    <row r="1550" spans="3:28" x14ac:dyDescent="0.3">
      <c r="C1550" s="35" t="s">
        <v>2074</v>
      </c>
      <c r="D1550" s="1" t="s">
        <v>105</v>
      </c>
      <c r="E1550" s="1">
        <v>34</v>
      </c>
      <c r="F1550" s="1" t="s">
        <v>26</v>
      </c>
      <c r="G1550" s="1" t="s">
        <v>35</v>
      </c>
      <c r="H1550" s="1" t="s">
        <v>61</v>
      </c>
      <c r="I1550" s="1" t="s">
        <v>59</v>
      </c>
      <c r="J1550" s="7">
        <v>63539</v>
      </c>
      <c r="K1550" s="1">
        <v>426</v>
      </c>
      <c r="L1550" s="7">
        <v>11247</v>
      </c>
      <c r="M1550" s="1">
        <v>12</v>
      </c>
      <c r="N1550" s="6">
        <v>9.98E-2</v>
      </c>
      <c r="O1550" s="1" t="s">
        <v>46</v>
      </c>
      <c r="P1550" s="1" t="s">
        <v>30</v>
      </c>
      <c r="Q1550" s="1">
        <v>14</v>
      </c>
      <c r="R1550" s="1">
        <v>0</v>
      </c>
      <c r="S1550" s="1" t="s">
        <v>33</v>
      </c>
      <c r="T1550" s="1" t="s">
        <v>33</v>
      </c>
      <c r="U1550" s="1">
        <v>2</v>
      </c>
      <c r="V1550" s="1">
        <v>108304</v>
      </c>
      <c r="W1550" s="7">
        <v>743.02</v>
      </c>
      <c r="X1550" s="1">
        <v>0.57999999999999996</v>
      </c>
      <c r="Y1550" s="4">
        <v>45272</v>
      </c>
      <c r="Z1550" s="1" t="s">
        <v>38</v>
      </c>
      <c r="AA1550" s="1" t="s">
        <v>33</v>
      </c>
      <c r="AB1550" s="36" t="str" cm="1">
        <f t="array" ref="AB1550">_xlfn.IFS(K1550&gt;650,"LOW",K1550&gt;=550,"MEDIUM",K1550&lt;550,"HIGH")</f>
        <v>HIGH</v>
      </c>
    </row>
    <row r="1551" spans="3:28" x14ac:dyDescent="0.3">
      <c r="C1551" s="35" t="s">
        <v>3509</v>
      </c>
      <c r="D1551" s="1" t="s">
        <v>1526</v>
      </c>
      <c r="E1551" s="1">
        <v>29</v>
      </c>
      <c r="F1551" s="1" t="s">
        <v>26</v>
      </c>
      <c r="G1551" s="1" t="s">
        <v>45</v>
      </c>
      <c r="H1551" s="1" t="s">
        <v>54</v>
      </c>
      <c r="I1551" s="1" t="s">
        <v>40</v>
      </c>
      <c r="J1551" s="7">
        <v>115042</v>
      </c>
      <c r="K1551" s="1">
        <v>426</v>
      </c>
      <c r="L1551" s="7">
        <v>47996</v>
      </c>
      <c r="M1551" s="1">
        <v>24</v>
      </c>
      <c r="N1551" s="6">
        <v>7.5700000000000003E-2</v>
      </c>
      <c r="O1551" s="1" t="s">
        <v>41</v>
      </c>
      <c r="P1551" s="1" t="s">
        <v>47</v>
      </c>
      <c r="Q1551" s="1">
        <v>15</v>
      </c>
      <c r="R1551" s="1">
        <v>4</v>
      </c>
      <c r="S1551" s="1" t="s">
        <v>33</v>
      </c>
      <c r="T1551" s="1" t="s">
        <v>33</v>
      </c>
      <c r="U1551" s="1">
        <v>1</v>
      </c>
      <c r="V1551" s="1">
        <v>75506</v>
      </c>
      <c r="W1551" s="7">
        <v>254.26</v>
      </c>
      <c r="X1551" s="1">
        <v>0.74</v>
      </c>
      <c r="Y1551" s="4">
        <v>44074</v>
      </c>
      <c r="Z1551" s="1" t="s">
        <v>32</v>
      </c>
      <c r="AA1551" s="1" t="s">
        <v>33</v>
      </c>
      <c r="AB1551" s="36" t="str" cm="1">
        <f t="array" ref="AB1551">_xlfn.IFS(K1551&gt;650,"LOW",K1551&gt;=550,"MEDIUM",K1551&lt;550,"HIGH")</f>
        <v>HIGH</v>
      </c>
    </row>
    <row r="1552" spans="3:28" x14ac:dyDescent="0.3">
      <c r="C1552" s="35" t="s">
        <v>3542</v>
      </c>
      <c r="D1552" s="1" t="s">
        <v>1559</v>
      </c>
      <c r="E1552" s="1">
        <v>48</v>
      </c>
      <c r="F1552" s="1" t="s">
        <v>26</v>
      </c>
      <c r="G1552" s="1" t="s">
        <v>56</v>
      </c>
      <c r="H1552" s="1" t="s">
        <v>28</v>
      </c>
      <c r="I1552" s="1" t="s">
        <v>57</v>
      </c>
      <c r="J1552" s="7">
        <v>132205</v>
      </c>
      <c r="K1552" s="1">
        <v>426</v>
      </c>
      <c r="L1552" s="7">
        <v>7840</v>
      </c>
      <c r="M1552" s="1">
        <v>24</v>
      </c>
      <c r="N1552" s="6">
        <v>0.18489999999999998</v>
      </c>
      <c r="O1552" s="1" t="s">
        <v>37</v>
      </c>
      <c r="P1552" s="1" t="s">
        <v>50</v>
      </c>
      <c r="Q1552" s="1">
        <v>11</v>
      </c>
      <c r="R1552" s="1">
        <v>0</v>
      </c>
      <c r="S1552" s="1" t="s">
        <v>31</v>
      </c>
      <c r="T1552" s="1" t="s">
        <v>31</v>
      </c>
      <c r="U1552" s="1">
        <v>1</v>
      </c>
      <c r="V1552" s="1">
        <v>15797</v>
      </c>
      <c r="W1552" s="7">
        <v>1384.85</v>
      </c>
      <c r="X1552" s="1">
        <v>0.21</v>
      </c>
      <c r="Y1552" s="4">
        <v>44364</v>
      </c>
      <c r="Z1552" s="1" t="s">
        <v>32</v>
      </c>
      <c r="AA1552" s="1" t="s">
        <v>33</v>
      </c>
      <c r="AB1552" s="36" t="str" cm="1">
        <f t="array" ref="AB1552">_xlfn.IFS(K1552&gt;650,"LOW",K1552&gt;=550,"MEDIUM",K1552&lt;550,"HIGH")</f>
        <v>HIGH</v>
      </c>
    </row>
    <row r="1553" spans="3:28" x14ac:dyDescent="0.3">
      <c r="C1553" s="35" t="s">
        <v>3589</v>
      </c>
      <c r="D1553" s="1" t="s">
        <v>1603</v>
      </c>
      <c r="E1553" s="1">
        <v>32</v>
      </c>
      <c r="F1553" s="1" t="s">
        <v>44</v>
      </c>
      <c r="G1553" s="1" t="s">
        <v>45</v>
      </c>
      <c r="H1553" s="1" t="s">
        <v>61</v>
      </c>
      <c r="I1553" s="1" t="s">
        <v>29</v>
      </c>
      <c r="J1553" s="7">
        <v>77089</v>
      </c>
      <c r="K1553" s="1">
        <v>426</v>
      </c>
      <c r="L1553" s="7">
        <v>39915</v>
      </c>
      <c r="M1553" s="1">
        <v>48</v>
      </c>
      <c r="N1553" s="6">
        <v>9.6799999999999997E-2</v>
      </c>
      <c r="O1553" s="1" t="s">
        <v>46</v>
      </c>
      <c r="P1553" s="1" t="s">
        <v>47</v>
      </c>
      <c r="Q1553" s="1">
        <v>5</v>
      </c>
      <c r="R1553" s="1">
        <v>3</v>
      </c>
      <c r="S1553" s="1" t="s">
        <v>31</v>
      </c>
      <c r="T1553" s="1" t="s">
        <v>31</v>
      </c>
      <c r="U1553" s="1">
        <v>1</v>
      </c>
      <c r="V1553" s="1">
        <v>72726</v>
      </c>
      <c r="W1553" s="7">
        <v>1946.2</v>
      </c>
      <c r="X1553" s="1">
        <v>0.89</v>
      </c>
      <c r="Y1553" s="4">
        <v>44504</v>
      </c>
      <c r="Z1553" s="1" t="s">
        <v>32</v>
      </c>
      <c r="AA1553" s="1" t="s">
        <v>31</v>
      </c>
      <c r="AB1553" s="36" t="str" cm="1">
        <f t="array" ref="AB1553">_xlfn.IFS(K1553&gt;650,"LOW",K1553&gt;=550,"MEDIUM",K1553&lt;550,"HIGH")</f>
        <v>HIGH</v>
      </c>
    </row>
    <row r="1554" spans="3:28" x14ac:dyDescent="0.3">
      <c r="C1554" s="35" t="s">
        <v>2600</v>
      </c>
      <c r="D1554" s="1" t="s">
        <v>630</v>
      </c>
      <c r="E1554" s="1">
        <v>25</v>
      </c>
      <c r="F1554" s="1" t="s">
        <v>44</v>
      </c>
      <c r="G1554" s="1" t="s">
        <v>27</v>
      </c>
      <c r="H1554" s="1" t="s">
        <v>36</v>
      </c>
      <c r="I1554" s="1" t="s">
        <v>59</v>
      </c>
      <c r="J1554" s="7">
        <v>41400</v>
      </c>
      <c r="K1554" s="1">
        <v>425</v>
      </c>
      <c r="L1554" s="7">
        <v>44798</v>
      </c>
      <c r="M1554" s="1">
        <v>12</v>
      </c>
      <c r="N1554" s="6">
        <v>0.18469999999999998</v>
      </c>
      <c r="O1554" s="1" t="s">
        <v>5</v>
      </c>
      <c r="P1554" s="1" t="s">
        <v>50</v>
      </c>
      <c r="Q1554" s="1">
        <v>14</v>
      </c>
      <c r="R1554" s="1">
        <v>1</v>
      </c>
      <c r="S1554" s="1" t="s">
        <v>33</v>
      </c>
      <c r="T1554" s="1" t="s">
        <v>31</v>
      </c>
      <c r="U1554" s="1">
        <v>3</v>
      </c>
      <c r="V1554" s="1">
        <v>149307</v>
      </c>
      <c r="W1554" s="7">
        <v>957.53</v>
      </c>
      <c r="X1554" s="1">
        <v>0.82</v>
      </c>
      <c r="Y1554" s="4">
        <v>45116</v>
      </c>
      <c r="Z1554" s="1" t="s">
        <v>38</v>
      </c>
      <c r="AA1554" s="1" t="s">
        <v>33</v>
      </c>
      <c r="AB1554" s="36" t="str" cm="1">
        <f t="array" ref="AB1554">_xlfn.IFS(K1554&gt;650,"LOW",K1554&gt;=550,"MEDIUM",K1554&lt;550,"HIGH")</f>
        <v>HIGH</v>
      </c>
    </row>
    <row r="1555" spans="3:28" x14ac:dyDescent="0.3">
      <c r="C1555" s="35" t="s">
        <v>2970</v>
      </c>
      <c r="D1555" s="1" t="s">
        <v>998</v>
      </c>
      <c r="E1555" s="1">
        <v>51</v>
      </c>
      <c r="F1555" s="1" t="s">
        <v>26</v>
      </c>
      <c r="G1555" s="1" t="s">
        <v>27</v>
      </c>
      <c r="H1555" s="1" t="s">
        <v>54</v>
      </c>
      <c r="I1555" s="1" t="s">
        <v>59</v>
      </c>
      <c r="J1555" s="7">
        <v>129349</v>
      </c>
      <c r="K1555" s="1">
        <v>425</v>
      </c>
      <c r="L1555" s="7">
        <v>47353</v>
      </c>
      <c r="M1555" s="1">
        <v>60</v>
      </c>
      <c r="N1555" s="6">
        <v>7.6700000000000004E-2</v>
      </c>
      <c r="O1555" s="1" t="s">
        <v>5</v>
      </c>
      <c r="P1555" s="1" t="s">
        <v>30</v>
      </c>
      <c r="Q1555" s="1">
        <v>22</v>
      </c>
      <c r="R1555" s="1">
        <v>1</v>
      </c>
      <c r="S1555" s="1" t="s">
        <v>33</v>
      </c>
      <c r="T1555" s="1" t="s">
        <v>31</v>
      </c>
      <c r="U1555" s="1">
        <v>2</v>
      </c>
      <c r="V1555" s="1">
        <v>117248</v>
      </c>
      <c r="W1555" s="7">
        <v>1536.84</v>
      </c>
      <c r="X1555" s="1">
        <v>0.66</v>
      </c>
      <c r="Y1555" s="4">
        <v>45277</v>
      </c>
      <c r="Z1555" s="1" t="s">
        <v>32</v>
      </c>
      <c r="AA1555" s="1" t="s">
        <v>33</v>
      </c>
      <c r="AB1555" s="36" t="str" cm="1">
        <f t="array" ref="AB1555">_xlfn.IFS(K1555&gt;650,"LOW",K1555&gt;=550,"MEDIUM",K1555&lt;550,"HIGH")</f>
        <v>HIGH</v>
      </c>
    </row>
    <row r="1556" spans="3:28" x14ac:dyDescent="0.3">
      <c r="C1556" s="35" t="s">
        <v>2151</v>
      </c>
      <c r="D1556" s="1" t="s">
        <v>182</v>
      </c>
      <c r="E1556" s="1">
        <v>47</v>
      </c>
      <c r="F1556" s="1" t="s">
        <v>44</v>
      </c>
      <c r="G1556" s="1" t="s">
        <v>56</v>
      </c>
      <c r="H1556" s="1" t="s">
        <v>54</v>
      </c>
      <c r="I1556" s="1" t="s">
        <v>40</v>
      </c>
      <c r="J1556" s="7">
        <v>56701</v>
      </c>
      <c r="K1556" s="1">
        <v>424</v>
      </c>
      <c r="L1556" s="7">
        <v>17407</v>
      </c>
      <c r="M1556" s="1">
        <v>24</v>
      </c>
      <c r="N1556" s="6">
        <v>7.6100000000000001E-2</v>
      </c>
      <c r="O1556" s="1" t="s">
        <v>37</v>
      </c>
      <c r="P1556" s="1" t="s">
        <v>30</v>
      </c>
      <c r="Q1556" s="1">
        <v>22</v>
      </c>
      <c r="R1556" s="1">
        <v>1</v>
      </c>
      <c r="S1556" s="1" t="s">
        <v>33</v>
      </c>
      <c r="T1556" s="1" t="s">
        <v>31</v>
      </c>
      <c r="U1556" s="1">
        <v>3</v>
      </c>
      <c r="V1556" s="1">
        <v>126697</v>
      </c>
      <c r="W1556" s="7">
        <v>541.37</v>
      </c>
      <c r="X1556" s="1">
        <v>0.72</v>
      </c>
      <c r="Y1556" s="4">
        <v>45755</v>
      </c>
      <c r="Z1556" s="1" t="s">
        <v>38</v>
      </c>
      <c r="AA1556" s="1" t="s">
        <v>33</v>
      </c>
      <c r="AB1556" s="36" t="str" cm="1">
        <f t="array" ref="AB1556">_xlfn.IFS(K1556&gt;650,"LOW",K1556&gt;=550,"MEDIUM",K1556&lt;550,"HIGH")</f>
        <v>HIGH</v>
      </c>
    </row>
    <row r="1557" spans="3:28" x14ac:dyDescent="0.3">
      <c r="C1557" s="35" t="s">
        <v>2265</v>
      </c>
      <c r="D1557" s="1" t="s">
        <v>296</v>
      </c>
      <c r="E1557" s="1">
        <v>45</v>
      </c>
      <c r="F1557" s="1" t="s">
        <v>26</v>
      </c>
      <c r="G1557" s="1" t="s">
        <v>27</v>
      </c>
      <c r="H1557" s="1" t="s">
        <v>54</v>
      </c>
      <c r="I1557" s="1" t="s">
        <v>57</v>
      </c>
      <c r="J1557" s="7">
        <v>40750</v>
      </c>
      <c r="K1557" s="1">
        <v>424</v>
      </c>
      <c r="L1557" s="7">
        <v>16479</v>
      </c>
      <c r="M1557" s="1">
        <v>24</v>
      </c>
      <c r="N1557" s="6">
        <v>0.11749999999999999</v>
      </c>
      <c r="O1557" s="1" t="s">
        <v>63</v>
      </c>
      <c r="P1557" s="1" t="s">
        <v>50</v>
      </c>
      <c r="Q1557" s="1">
        <v>25</v>
      </c>
      <c r="R1557" s="1">
        <v>3</v>
      </c>
      <c r="S1557" s="1" t="s">
        <v>31</v>
      </c>
      <c r="T1557" s="1" t="s">
        <v>31</v>
      </c>
      <c r="U1557" s="1">
        <v>0</v>
      </c>
      <c r="V1557" s="1">
        <v>111175</v>
      </c>
      <c r="W1557" s="7">
        <v>137.01</v>
      </c>
      <c r="X1557" s="1">
        <v>0.54</v>
      </c>
      <c r="Y1557" s="4">
        <v>44563</v>
      </c>
      <c r="Z1557" s="1" t="s">
        <v>38</v>
      </c>
      <c r="AA1557" s="1" t="s">
        <v>33</v>
      </c>
      <c r="AB1557" s="36" t="str" cm="1">
        <f t="array" ref="AB1557">_xlfn.IFS(K1557&gt;650,"LOW",K1557&gt;=550,"MEDIUM",K1557&lt;550,"HIGH")</f>
        <v>HIGH</v>
      </c>
    </row>
    <row r="1558" spans="3:28" x14ac:dyDescent="0.3">
      <c r="C1558" s="35" t="s">
        <v>3238</v>
      </c>
      <c r="D1558" s="1" t="s">
        <v>1262</v>
      </c>
      <c r="E1558" s="1">
        <v>32</v>
      </c>
      <c r="F1558" s="1" t="s">
        <v>26</v>
      </c>
      <c r="G1558" s="1" t="s">
        <v>35</v>
      </c>
      <c r="H1558" s="1" t="s">
        <v>54</v>
      </c>
      <c r="I1558" s="1" t="s">
        <v>59</v>
      </c>
      <c r="J1558" s="7">
        <v>119525</v>
      </c>
      <c r="K1558" s="1">
        <v>424</v>
      </c>
      <c r="L1558" s="7">
        <v>7299</v>
      </c>
      <c r="M1558" s="1">
        <v>12</v>
      </c>
      <c r="N1558" s="6">
        <v>0.13639999999999999</v>
      </c>
      <c r="O1558" s="1" t="s">
        <v>63</v>
      </c>
      <c r="P1558" s="1" t="s">
        <v>50</v>
      </c>
      <c r="Q1558" s="1">
        <v>13</v>
      </c>
      <c r="R1558" s="1">
        <v>4</v>
      </c>
      <c r="S1558" s="1" t="s">
        <v>31</v>
      </c>
      <c r="T1558" s="1" t="s">
        <v>33</v>
      </c>
      <c r="U1558" s="1">
        <v>4</v>
      </c>
      <c r="V1558" s="1">
        <v>176559</v>
      </c>
      <c r="W1558" s="7">
        <v>114.59</v>
      </c>
      <c r="X1558" s="1">
        <v>0.7</v>
      </c>
      <c r="Y1558" s="4">
        <v>44800</v>
      </c>
      <c r="Z1558" s="1" t="s">
        <v>32</v>
      </c>
      <c r="AA1558" s="1" t="s">
        <v>33</v>
      </c>
      <c r="AB1558" s="36" t="str" cm="1">
        <f t="array" ref="AB1558">_xlfn.IFS(K1558&gt;650,"LOW",K1558&gt;=550,"MEDIUM",K1558&lt;550,"HIGH")</f>
        <v>HIGH</v>
      </c>
    </row>
    <row r="1559" spans="3:28" x14ac:dyDescent="0.3">
      <c r="C1559" s="35" t="s">
        <v>3643</v>
      </c>
      <c r="D1559" s="1" t="s">
        <v>1655</v>
      </c>
      <c r="E1559" s="1">
        <v>52</v>
      </c>
      <c r="F1559" s="1" t="s">
        <v>44</v>
      </c>
      <c r="G1559" s="1" t="s">
        <v>35</v>
      </c>
      <c r="H1559" s="1" t="s">
        <v>54</v>
      </c>
      <c r="I1559" s="1" t="s">
        <v>59</v>
      </c>
      <c r="J1559" s="7">
        <v>78645</v>
      </c>
      <c r="K1559" s="1">
        <v>424</v>
      </c>
      <c r="L1559" s="7">
        <v>35980</v>
      </c>
      <c r="M1559" s="1">
        <v>12</v>
      </c>
      <c r="N1559" s="6">
        <v>0.1729</v>
      </c>
      <c r="O1559" s="1" t="s">
        <v>46</v>
      </c>
      <c r="P1559" s="1" t="s">
        <v>30</v>
      </c>
      <c r="Q1559" s="1">
        <v>19</v>
      </c>
      <c r="R1559" s="1">
        <v>3</v>
      </c>
      <c r="S1559" s="1" t="s">
        <v>31</v>
      </c>
      <c r="T1559" s="1" t="s">
        <v>33</v>
      </c>
      <c r="U1559" s="1">
        <v>0</v>
      </c>
      <c r="V1559" s="1">
        <v>45813</v>
      </c>
      <c r="W1559" s="7">
        <v>821.44</v>
      </c>
      <c r="X1559" s="1">
        <v>0.25</v>
      </c>
      <c r="Y1559" s="4">
        <v>44060</v>
      </c>
      <c r="Z1559" s="1" t="s">
        <v>32</v>
      </c>
      <c r="AA1559" s="1" t="s">
        <v>33</v>
      </c>
      <c r="AB1559" s="36" t="str" cm="1">
        <f t="array" ref="AB1559">_xlfn.IFS(K1559&gt;650,"LOW",K1559&gt;=550,"MEDIUM",K1559&lt;550,"HIGH")</f>
        <v>HIGH</v>
      </c>
    </row>
    <row r="1560" spans="3:28" x14ac:dyDescent="0.3">
      <c r="C1560" s="35" t="s">
        <v>2809</v>
      </c>
      <c r="D1560" s="1" t="s">
        <v>837</v>
      </c>
      <c r="E1560" s="1">
        <v>52</v>
      </c>
      <c r="F1560" s="1" t="s">
        <v>44</v>
      </c>
      <c r="G1560" s="1" t="s">
        <v>45</v>
      </c>
      <c r="H1560" s="1" t="s">
        <v>54</v>
      </c>
      <c r="I1560" s="1" t="s">
        <v>29</v>
      </c>
      <c r="J1560" s="7">
        <v>129979</v>
      </c>
      <c r="K1560" s="1">
        <v>423</v>
      </c>
      <c r="L1560" s="7">
        <v>2669</v>
      </c>
      <c r="M1560" s="1">
        <v>48</v>
      </c>
      <c r="N1560" s="6">
        <v>0.14219999999999999</v>
      </c>
      <c r="O1560" s="1" t="s">
        <v>41</v>
      </c>
      <c r="P1560" s="1" t="s">
        <v>50</v>
      </c>
      <c r="Q1560" s="1">
        <v>15</v>
      </c>
      <c r="R1560" s="1">
        <v>0</v>
      </c>
      <c r="S1560" s="1" t="s">
        <v>31</v>
      </c>
      <c r="T1560" s="1" t="s">
        <v>31</v>
      </c>
      <c r="U1560" s="1">
        <v>2</v>
      </c>
      <c r="V1560" s="1">
        <v>65294</v>
      </c>
      <c r="W1560" s="7">
        <v>451.72</v>
      </c>
      <c r="X1560" s="1">
        <v>0.5</v>
      </c>
      <c r="Y1560" s="4">
        <v>45391</v>
      </c>
      <c r="Z1560" s="1" t="s">
        <v>32</v>
      </c>
      <c r="AA1560" s="1" t="s">
        <v>31</v>
      </c>
      <c r="AB1560" s="36" t="str" cm="1">
        <f t="array" ref="AB1560">_xlfn.IFS(K1560&gt;650,"LOW",K1560&gt;=550,"MEDIUM",K1560&lt;550,"HIGH")</f>
        <v>HIGH</v>
      </c>
    </row>
    <row r="1561" spans="3:28" x14ac:dyDescent="0.3">
      <c r="C1561" s="35" t="s">
        <v>3315</v>
      </c>
      <c r="D1561" s="1" t="s">
        <v>1338</v>
      </c>
      <c r="E1561" s="1">
        <v>59</v>
      </c>
      <c r="F1561" s="1" t="s">
        <v>44</v>
      </c>
      <c r="G1561" s="1" t="s">
        <v>35</v>
      </c>
      <c r="H1561" s="1" t="s">
        <v>54</v>
      </c>
      <c r="I1561" s="1" t="s">
        <v>59</v>
      </c>
      <c r="J1561" s="7">
        <v>148921</v>
      </c>
      <c r="K1561" s="1">
        <v>423</v>
      </c>
      <c r="L1561" s="7">
        <v>5131</v>
      </c>
      <c r="M1561" s="1">
        <v>60</v>
      </c>
      <c r="N1561" s="6">
        <v>7.51E-2</v>
      </c>
      <c r="O1561" s="1" t="s">
        <v>52</v>
      </c>
      <c r="P1561" s="1" t="s">
        <v>47</v>
      </c>
      <c r="Q1561" s="1">
        <v>3</v>
      </c>
      <c r="R1561" s="1">
        <v>3</v>
      </c>
      <c r="S1561" s="1" t="s">
        <v>31</v>
      </c>
      <c r="T1561" s="1" t="s">
        <v>33</v>
      </c>
      <c r="U1561" s="1">
        <v>0</v>
      </c>
      <c r="V1561" s="1">
        <v>48068</v>
      </c>
      <c r="W1561" s="7">
        <v>1704.62</v>
      </c>
      <c r="X1561" s="1">
        <v>0.73</v>
      </c>
      <c r="Y1561" s="4">
        <v>44586</v>
      </c>
      <c r="Z1561" s="1" t="s">
        <v>32</v>
      </c>
      <c r="AA1561" s="1" t="s">
        <v>33</v>
      </c>
      <c r="AB1561" s="36" t="str" cm="1">
        <f t="array" ref="AB1561">_xlfn.IFS(K1561&gt;650,"LOW",K1561&gt;=550,"MEDIUM",K1561&lt;550,"HIGH")</f>
        <v>HIGH</v>
      </c>
    </row>
    <row r="1562" spans="3:28" x14ac:dyDescent="0.3">
      <c r="C1562" s="35" t="s">
        <v>2345</v>
      </c>
      <c r="D1562" s="1" t="s">
        <v>376</v>
      </c>
      <c r="E1562" s="1">
        <v>61</v>
      </c>
      <c r="F1562" s="1" t="s">
        <v>44</v>
      </c>
      <c r="G1562" s="1" t="s">
        <v>35</v>
      </c>
      <c r="H1562" s="1" t="s">
        <v>36</v>
      </c>
      <c r="I1562" s="1" t="s">
        <v>59</v>
      </c>
      <c r="J1562" s="7">
        <v>41576</v>
      </c>
      <c r="K1562" s="1">
        <v>422</v>
      </c>
      <c r="L1562" s="7">
        <v>44417</v>
      </c>
      <c r="M1562" s="1">
        <v>36</v>
      </c>
      <c r="N1562" s="6">
        <v>8.8399999999999992E-2</v>
      </c>
      <c r="O1562" s="1" t="s">
        <v>5</v>
      </c>
      <c r="P1562" s="1" t="s">
        <v>30</v>
      </c>
      <c r="Q1562" s="1">
        <v>4</v>
      </c>
      <c r="R1562" s="1">
        <v>1</v>
      </c>
      <c r="S1562" s="1" t="s">
        <v>33</v>
      </c>
      <c r="T1562" s="1" t="s">
        <v>33</v>
      </c>
      <c r="U1562" s="1">
        <v>4</v>
      </c>
      <c r="V1562" s="1">
        <v>57175</v>
      </c>
      <c r="W1562" s="7">
        <v>1450.94</v>
      </c>
      <c r="X1562" s="1">
        <v>0.75</v>
      </c>
      <c r="Y1562" s="4">
        <v>45397</v>
      </c>
      <c r="Z1562" s="1" t="s">
        <v>38</v>
      </c>
      <c r="AA1562" s="1" t="s">
        <v>33</v>
      </c>
      <c r="AB1562" s="36" t="str" cm="1">
        <f t="array" ref="AB1562">_xlfn.IFS(K1562&gt;650,"LOW",K1562&gt;=550,"MEDIUM",K1562&lt;550,"HIGH")</f>
        <v>HIGH</v>
      </c>
    </row>
    <row r="1563" spans="3:28" x14ac:dyDescent="0.3">
      <c r="C1563" s="35" t="s">
        <v>2759</v>
      </c>
      <c r="D1563" s="1" t="s">
        <v>788</v>
      </c>
      <c r="E1563" s="1">
        <v>31</v>
      </c>
      <c r="F1563" s="1" t="s">
        <v>26</v>
      </c>
      <c r="G1563" s="1" t="s">
        <v>27</v>
      </c>
      <c r="H1563" s="1" t="s">
        <v>28</v>
      </c>
      <c r="I1563" s="1" t="s">
        <v>59</v>
      </c>
      <c r="J1563" s="7">
        <v>125586</v>
      </c>
      <c r="K1563" s="1">
        <v>422</v>
      </c>
      <c r="L1563" s="7">
        <v>9798</v>
      </c>
      <c r="M1563" s="1">
        <v>48</v>
      </c>
      <c r="N1563" s="6">
        <v>7.3099999999999998E-2</v>
      </c>
      <c r="O1563" s="1" t="s">
        <v>5</v>
      </c>
      <c r="P1563" s="1" t="s">
        <v>50</v>
      </c>
      <c r="Q1563" s="1">
        <v>27</v>
      </c>
      <c r="R1563" s="1">
        <v>4</v>
      </c>
      <c r="S1563" s="1" t="s">
        <v>31</v>
      </c>
      <c r="T1563" s="1" t="s">
        <v>31</v>
      </c>
      <c r="U1563" s="1">
        <v>1</v>
      </c>
      <c r="V1563" s="1">
        <v>142923</v>
      </c>
      <c r="W1563" s="7">
        <v>1475.02</v>
      </c>
      <c r="X1563" s="1">
        <v>0.66</v>
      </c>
      <c r="Y1563" s="4">
        <v>44924</v>
      </c>
      <c r="Z1563" s="1" t="s">
        <v>38</v>
      </c>
      <c r="AA1563" s="1" t="s">
        <v>33</v>
      </c>
      <c r="AB1563" s="36" t="str" cm="1">
        <f t="array" ref="AB1563">_xlfn.IFS(K1563&gt;650,"LOW",K1563&gt;=550,"MEDIUM",K1563&lt;550,"HIGH")</f>
        <v>HIGH</v>
      </c>
    </row>
    <row r="1564" spans="3:28" x14ac:dyDescent="0.3">
      <c r="C1564" s="35" t="s">
        <v>2975</v>
      </c>
      <c r="D1564" s="1" t="s">
        <v>1003</v>
      </c>
      <c r="E1564" s="1">
        <v>29</v>
      </c>
      <c r="F1564" s="1" t="s">
        <v>26</v>
      </c>
      <c r="G1564" s="1" t="s">
        <v>27</v>
      </c>
      <c r="H1564" s="1" t="s">
        <v>36</v>
      </c>
      <c r="I1564" s="1" t="s">
        <v>59</v>
      </c>
      <c r="J1564" s="7">
        <v>136116</v>
      </c>
      <c r="K1564" s="1">
        <v>422</v>
      </c>
      <c r="L1564" s="7">
        <v>47105</v>
      </c>
      <c r="M1564" s="1">
        <v>48</v>
      </c>
      <c r="N1564" s="6">
        <v>0.08</v>
      </c>
      <c r="O1564" s="1" t="s">
        <v>52</v>
      </c>
      <c r="P1564" s="1" t="s">
        <v>50</v>
      </c>
      <c r="Q1564" s="1">
        <v>27</v>
      </c>
      <c r="R1564" s="1">
        <v>0</v>
      </c>
      <c r="S1564" s="1" t="s">
        <v>31</v>
      </c>
      <c r="T1564" s="1" t="s">
        <v>33</v>
      </c>
      <c r="U1564" s="1">
        <v>2</v>
      </c>
      <c r="V1564" s="1">
        <v>140057</v>
      </c>
      <c r="W1564" s="7">
        <v>905.61</v>
      </c>
      <c r="X1564" s="1">
        <v>0.78</v>
      </c>
      <c r="Y1564" s="4">
        <v>45301</v>
      </c>
      <c r="Z1564" s="1" t="s">
        <v>38</v>
      </c>
      <c r="AA1564" s="1" t="s">
        <v>31</v>
      </c>
      <c r="AB1564" s="36" t="str" cm="1">
        <f t="array" ref="AB1564">_xlfn.IFS(K1564&gt;650,"LOW",K1564&gt;=550,"MEDIUM",K1564&lt;550,"HIGH")</f>
        <v>HIGH</v>
      </c>
    </row>
    <row r="1565" spans="3:28" x14ac:dyDescent="0.3">
      <c r="C1565" s="35" t="s">
        <v>3171</v>
      </c>
      <c r="D1565" s="1" t="s">
        <v>1195</v>
      </c>
      <c r="E1565" s="1">
        <v>34</v>
      </c>
      <c r="F1565" s="1" t="s">
        <v>26</v>
      </c>
      <c r="G1565" s="1" t="s">
        <v>45</v>
      </c>
      <c r="H1565" s="1" t="s">
        <v>61</v>
      </c>
      <c r="I1565" s="1" t="s">
        <v>40</v>
      </c>
      <c r="J1565" s="7">
        <v>70248</v>
      </c>
      <c r="K1565" s="1">
        <v>422</v>
      </c>
      <c r="L1565" s="7">
        <v>43017</v>
      </c>
      <c r="M1565" s="1">
        <v>48</v>
      </c>
      <c r="N1565" s="6">
        <v>0.1094</v>
      </c>
      <c r="O1565" s="1" t="s">
        <v>41</v>
      </c>
      <c r="P1565" s="1" t="s">
        <v>50</v>
      </c>
      <c r="Q1565" s="1">
        <v>11</v>
      </c>
      <c r="R1565" s="1">
        <v>4</v>
      </c>
      <c r="S1565" s="1" t="s">
        <v>33</v>
      </c>
      <c r="T1565" s="1" t="s">
        <v>33</v>
      </c>
      <c r="U1565" s="1">
        <v>3</v>
      </c>
      <c r="V1565" s="1">
        <v>143787</v>
      </c>
      <c r="W1565" s="7">
        <v>524.45000000000005</v>
      </c>
      <c r="X1565" s="1">
        <v>0.42</v>
      </c>
      <c r="Y1565" s="4">
        <v>45694</v>
      </c>
      <c r="Z1565" s="1" t="s">
        <v>32</v>
      </c>
      <c r="AA1565" s="1" t="s">
        <v>33</v>
      </c>
      <c r="AB1565" s="36" t="str" cm="1">
        <f t="array" ref="AB1565">_xlfn.IFS(K1565&gt;650,"LOW",K1565&gt;=550,"MEDIUM",K1565&lt;550,"HIGH")</f>
        <v>HIGH</v>
      </c>
    </row>
    <row r="1566" spans="3:28" x14ac:dyDescent="0.3">
      <c r="C1566" s="35" t="s">
        <v>3230</v>
      </c>
      <c r="D1566" s="1" t="s">
        <v>1254</v>
      </c>
      <c r="E1566" s="1">
        <v>21</v>
      </c>
      <c r="F1566" s="1" t="s">
        <v>26</v>
      </c>
      <c r="G1566" s="1" t="s">
        <v>45</v>
      </c>
      <c r="H1566" s="1" t="s">
        <v>28</v>
      </c>
      <c r="I1566" s="1" t="s">
        <v>29</v>
      </c>
      <c r="J1566" s="7">
        <v>98082</v>
      </c>
      <c r="K1566" s="1">
        <v>422</v>
      </c>
      <c r="L1566" s="7">
        <v>32115</v>
      </c>
      <c r="M1566" s="1">
        <v>12</v>
      </c>
      <c r="N1566" s="6">
        <v>0.14380000000000001</v>
      </c>
      <c r="O1566" s="1" t="s">
        <v>5</v>
      </c>
      <c r="P1566" s="1" t="s">
        <v>50</v>
      </c>
      <c r="Q1566" s="1">
        <v>22</v>
      </c>
      <c r="R1566" s="1">
        <v>4</v>
      </c>
      <c r="S1566" s="1" t="s">
        <v>33</v>
      </c>
      <c r="T1566" s="1" t="s">
        <v>31</v>
      </c>
      <c r="U1566" s="1">
        <v>2</v>
      </c>
      <c r="V1566" s="1">
        <v>158433</v>
      </c>
      <c r="W1566" s="7">
        <v>1586.99</v>
      </c>
      <c r="X1566" s="1">
        <v>0.23</v>
      </c>
      <c r="Y1566" s="4">
        <v>45094</v>
      </c>
      <c r="Z1566" s="1" t="s">
        <v>38</v>
      </c>
      <c r="AA1566" s="1" t="s">
        <v>33</v>
      </c>
      <c r="AB1566" s="36" t="str" cm="1">
        <f t="array" ref="AB1566">_xlfn.IFS(K1566&gt;650,"LOW",K1566&gt;=550,"MEDIUM",K1566&lt;550,"HIGH")</f>
        <v>HIGH</v>
      </c>
    </row>
    <row r="1567" spans="3:28" x14ac:dyDescent="0.3">
      <c r="C1567" s="35" t="s">
        <v>2567</v>
      </c>
      <c r="D1567" s="1" t="s">
        <v>597</v>
      </c>
      <c r="E1567" s="1">
        <v>25</v>
      </c>
      <c r="F1567" s="1" t="s">
        <v>44</v>
      </c>
      <c r="G1567" s="1" t="s">
        <v>27</v>
      </c>
      <c r="H1567" s="1" t="s">
        <v>54</v>
      </c>
      <c r="I1567" s="1" t="s">
        <v>40</v>
      </c>
      <c r="J1567" s="7">
        <v>146545</v>
      </c>
      <c r="K1567" s="1">
        <v>421</v>
      </c>
      <c r="L1567" s="7">
        <v>46403</v>
      </c>
      <c r="M1567" s="1">
        <v>48</v>
      </c>
      <c r="N1567" s="6">
        <v>0.16149999999999998</v>
      </c>
      <c r="O1567" s="1" t="s">
        <v>52</v>
      </c>
      <c r="P1567" s="1" t="s">
        <v>30</v>
      </c>
      <c r="Q1567" s="1">
        <v>14</v>
      </c>
      <c r="R1567" s="1">
        <v>3</v>
      </c>
      <c r="S1567" s="1" t="s">
        <v>33</v>
      </c>
      <c r="T1567" s="1" t="s">
        <v>33</v>
      </c>
      <c r="U1567" s="1">
        <v>0</v>
      </c>
      <c r="V1567" s="1">
        <v>1265</v>
      </c>
      <c r="W1567" s="7">
        <v>247.75</v>
      </c>
      <c r="X1567" s="1">
        <v>0.99</v>
      </c>
      <c r="Y1567" s="4">
        <v>44877</v>
      </c>
      <c r="Z1567" s="1" t="s">
        <v>32</v>
      </c>
      <c r="AA1567" s="1" t="s">
        <v>33</v>
      </c>
      <c r="AB1567" s="36" t="str" cm="1">
        <f t="array" ref="AB1567">_xlfn.IFS(K1567&gt;650,"LOW",K1567&gt;=550,"MEDIUM",K1567&lt;550,"HIGH")</f>
        <v>HIGH</v>
      </c>
    </row>
    <row r="1568" spans="3:28" x14ac:dyDescent="0.3">
      <c r="C1568" s="35" t="s">
        <v>2747</v>
      </c>
      <c r="D1568" s="1" t="s">
        <v>777</v>
      </c>
      <c r="E1568" s="1">
        <v>21</v>
      </c>
      <c r="F1568" s="1" t="s">
        <v>44</v>
      </c>
      <c r="G1568" s="1" t="s">
        <v>56</v>
      </c>
      <c r="H1568" s="1" t="s">
        <v>28</v>
      </c>
      <c r="I1568" s="1" t="s">
        <v>40</v>
      </c>
      <c r="J1568" s="7">
        <v>22013</v>
      </c>
      <c r="K1568" s="1">
        <v>421</v>
      </c>
      <c r="L1568" s="7">
        <v>17206</v>
      </c>
      <c r="M1568" s="1">
        <v>48</v>
      </c>
      <c r="N1568" s="6">
        <v>0.16600000000000001</v>
      </c>
      <c r="O1568" s="1" t="s">
        <v>63</v>
      </c>
      <c r="P1568" s="1" t="s">
        <v>50</v>
      </c>
      <c r="Q1568" s="1">
        <v>6</v>
      </c>
      <c r="R1568" s="1">
        <v>2</v>
      </c>
      <c r="S1568" s="1" t="s">
        <v>33</v>
      </c>
      <c r="T1568" s="1" t="s">
        <v>33</v>
      </c>
      <c r="U1568" s="1">
        <v>0</v>
      </c>
      <c r="V1568" s="1">
        <v>714</v>
      </c>
      <c r="W1568" s="7">
        <v>161</v>
      </c>
      <c r="X1568" s="1">
        <v>0.45</v>
      </c>
      <c r="Y1568" s="4">
        <v>45756</v>
      </c>
      <c r="Z1568" s="1" t="s">
        <v>32</v>
      </c>
      <c r="AA1568" s="1" t="s">
        <v>31</v>
      </c>
      <c r="AB1568" s="36" t="str" cm="1">
        <f t="array" ref="AB1568">_xlfn.IFS(K1568&gt;650,"LOW",K1568&gt;=550,"MEDIUM",K1568&lt;550,"HIGH")</f>
        <v>HIGH</v>
      </c>
    </row>
    <row r="1569" spans="3:28" x14ac:dyDescent="0.3">
      <c r="C1569" s="35" t="s">
        <v>2933</v>
      </c>
      <c r="D1569" s="1" t="s">
        <v>961</v>
      </c>
      <c r="E1569" s="1">
        <v>40</v>
      </c>
      <c r="F1569" s="1" t="s">
        <v>26</v>
      </c>
      <c r="G1569" s="1" t="s">
        <v>45</v>
      </c>
      <c r="H1569" s="1" t="s">
        <v>61</v>
      </c>
      <c r="I1569" s="1" t="s">
        <v>40</v>
      </c>
      <c r="J1569" s="7">
        <v>37397</v>
      </c>
      <c r="K1569" s="1">
        <v>421</v>
      </c>
      <c r="L1569" s="7">
        <v>42609</v>
      </c>
      <c r="M1569" s="1">
        <v>24</v>
      </c>
      <c r="N1569" s="6">
        <v>0.1244</v>
      </c>
      <c r="O1569" s="1" t="s">
        <v>52</v>
      </c>
      <c r="P1569" s="1" t="s">
        <v>47</v>
      </c>
      <c r="Q1569" s="1">
        <v>21</v>
      </c>
      <c r="R1569" s="1">
        <v>3</v>
      </c>
      <c r="S1569" s="1" t="s">
        <v>31</v>
      </c>
      <c r="T1569" s="1" t="s">
        <v>33</v>
      </c>
      <c r="U1569" s="1">
        <v>0</v>
      </c>
      <c r="V1569" s="1">
        <v>61262</v>
      </c>
      <c r="W1569" s="7">
        <v>608.41999999999996</v>
      </c>
      <c r="X1569" s="1">
        <v>0.14000000000000001</v>
      </c>
      <c r="Y1569" s="4">
        <v>44653</v>
      </c>
      <c r="Z1569" s="1" t="s">
        <v>32</v>
      </c>
      <c r="AA1569" s="1" t="s">
        <v>33</v>
      </c>
      <c r="AB1569" s="36" t="str" cm="1">
        <f t="array" ref="AB1569">_xlfn.IFS(K1569&gt;650,"LOW",K1569&gt;=550,"MEDIUM",K1569&lt;550,"HIGH")</f>
        <v>HIGH</v>
      </c>
    </row>
    <row r="1570" spans="3:28" x14ac:dyDescent="0.3">
      <c r="C1570" s="35" t="s">
        <v>3029</v>
      </c>
      <c r="D1570" s="1" t="s">
        <v>1056</v>
      </c>
      <c r="E1570" s="1">
        <v>53</v>
      </c>
      <c r="F1570" s="1" t="s">
        <v>44</v>
      </c>
      <c r="G1570" s="1" t="s">
        <v>45</v>
      </c>
      <c r="H1570" s="1" t="s">
        <v>54</v>
      </c>
      <c r="I1570" s="1" t="s">
        <v>57</v>
      </c>
      <c r="J1570" s="7">
        <v>76321</v>
      </c>
      <c r="K1570" s="1">
        <v>421</v>
      </c>
      <c r="L1570" s="7">
        <v>34740</v>
      </c>
      <c r="M1570" s="1">
        <v>12</v>
      </c>
      <c r="N1570" s="6">
        <v>0.16070000000000001</v>
      </c>
      <c r="O1570" s="1" t="s">
        <v>41</v>
      </c>
      <c r="P1570" s="1" t="s">
        <v>30</v>
      </c>
      <c r="Q1570" s="1">
        <v>29</v>
      </c>
      <c r="R1570" s="1">
        <v>2</v>
      </c>
      <c r="S1570" s="1" t="s">
        <v>33</v>
      </c>
      <c r="T1570" s="1" t="s">
        <v>31</v>
      </c>
      <c r="U1570" s="1">
        <v>1</v>
      </c>
      <c r="V1570" s="1">
        <v>176946</v>
      </c>
      <c r="W1570" s="7">
        <v>1776.66</v>
      </c>
      <c r="X1570" s="1">
        <v>0.26</v>
      </c>
      <c r="Y1570" s="4">
        <v>45700</v>
      </c>
      <c r="Z1570" s="1" t="s">
        <v>32</v>
      </c>
      <c r="AA1570" s="1" t="s">
        <v>33</v>
      </c>
      <c r="AB1570" s="36" t="str" cm="1">
        <f t="array" ref="AB1570">_xlfn.IFS(K1570&gt;650,"LOW",K1570&gt;=550,"MEDIUM",K1570&lt;550,"HIGH")</f>
        <v>HIGH</v>
      </c>
    </row>
    <row r="1571" spans="3:28" x14ac:dyDescent="0.3">
      <c r="C1571" s="35" t="s">
        <v>3581</v>
      </c>
      <c r="D1571" s="1" t="s">
        <v>1595</v>
      </c>
      <c r="E1571" s="1">
        <v>59</v>
      </c>
      <c r="F1571" s="1" t="s">
        <v>44</v>
      </c>
      <c r="G1571" s="1" t="s">
        <v>56</v>
      </c>
      <c r="H1571" s="1" t="s">
        <v>36</v>
      </c>
      <c r="I1571" s="1" t="s">
        <v>57</v>
      </c>
      <c r="J1571" s="7">
        <v>132551</v>
      </c>
      <c r="K1571" s="1">
        <v>421</v>
      </c>
      <c r="L1571" s="7">
        <v>33899</v>
      </c>
      <c r="M1571" s="1">
        <v>48</v>
      </c>
      <c r="N1571" s="6">
        <v>6.6600000000000006E-2</v>
      </c>
      <c r="O1571" s="1" t="s">
        <v>5</v>
      </c>
      <c r="P1571" s="1" t="s">
        <v>50</v>
      </c>
      <c r="Q1571" s="1">
        <v>9</v>
      </c>
      <c r="R1571" s="1">
        <v>3</v>
      </c>
      <c r="S1571" s="1" t="s">
        <v>31</v>
      </c>
      <c r="T1571" s="1" t="s">
        <v>33</v>
      </c>
      <c r="U1571" s="1">
        <v>0</v>
      </c>
      <c r="V1571" s="1">
        <v>63708</v>
      </c>
      <c r="W1571" s="7">
        <v>1135.0999999999999</v>
      </c>
      <c r="X1571" s="1">
        <v>0.81</v>
      </c>
      <c r="Y1571" s="4">
        <v>45328</v>
      </c>
      <c r="Z1571" s="1" t="s">
        <v>38</v>
      </c>
      <c r="AA1571" s="1" t="s">
        <v>33</v>
      </c>
      <c r="AB1571" s="36" t="str" cm="1">
        <f t="array" ref="AB1571">_xlfn.IFS(K1571&gt;650,"LOW",K1571&gt;=550,"MEDIUM",K1571&lt;550,"HIGH")</f>
        <v>HIGH</v>
      </c>
    </row>
    <row r="1572" spans="3:28" x14ac:dyDescent="0.3">
      <c r="C1572" s="35" t="s">
        <v>3812</v>
      </c>
      <c r="D1572" s="1" t="s">
        <v>1818</v>
      </c>
      <c r="E1572" s="1">
        <v>28</v>
      </c>
      <c r="F1572" s="1" t="s">
        <v>26</v>
      </c>
      <c r="G1572" s="1" t="s">
        <v>35</v>
      </c>
      <c r="H1572" s="1" t="s">
        <v>61</v>
      </c>
      <c r="I1572" s="1" t="s">
        <v>40</v>
      </c>
      <c r="J1572" s="7">
        <v>126917</v>
      </c>
      <c r="K1572" s="1">
        <v>421</v>
      </c>
      <c r="L1572" s="7">
        <v>14136</v>
      </c>
      <c r="M1572" s="1">
        <v>24</v>
      </c>
      <c r="N1572" s="6">
        <v>0.1081</v>
      </c>
      <c r="O1572" s="1" t="s">
        <v>52</v>
      </c>
      <c r="P1572" s="1" t="s">
        <v>30</v>
      </c>
      <c r="Q1572" s="1">
        <v>25</v>
      </c>
      <c r="R1572" s="1">
        <v>2</v>
      </c>
      <c r="S1572" s="1" t="s">
        <v>33</v>
      </c>
      <c r="T1572" s="1" t="s">
        <v>31</v>
      </c>
      <c r="U1572" s="1">
        <v>1</v>
      </c>
      <c r="V1572" s="1">
        <v>122538</v>
      </c>
      <c r="W1572" s="7">
        <v>1730</v>
      </c>
      <c r="X1572" s="1">
        <v>0.14000000000000001</v>
      </c>
      <c r="Y1572" s="4">
        <v>44392</v>
      </c>
      <c r="Z1572" s="1" t="s">
        <v>32</v>
      </c>
      <c r="AA1572" s="1" t="s">
        <v>33</v>
      </c>
      <c r="AB1572" s="36" t="str" cm="1">
        <f t="array" ref="AB1572">_xlfn.IFS(K1572&gt;650,"LOW",K1572&gt;=550,"MEDIUM",K1572&lt;550,"HIGH")</f>
        <v>HIGH</v>
      </c>
    </row>
    <row r="1573" spans="3:28" x14ac:dyDescent="0.3">
      <c r="C1573" s="35" t="s">
        <v>3931</v>
      </c>
      <c r="D1573" s="1" t="s">
        <v>1935</v>
      </c>
      <c r="E1573" s="1">
        <v>29</v>
      </c>
      <c r="F1573" s="1" t="s">
        <v>44</v>
      </c>
      <c r="G1573" s="1" t="s">
        <v>27</v>
      </c>
      <c r="H1573" s="1" t="s">
        <v>36</v>
      </c>
      <c r="I1573" s="1" t="s">
        <v>40</v>
      </c>
      <c r="J1573" s="7">
        <v>35690</v>
      </c>
      <c r="K1573" s="1">
        <v>421</v>
      </c>
      <c r="L1573" s="7">
        <v>17878</v>
      </c>
      <c r="M1573" s="1">
        <v>60</v>
      </c>
      <c r="N1573" s="6">
        <v>0.1479</v>
      </c>
      <c r="O1573" s="1" t="s">
        <v>41</v>
      </c>
      <c r="P1573" s="1" t="s">
        <v>30</v>
      </c>
      <c r="Q1573" s="1">
        <v>4</v>
      </c>
      <c r="R1573" s="1">
        <v>0</v>
      </c>
      <c r="S1573" s="1" t="s">
        <v>31</v>
      </c>
      <c r="T1573" s="1" t="s">
        <v>33</v>
      </c>
      <c r="U1573" s="1">
        <v>0</v>
      </c>
      <c r="V1573" s="1">
        <v>107237</v>
      </c>
      <c r="W1573" s="7">
        <v>1763.15</v>
      </c>
      <c r="X1573" s="1">
        <v>0.39</v>
      </c>
      <c r="Y1573" s="4">
        <v>44502</v>
      </c>
      <c r="Z1573" s="1" t="s">
        <v>32</v>
      </c>
      <c r="AA1573" s="1" t="s">
        <v>33</v>
      </c>
      <c r="AB1573" s="36" t="str" cm="1">
        <f t="array" ref="AB1573">_xlfn.IFS(K1573&gt;650,"LOW",K1573&gt;=550,"MEDIUM",K1573&lt;550,"HIGH")</f>
        <v>HIGH</v>
      </c>
    </row>
    <row r="1574" spans="3:28" x14ac:dyDescent="0.3">
      <c r="C1574" s="35" t="s">
        <v>3075</v>
      </c>
      <c r="D1574" s="1" t="s">
        <v>1101</v>
      </c>
      <c r="E1574" s="1">
        <v>43</v>
      </c>
      <c r="F1574" s="1" t="s">
        <v>26</v>
      </c>
      <c r="G1574" s="1" t="s">
        <v>56</v>
      </c>
      <c r="H1574" s="1" t="s">
        <v>28</v>
      </c>
      <c r="I1574" s="1" t="s">
        <v>29</v>
      </c>
      <c r="J1574" s="7">
        <v>101787</v>
      </c>
      <c r="K1574" s="1">
        <v>420</v>
      </c>
      <c r="L1574" s="7">
        <v>5395</v>
      </c>
      <c r="M1574" s="1">
        <v>48</v>
      </c>
      <c r="N1574" s="6">
        <v>9.5600000000000004E-2</v>
      </c>
      <c r="O1574" s="1" t="s">
        <v>41</v>
      </c>
      <c r="P1574" s="1" t="s">
        <v>47</v>
      </c>
      <c r="Q1574" s="1">
        <v>9</v>
      </c>
      <c r="R1574" s="1">
        <v>2</v>
      </c>
      <c r="S1574" s="1" t="s">
        <v>31</v>
      </c>
      <c r="T1574" s="1" t="s">
        <v>33</v>
      </c>
      <c r="U1574" s="1">
        <v>0</v>
      </c>
      <c r="V1574" s="1">
        <v>22878</v>
      </c>
      <c r="W1574" s="7">
        <v>1234.3</v>
      </c>
      <c r="X1574" s="1">
        <v>0.56000000000000005</v>
      </c>
      <c r="Y1574" s="4">
        <v>44465</v>
      </c>
      <c r="Z1574" s="1" t="s">
        <v>38</v>
      </c>
      <c r="AA1574" s="1" t="s">
        <v>33</v>
      </c>
      <c r="AB1574" s="36" t="str" cm="1">
        <f t="array" ref="AB1574">_xlfn.IFS(K1574&gt;650,"LOW",K1574&gt;=550,"MEDIUM",K1574&lt;550,"HIGH")</f>
        <v>HIGH</v>
      </c>
    </row>
    <row r="1575" spans="3:28" x14ac:dyDescent="0.3">
      <c r="C1575" s="35" t="s">
        <v>3428</v>
      </c>
      <c r="D1575" s="1" t="s">
        <v>1448</v>
      </c>
      <c r="E1575" s="1">
        <v>36</v>
      </c>
      <c r="F1575" s="1" t="s">
        <v>26</v>
      </c>
      <c r="G1575" s="1" t="s">
        <v>35</v>
      </c>
      <c r="H1575" s="1" t="s">
        <v>36</v>
      </c>
      <c r="I1575" s="1" t="s">
        <v>59</v>
      </c>
      <c r="J1575" s="7">
        <v>83767</v>
      </c>
      <c r="K1575" s="1">
        <v>420</v>
      </c>
      <c r="L1575" s="7">
        <v>38739</v>
      </c>
      <c r="M1575" s="1">
        <v>36</v>
      </c>
      <c r="N1575" s="6">
        <v>7.4400000000000008E-2</v>
      </c>
      <c r="O1575" s="1" t="s">
        <v>63</v>
      </c>
      <c r="P1575" s="1" t="s">
        <v>50</v>
      </c>
      <c r="Q1575" s="1">
        <v>17</v>
      </c>
      <c r="R1575" s="1">
        <v>2</v>
      </c>
      <c r="S1575" s="1" t="s">
        <v>31</v>
      </c>
      <c r="T1575" s="1" t="s">
        <v>31</v>
      </c>
      <c r="U1575" s="1">
        <v>3</v>
      </c>
      <c r="V1575" s="1">
        <v>142466</v>
      </c>
      <c r="W1575" s="7">
        <v>313.44</v>
      </c>
      <c r="X1575" s="1">
        <v>0.51</v>
      </c>
      <c r="Y1575" s="4">
        <v>45644</v>
      </c>
      <c r="Z1575" s="1" t="s">
        <v>38</v>
      </c>
      <c r="AA1575" s="1" t="s">
        <v>33</v>
      </c>
      <c r="AB1575" s="36" t="str" cm="1">
        <f t="array" ref="AB1575">_xlfn.IFS(K1575&gt;650,"LOW",K1575&gt;=550,"MEDIUM",K1575&lt;550,"HIGH")</f>
        <v>HIGH</v>
      </c>
    </row>
    <row r="1576" spans="3:28" x14ac:dyDescent="0.3">
      <c r="C1576" s="35" t="s">
        <v>3861</v>
      </c>
      <c r="D1576" s="1" t="s">
        <v>1867</v>
      </c>
      <c r="E1576" s="1">
        <v>35</v>
      </c>
      <c r="F1576" s="1" t="s">
        <v>26</v>
      </c>
      <c r="G1576" s="1" t="s">
        <v>27</v>
      </c>
      <c r="H1576" s="1" t="s">
        <v>54</v>
      </c>
      <c r="I1576" s="1" t="s">
        <v>40</v>
      </c>
      <c r="J1576" s="7">
        <v>111737</v>
      </c>
      <c r="K1576" s="1">
        <v>420</v>
      </c>
      <c r="L1576" s="7">
        <v>39964</v>
      </c>
      <c r="M1576" s="1">
        <v>12</v>
      </c>
      <c r="N1576" s="6">
        <v>0.1082</v>
      </c>
      <c r="O1576" s="1" t="s">
        <v>5</v>
      </c>
      <c r="P1576" s="1" t="s">
        <v>50</v>
      </c>
      <c r="Q1576" s="1">
        <v>25</v>
      </c>
      <c r="R1576" s="1">
        <v>1</v>
      </c>
      <c r="S1576" s="1" t="s">
        <v>33</v>
      </c>
      <c r="T1576" s="1" t="s">
        <v>31</v>
      </c>
      <c r="U1576" s="1">
        <v>4</v>
      </c>
      <c r="V1576" s="1">
        <v>123304</v>
      </c>
      <c r="W1576" s="7">
        <v>1185.94</v>
      </c>
      <c r="X1576" s="1">
        <v>0.36</v>
      </c>
      <c r="Y1576" s="4">
        <v>44255</v>
      </c>
      <c r="Z1576" s="1" t="s">
        <v>32</v>
      </c>
      <c r="AA1576" s="1" t="s">
        <v>31</v>
      </c>
      <c r="AB1576" s="36" t="str" cm="1">
        <f t="array" ref="AB1576">_xlfn.IFS(K1576&gt;650,"LOW",K1576&gt;=550,"MEDIUM",K1576&lt;550,"HIGH")</f>
        <v>HIGH</v>
      </c>
    </row>
    <row r="1577" spans="3:28" x14ac:dyDescent="0.3">
      <c r="C1577" s="35" t="s">
        <v>3062</v>
      </c>
      <c r="D1577" s="1" t="s">
        <v>1088</v>
      </c>
      <c r="E1577" s="1">
        <v>56</v>
      </c>
      <c r="F1577" s="1" t="s">
        <v>44</v>
      </c>
      <c r="G1577" s="1" t="s">
        <v>56</v>
      </c>
      <c r="H1577" s="1" t="s">
        <v>28</v>
      </c>
      <c r="I1577" s="1" t="s">
        <v>29</v>
      </c>
      <c r="J1577" s="7">
        <v>137106</v>
      </c>
      <c r="K1577" s="1">
        <v>419</v>
      </c>
      <c r="L1577" s="7">
        <v>6445</v>
      </c>
      <c r="M1577" s="1">
        <v>12</v>
      </c>
      <c r="N1577" s="6">
        <v>0.11630000000000001</v>
      </c>
      <c r="O1577" s="1" t="s">
        <v>5</v>
      </c>
      <c r="P1577" s="1" t="s">
        <v>30</v>
      </c>
      <c r="Q1577" s="1">
        <v>15</v>
      </c>
      <c r="R1577" s="1">
        <v>2</v>
      </c>
      <c r="S1577" s="1" t="s">
        <v>31</v>
      </c>
      <c r="T1577" s="1" t="s">
        <v>31</v>
      </c>
      <c r="U1577" s="1">
        <v>1</v>
      </c>
      <c r="V1577" s="1">
        <v>122211</v>
      </c>
      <c r="W1577" s="7">
        <v>1111.55</v>
      </c>
      <c r="X1577" s="1">
        <v>0.7</v>
      </c>
      <c r="Y1577" s="4">
        <v>44209</v>
      </c>
      <c r="Z1577" s="1" t="s">
        <v>38</v>
      </c>
      <c r="AA1577" s="1" t="s">
        <v>31</v>
      </c>
      <c r="AB1577" s="36" t="str" cm="1">
        <f t="array" ref="AB1577">_xlfn.IFS(K1577&gt;650,"LOW",K1577&gt;=550,"MEDIUM",K1577&lt;550,"HIGH")</f>
        <v>HIGH</v>
      </c>
    </row>
    <row r="1578" spans="3:28" x14ac:dyDescent="0.3">
      <c r="C1578" s="35" t="s">
        <v>2095</v>
      </c>
      <c r="D1578" s="1" t="s">
        <v>126</v>
      </c>
      <c r="E1578" s="1">
        <v>43</v>
      </c>
      <c r="F1578" s="1" t="s">
        <v>26</v>
      </c>
      <c r="G1578" s="1" t="s">
        <v>45</v>
      </c>
      <c r="H1578" s="1" t="s">
        <v>28</v>
      </c>
      <c r="I1578" s="1" t="s">
        <v>29</v>
      </c>
      <c r="J1578" s="7">
        <v>34549</v>
      </c>
      <c r="K1578" s="1">
        <v>417</v>
      </c>
      <c r="L1578" s="7">
        <v>30677</v>
      </c>
      <c r="M1578" s="1">
        <v>12</v>
      </c>
      <c r="N1578" s="6">
        <v>0.1341</v>
      </c>
      <c r="O1578" s="1" t="s">
        <v>41</v>
      </c>
      <c r="P1578" s="1" t="s">
        <v>30</v>
      </c>
      <c r="Q1578" s="1">
        <v>23</v>
      </c>
      <c r="R1578" s="1">
        <v>0</v>
      </c>
      <c r="S1578" s="1" t="s">
        <v>33</v>
      </c>
      <c r="T1578" s="1" t="s">
        <v>31</v>
      </c>
      <c r="U1578" s="1">
        <v>1</v>
      </c>
      <c r="V1578" s="1">
        <v>156323</v>
      </c>
      <c r="W1578" s="7">
        <v>1453.11</v>
      </c>
      <c r="X1578" s="1">
        <v>0.82</v>
      </c>
      <c r="Y1578" s="4">
        <v>44710</v>
      </c>
      <c r="Z1578" s="1" t="s">
        <v>38</v>
      </c>
      <c r="AA1578" s="1" t="s">
        <v>33</v>
      </c>
      <c r="AB1578" s="36" t="str" cm="1">
        <f t="array" ref="AB1578">_xlfn.IFS(K1578&gt;650,"LOW",K1578&gt;=550,"MEDIUM",K1578&lt;550,"HIGH")</f>
        <v>HIGH</v>
      </c>
    </row>
    <row r="1579" spans="3:28" x14ac:dyDescent="0.3">
      <c r="C1579" s="35" t="s">
        <v>2728</v>
      </c>
      <c r="D1579" s="1" t="s">
        <v>758</v>
      </c>
      <c r="E1579" s="1">
        <v>37</v>
      </c>
      <c r="F1579" s="1" t="s">
        <v>26</v>
      </c>
      <c r="G1579" s="1" t="s">
        <v>27</v>
      </c>
      <c r="H1579" s="1" t="s">
        <v>61</v>
      </c>
      <c r="I1579" s="1" t="s">
        <v>59</v>
      </c>
      <c r="J1579" s="7">
        <v>145737</v>
      </c>
      <c r="K1579" s="1">
        <v>417</v>
      </c>
      <c r="L1579" s="7">
        <v>11129</v>
      </c>
      <c r="M1579" s="1">
        <v>12</v>
      </c>
      <c r="N1579" s="6">
        <v>0.16589999999999999</v>
      </c>
      <c r="O1579" s="1" t="s">
        <v>5</v>
      </c>
      <c r="P1579" s="1" t="s">
        <v>47</v>
      </c>
      <c r="Q1579" s="1">
        <v>7</v>
      </c>
      <c r="R1579" s="1">
        <v>0</v>
      </c>
      <c r="S1579" s="1" t="s">
        <v>33</v>
      </c>
      <c r="T1579" s="1" t="s">
        <v>31</v>
      </c>
      <c r="U1579" s="1">
        <v>1</v>
      </c>
      <c r="V1579" s="1">
        <v>22053</v>
      </c>
      <c r="W1579" s="7">
        <v>1616.07</v>
      </c>
      <c r="X1579" s="1">
        <v>0.18</v>
      </c>
      <c r="Y1579" s="4">
        <v>45525</v>
      </c>
      <c r="Z1579" s="1" t="s">
        <v>38</v>
      </c>
      <c r="AA1579" s="1" t="s">
        <v>33</v>
      </c>
      <c r="AB1579" s="36" t="str" cm="1">
        <f t="array" ref="AB1579">_xlfn.IFS(K1579&gt;650,"LOW",K1579&gt;=550,"MEDIUM",K1579&lt;550,"HIGH")</f>
        <v>HIGH</v>
      </c>
    </row>
    <row r="1580" spans="3:28" x14ac:dyDescent="0.3">
      <c r="C1580" s="35" t="s">
        <v>2926</v>
      </c>
      <c r="D1580" s="1" t="s">
        <v>954</v>
      </c>
      <c r="E1580" s="1">
        <v>46</v>
      </c>
      <c r="F1580" s="1" t="s">
        <v>44</v>
      </c>
      <c r="G1580" s="1" t="s">
        <v>56</v>
      </c>
      <c r="H1580" s="1" t="s">
        <v>61</v>
      </c>
      <c r="I1580" s="1" t="s">
        <v>57</v>
      </c>
      <c r="J1580" s="7">
        <v>114346</v>
      </c>
      <c r="K1580" s="1">
        <v>416</v>
      </c>
      <c r="L1580" s="7">
        <v>46037</v>
      </c>
      <c r="M1580" s="1">
        <v>36</v>
      </c>
      <c r="N1580" s="6">
        <v>0.1832</v>
      </c>
      <c r="O1580" s="1" t="s">
        <v>46</v>
      </c>
      <c r="P1580" s="1" t="s">
        <v>47</v>
      </c>
      <c r="Q1580" s="1">
        <v>14</v>
      </c>
      <c r="R1580" s="1">
        <v>4</v>
      </c>
      <c r="S1580" s="1" t="s">
        <v>33</v>
      </c>
      <c r="T1580" s="1" t="s">
        <v>33</v>
      </c>
      <c r="U1580" s="1">
        <v>4</v>
      </c>
      <c r="V1580" s="1">
        <v>65122</v>
      </c>
      <c r="W1580" s="7">
        <v>1604.35</v>
      </c>
      <c r="X1580" s="1">
        <v>0.88</v>
      </c>
      <c r="Y1580" s="4">
        <v>44510</v>
      </c>
      <c r="Z1580" s="1" t="s">
        <v>32</v>
      </c>
      <c r="AA1580" s="1" t="s">
        <v>33</v>
      </c>
      <c r="AB1580" s="36" t="str" cm="1">
        <f t="array" ref="AB1580">_xlfn.IFS(K1580&gt;650,"LOW",K1580&gt;=550,"MEDIUM",K1580&lt;550,"HIGH")</f>
        <v>HIGH</v>
      </c>
    </row>
    <row r="1581" spans="3:28" x14ac:dyDescent="0.3">
      <c r="C1581" s="35" t="s">
        <v>3972</v>
      </c>
      <c r="D1581" s="1" t="s">
        <v>1972</v>
      </c>
      <c r="E1581" s="1">
        <v>46</v>
      </c>
      <c r="F1581" s="1" t="s">
        <v>44</v>
      </c>
      <c r="G1581" s="1" t="s">
        <v>27</v>
      </c>
      <c r="H1581" s="1" t="s">
        <v>36</v>
      </c>
      <c r="I1581" s="1" t="s">
        <v>29</v>
      </c>
      <c r="J1581" s="7">
        <v>67322</v>
      </c>
      <c r="K1581" s="1">
        <v>415</v>
      </c>
      <c r="L1581" s="7">
        <v>30049</v>
      </c>
      <c r="M1581" s="1">
        <v>48</v>
      </c>
      <c r="N1581" s="6">
        <v>0.19079999999999997</v>
      </c>
      <c r="O1581" s="1" t="s">
        <v>41</v>
      </c>
      <c r="P1581" s="1" t="s">
        <v>30</v>
      </c>
      <c r="Q1581" s="1">
        <v>19</v>
      </c>
      <c r="R1581" s="1">
        <v>2</v>
      </c>
      <c r="S1581" s="1" t="s">
        <v>31</v>
      </c>
      <c r="T1581" s="1" t="s">
        <v>33</v>
      </c>
      <c r="U1581" s="1">
        <v>4</v>
      </c>
      <c r="V1581" s="1">
        <v>82532</v>
      </c>
      <c r="W1581" s="7">
        <v>887.65</v>
      </c>
      <c r="X1581" s="1">
        <v>0.73</v>
      </c>
      <c r="Y1581" s="4">
        <v>44899</v>
      </c>
      <c r="Z1581" s="1" t="s">
        <v>38</v>
      </c>
      <c r="AA1581" s="1" t="s">
        <v>33</v>
      </c>
      <c r="AB1581" s="36" t="str" cm="1">
        <f t="array" ref="AB1581">_xlfn.IFS(K1581&gt;650,"LOW",K1581&gt;=550,"MEDIUM",K1581&lt;550,"HIGH")</f>
        <v>HIGH</v>
      </c>
    </row>
    <row r="1582" spans="3:28" x14ac:dyDescent="0.3">
      <c r="C1582" s="35" t="s">
        <v>2390</v>
      </c>
      <c r="D1582" s="1" t="s">
        <v>420</v>
      </c>
      <c r="E1582" s="1">
        <v>36</v>
      </c>
      <c r="F1582" s="1" t="s">
        <v>44</v>
      </c>
      <c r="G1582" s="1" t="s">
        <v>27</v>
      </c>
      <c r="H1582" s="1" t="s">
        <v>36</v>
      </c>
      <c r="I1582" s="1" t="s">
        <v>57</v>
      </c>
      <c r="J1582" s="7">
        <v>110937</v>
      </c>
      <c r="K1582" s="1">
        <v>414</v>
      </c>
      <c r="L1582" s="7">
        <v>40161</v>
      </c>
      <c r="M1582" s="1">
        <v>60</v>
      </c>
      <c r="N1582" s="6">
        <v>0.13750000000000001</v>
      </c>
      <c r="O1582" s="1" t="s">
        <v>52</v>
      </c>
      <c r="P1582" s="1" t="s">
        <v>47</v>
      </c>
      <c r="Q1582" s="1">
        <v>12</v>
      </c>
      <c r="R1582" s="1">
        <v>0</v>
      </c>
      <c r="S1582" s="1" t="s">
        <v>33</v>
      </c>
      <c r="T1582" s="1" t="s">
        <v>33</v>
      </c>
      <c r="U1582" s="1">
        <v>4</v>
      </c>
      <c r="V1582" s="1">
        <v>83525</v>
      </c>
      <c r="W1582" s="7">
        <v>1118.32</v>
      </c>
      <c r="X1582" s="1">
        <v>0.74</v>
      </c>
      <c r="Y1582" s="4">
        <v>44371</v>
      </c>
      <c r="Z1582" s="1" t="s">
        <v>32</v>
      </c>
      <c r="AA1582" s="1" t="s">
        <v>31</v>
      </c>
      <c r="AB1582" s="36" t="str" cm="1">
        <f t="array" ref="AB1582">_xlfn.IFS(K1582&gt;650,"LOW",K1582&gt;=550,"MEDIUM",K1582&lt;550,"HIGH")</f>
        <v>HIGH</v>
      </c>
    </row>
    <row r="1583" spans="3:28" x14ac:dyDescent="0.3">
      <c r="C1583" s="35" t="s">
        <v>2927</v>
      </c>
      <c r="D1583" s="1" t="s">
        <v>955</v>
      </c>
      <c r="E1583" s="1">
        <v>64</v>
      </c>
      <c r="F1583" s="1" t="s">
        <v>44</v>
      </c>
      <c r="G1583" s="1" t="s">
        <v>56</v>
      </c>
      <c r="H1583" s="1" t="s">
        <v>36</v>
      </c>
      <c r="I1583" s="1" t="s">
        <v>40</v>
      </c>
      <c r="J1583" s="7">
        <v>29718</v>
      </c>
      <c r="K1583" s="1">
        <v>414</v>
      </c>
      <c r="L1583" s="7">
        <v>18861</v>
      </c>
      <c r="M1583" s="1">
        <v>48</v>
      </c>
      <c r="N1583" s="6">
        <v>0.1106</v>
      </c>
      <c r="O1583" s="1" t="s">
        <v>5</v>
      </c>
      <c r="P1583" s="1" t="s">
        <v>50</v>
      </c>
      <c r="Q1583" s="1">
        <v>27</v>
      </c>
      <c r="R1583" s="1">
        <v>0</v>
      </c>
      <c r="S1583" s="1" t="s">
        <v>33</v>
      </c>
      <c r="T1583" s="1" t="s">
        <v>33</v>
      </c>
      <c r="U1583" s="1">
        <v>2</v>
      </c>
      <c r="V1583" s="1">
        <v>81757</v>
      </c>
      <c r="W1583" s="7">
        <v>937.91</v>
      </c>
      <c r="X1583" s="1">
        <v>0.6</v>
      </c>
      <c r="Y1583" s="4">
        <v>45370</v>
      </c>
      <c r="Z1583" s="1" t="s">
        <v>32</v>
      </c>
      <c r="AA1583" s="1" t="s">
        <v>33</v>
      </c>
      <c r="AB1583" s="36" t="str" cm="1">
        <f t="array" ref="AB1583">_xlfn.IFS(K1583&gt;650,"LOW",K1583&gt;=550,"MEDIUM",K1583&lt;550,"HIGH")</f>
        <v>HIGH</v>
      </c>
    </row>
    <row r="1584" spans="3:28" x14ac:dyDescent="0.3">
      <c r="C1584" s="35" t="s">
        <v>3095</v>
      </c>
      <c r="D1584" s="1" t="s">
        <v>1120</v>
      </c>
      <c r="E1584" s="1">
        <v>48</v>
      </c>
      <c r="F1584" s="1" t="s">
        <v>44</v>
      </c>
      <c r="G1584" s="1" t="s">
        <v>35</v>
      </c>
      <c r="H1584" s="1" t="s">
        <v>54</v>
      </c>
      <c r="I1584" s="1" t="s">
        <v>57</v>
      </c>
      <c r="J1584" s="7">
        <v>93705</v>
      </c>
      <c r="K1584" s="1">
        <v>414</v>
      </c>
      <c r="L1584" s="7">
        <v>10915</v>
      </c>
      <c r="M1584" s="1">
        <v>48</v>
      </c>
      <c r="N1584" s="6">
        <v>0.1807</v>
      </c>
      <c r="O1584" s="1" t="s">
        <v>52</v>
      </c>
      <c r="P1584" s="1" t="s">
        <v>30</v>
      </c>
      <c r="Q1584" s="1">
        <v>22</v>
      </c>
      <c r="R1584" s="1">
        <v>2</v>
      </c>
      <c r="S1584" s="1" t="s">
        <v>31</v>
      </c>
      <c r="T1584" s="1" t="s">
        <v>33</v>
      </c>
      <c r="U1584" s="1">
        <v>3</v>
      </c>
      <c r="V1584" s="1">
        <v>61320</v>
      </c>
      <c r="W1584" s="7">
        <v>475.89</v>
      </c>
      <c r="X1584" s="1">
        <v>0.73</v>
      </c>
      <c r="Y1584" s="4">
        <v>44889</v>
      </c>
      <c r="Z1584" s="1" t="s">
        <v>32</v>
      </c>
      <c r="AA1584" s="1" t="s">
        <v>33</v>
      </c>
      <c r="AB1584" s="36" t="str" cm="1">
        <f t="array" ref="AB1584">_xlfn.IFS(K1584&gt;650,"LOW",K1584&gt;=550,"MEDIUM",K1584&lt;550,"HIGH")</f>
        <v>HIGH</v>
      </c>
    </row>
    <row r="1585" spans="3:28" x14ac:dyDescent="0.3">
      <c r="C1585" s="35" t="s">
        <v>3579</v>
      </c>
      <c r="D1585" s="1" t="s">
        <v>1593</v>
      </c>
      <c r="E1585" s="1">
        <v>63</v>
      </c>
      <c r="F1585" s="1" t="s">
        <v>44</v>
      </c>
      <c r="G1585" s="1" t="s">
        <v>45</v>
      </c>
      <c r="H1585" s="1" t="s">
        <v>54</v>
      </c>
      <c r="I1585" s="1" t="s">
        <v>57</v>
      </c>
      <c r="J1585" s="7">
        <v>130186</v>
      </c>
      <c r="K1585" s="1">
        <v>414</v>
      </c>
      <c r="L1585" s="7">
        <v>5643</v>
      </c>
      <c r="M1585" s="1">
        <v>24</v>
      </c>
      <c r="N1585" s="6">
        <v>0.15229999999999999</v>
      </c>
      <c r="O1585" s="1" t="s">
        <v>52</v>
      </c>
      <c r="P1585" s="1" t="s">
        <v>30</v>
      </c>
      <c r="Q1585" s="1">
        <v>24</v>
      </c>
      <c r="R1585" s="1">
        <v>3</v>
      </c>
      <c r="S1585" s="1" t="s">
        <v>31</v>
      </c>
      <c r="T1585" s="1" t="s">
        <v>33</v>
      </c>
      <c r="U1585" s="1">
        <v>4</v>
      </c>
      <c r="V1585" s="1">
        <v>159508</v>
      </c>
      <c r="W1585" s="7">
        <v>535.73</v>
      </c>
      <c r="X1585" s="1">
        <v>0.47</v>
      </c>
      <c r="Y1585" s="4">
        <v>44116</v>
      </c>
      <c r="Z1585" s="1" t="s">
        <v>38</v>
      </c>
      <c r="AA1585" s="1" t="s">
        <v>33</v>
      </c>
      <c r="AB1585" s="36" t="str" cm="1">
        <f t="array" ref="AB1585">_xlfn.IFS(K1585&gt;650,"LOW",K1585&gt;=550,"MEDIUM",K1585&lt;550,"HIGH")</f>
        <v>HIGH</v>
      </c>
    </row>
    <row r="1586" spans="3:28" x14ac:dyDescent="0.3">
      <c r="C1586" s="35" t="s">
        <v>3721</v>
      </c>
      <c r="D1586" s="1" t="s">
        <v>1730</v>
      </c>
      <c r="E1586" s="1">
        <v>28</v>
      </c>
      <c r="F1586" s="1" t="s">
        <v>44</v>
      </c>
      <c r="G1586" s="1" t="s">
        <v>56</v>
      </c>
      <c r="H1586" s="1" t="s">
        <v>36</v>
      </c>
      <c r="I1586" s="1" t="s">
        <v>40</v>
      </c>
      <c r="J1586" s="7">
        <v>119083</v>
      </c>
      <c r="K1586" s="1">
        <v>414</v>
      </c>
      <c r="L1586" s="7">
        <v>28740</v>
      </c>
      <c r="M1586" s="1">
        <v>12</v>
      </c>
      <c r="N1586" s="6">
        <v>0.17350000000000002</v>
      </c>
      <c r="O1586" s="1" t="s">
        <v>5</v>
      </c>
      <c r="P1586" s="1" t="s">
        <v>30</v>
      </c>
      <c r="Q1586" s="1">
        <v>1</v>
      </c>
      <c r="R1586" s="1">
        <v>1</v>
      </c>
      <c r="S1586" s="1" t="s">
        <v>31</v>
      </c>
      <c r="T1586" s="1" t="s">
        <v>33</v>
      </c>
      <c r="U1586" s="1">
        <v>0</v>
      </c>
      <c r="V1586" s="1">
        <v>191820</v>
      </c>
      <c r="W1586" s="7">
        <v>1372.85</v>
      </c>
      <c r="X1586" s="1">
        <v>0.96</v>
      </c>
      <c r="Y1586" s="4">
        <v>45827</v>
      </c>
      <c r="Z1586" s="1" t="s">
        <v>32</v>
      </c>
      <c r="AA1586" s="1" t="s">
        <v>33</v>
      </c>
      <c r="AB1586" s="36" t="str" cm="1">
        <f t="array" ref="AB1586">_xlfn.IFS(K1586&gt;650,"LOW",K1586&gt;=550,"MEDIUM",K1586&lt;550,"HIGH")</f>
        <v>HIGH</v>
      </c>
    </row>
    <row r="1587" spans="3:28" x14ac:dyDescent="0.3">
      <c r="C1587" s="35" t="s">
        <v>2379</v>
      </c>
      <c r="D1587" s="1" t="s">
        <v>409</v>
      </c>
      <c r="E1587" s="1">
        <v>62</v>
      </c>
      <c r="F1587" s="1" t="s">
        <v>44</v>
      </c>
      <c r="G1587" s="1" t="s">
        <v>27</v>
      </c>
      <c r="H1587" s="1" t="s">
        <v>61</v>
      </c>
      <c r="I1587" s="1" t="s">
        <v>29</v>
      </c>
      <c r="J1587" s="7">
        <v>102867</v>
      </c>
      <c r="K1587" s="1">
        <v>413</v>
      </c>
      <c r="L1587" s="7">
        <v>47359</v>
      </c>
      <c r="M1587" s="1">
        <v>12</v>
      </c>
      <c r="N1587" s="6">
        <v>9.6600000000000005E-2</v>
      </c>
      <c r="O1587" s="1" t="s">
        <v>41</v>
      </c>
      <c r="P1587" s="1" t="s">
        <v>50</v>
      </c>
      <c r="Q1587" s="1">
        <v>2</v>
      </c>
      <c r="R1587" s="1">
        <v>1</v>
      </c>
      <c r="S1587" s="1" t="s">
        <v>31</v>
      </c>
      <c r="T1587" s="1" t="s">
        <v>33</v>
      </c>
      <c r="U1587" s="1">
        <v>3</v>
      </c>
      <c r="V1587" s="1">
        <v>2175</v>
      </c>
      <c r="W1587" s="7">
        <v>1513.03</v>
      </c>
      <c r="X1587" s="1">
        <v>0.53</v>
      </c>
      <c r="Y1587" s="4">
        <v>45706</v>
      </c>
      <c r="Z1587" s="1" t="s">
        <v>38</v>
      </c>
      <c r="AA1587" s="1" t="s">
        <v>33</v>
      </c>
      <c r="AB1587" s="36" t="str" cm="1">
        <f t="array" ref="AB1587">_xlfn.IFS(K1587&gt;650,"LOW",K1587&gt;=550,"MEDIUM",K1587&lt;550,"HIGH")</f>
        <v>HIGH</v>
      </c>
    </row>
    <row r="1588" spans="3:28" x14ac:dyDescent="0.3">
      <c r="C1588" s="35" t="s">
        <v>2777</v>
      </c>
      <c r="D1588" s="1" t="s">
        <v>805</v>
      </c>
      <c r="E1588" s="1">
        <v>25</v>
      </c>
      <c r="F1588" s="1" t="s">
        <v>44</v>
      </c>
      <c r="G1588" s="1" t="s">
        <v>27</v>
      </c>
      <c r="H1588" s="1" t="s">
        <v>61</v>
      </c>
      <c r="I1588" s="1" t="s">
        <v>40</v>
      </c>
      <c r="J1588" s="7">
        <v>51826</v>
      </c>
      <c r="K1588" s="1">
        <v>413</v>
      </c>
      <c r="L1588" s="7">
        <v>31255</v>
      </c>
      <c r="M1588" s="1">
        <v>60</v>
      </c>
      <c r="N1588" s="6">
        <v>0.1381</v>
      </c>
      <c r="O1588" s="1" t="s">
        <v>63</v>
      </c>
      <c r="P1588" s="1" t="s">
        <v>30</v>
      </c>
      <c r="Q1588" s="1">
        <v>25</v>
      </c>
      <c r="R1588" s="1">
        <v>2</v>
      </c>
      <c r="S1588" s="1" t="s">
        <v>31</v>
      </c>
      <c r="T1588" s="1" t="s">
        <v>33</v>
      </c>
      <c r="U1588" s="1">
        <v>3</v>
      </c>
      <c r="V1588" s="1">
        <v>114008</v>
      </c>
      <c r="W1588" s="7">
        <v>513.49</v>
      </c>
      <c r="X1588" s="1">
        <v>0.39</v>
      </c>
      <c r="Y1588" s="4">
        <v>45546</v>
      </c>
      <c r="Z1588" s="1" t="s">
        <v>38</v>
      </c>
      <c r="AA1588" s="1" t="s">
        <v>33</v>
      </c>
      <c r="AB1588" s="36" t="str" cm="1">
        <f t="array" ref="AB1588">_xlfn.IFS(K1588&gt;650,"LOW",K1588&gt;=550,"MEDIUM",K1588&lt;550,"HIGH")</f>
        <v>HIGH</v>
      </c>
    </row>
    <row r="1589" spans="3:28" x14ac:dyDescent="0.3">
      <c r="C1589" s="35" t="s">
        <v>3432</v>
      </c>
      <c r="D1589" s="1" t="s">
        <v>1451</v>
      </c>
      <c r="E1589" s="1">
        <v>55</v>
      </c>
      <c r="F1589" s="1" t="s">
        <v>44</v>
      </c>
      <c r="G1589" s="1" t="s">
        <v>56</v>
      </c>
      <c r="H1589" s="1" t="s">
        <v>61</v>
      </c>
      <c r="I1589" s="1" t="s">
        <v>59</v>
      </c>
      <c r="J1589" s="7">
        <v>70222</v>
      </c>
      <c r="K1589" s="1">
        <v>413</v>
      </c>
      <c r="L1589" s="7">
        <v>29457</v>
      </c>
      <c r="M1589" s="1">
        <v>24</v>
      </c>
      <c r="N1589" s="6">
        <v>0.16250000000000001</v>
      </c>
      <c r="O1589" s="1" t="s">
        <v>63</v>
      </c>
      <c r="P1589" s="1" t="s">
        <v>47</v>
      </c>
      <c r="Q1589" s="1">
        <v>17</v>
      </c>
      <c r="R1589" s="1">
        <v>2</v>
      </c>
      <c r="S1589" s="1" t="s">
        <v>33</v>
      </c>
      <c r="T1589" s="1" t="s">
        <v>33</v>
      </c>
      <c r="U1589" s="1">
        <v>2</v>
      </c>
      <c r="V1589" s="1">
        <v>177204</v>
      </c>
      <c r="W1589" s="7">
        <v>100.85</v>
      </c>
      <c r="X1589" s="1">
        <v>0.35</v>
      </c>
      <c r="Y1589" s="4">
        <v>45610</v>
      </c>
      <c r="Z1589" s="1" t="s">
        <v>32</v>
      </c>
      <c r="AA1589" s="1" t="s">
        <v>33</v>
      </c>
      <c r="AB1589" s="36" t="str" cm="1">
        <f t="array" ref="AB1589">_xlfn.IFS(K1589&gt;650,"LOW",K1589&gt;=550,"MEDIUM",K1589&lt;550,"HIGH")</f>
        <v>HIGH</v>
      </c>
    </row>
    <row r="1590" spans="3:28" x14ac:dyDescent="0.3">
      <c r="C1590" s="35" t="s">
        <v>3659</v>
      </c>
      <c r="D1590" s="1" t="s">
        <v>1671</v>
      </c>
      <c r="E1590" s="1">
        <v>31</v>
      </c>
      <c r="F1590" s="1" t="s">
        <v>26</v>
      </c>
      <c r="G1590" s="1" t="s">
        <v>27</v>
      </c>
      <c r="H1590" s="1" t="s">
        <v>61</v>
      </c>
      <c r="I1590" s="1" t="s">
        <v>29</v>
      </c>
      <c r="J1590" s="7">
        <v>70721</v>
      </c>
      <c r="K1590" s="1">
        <v>413</v>
      </c>
      <c r="L1590" s="7">
        <v>17254</v>
      </c>
      <c r="M1590" s="1">
        <v>36</v>
      </c>
      <c r="N1590" s="6">
        <v>0.13400000000000001</v>
      </c>
      <c r="O1590" s="1" t="s">
        <v>46</v>
      </c>
      <c r="P1590" s="1" t="s">
        <v>50</v>
      </c>
      <c r="Q1590" s="1">
        <v>11</v>
      </c>
      <c r="R1590" s="1">
        <v>0</v>
      </c>
      <c r="S1590" s="1" t="s">
        <v>33</v>
      </c>
      <c r="T1590" s="1" t="s">
        <v>33</v>
      </c>
      <c r="U1590" s="1">
        <v>1</v>
      </c>
      <c r="V1590" s="1">
        <v>23625</v>
      </c>
      <c r="W1590" s="7">
        <v>695.92</v>
      </c>
      <c r="X1590" s="1">
        <v>0.69</v>
      </c>
      <c r="Y1590" s="4">
        <v>44166</v>
      </c>
      <c r="Z1590" s="1" t="s">
        <v>38</v>
      </c>
      <c r="AA1590" s="1" t="s">
        <v>33</v>
      </c>
      <c r="AB1590" s="36" t="str" cm="1">
        <f t="array" ref="AB1590">_xlfn.IFS(K1590&gt;650,"LOW",K1590&gt;=550,"MEDIUM",K1590&lt;550,"HIGH")</f>
        <v>HIGH</v>
      </c>
    </row>
    <row r="1591" spans="3:28" x14ac:dyDescent="0.3">
      <c r="C1591" s="35" t="s">
        <v>2116</v>
      </c>
      <c r="D1591" s="1" t="s">
        <v>147</v>
      </c>
      <c r="E1591" s="1">
        <v>37</v>
      </c>
      <c r="F1591" s="1" t="s">
        <v>26</v>
      </c>
      <c r="G1591" s="1" t="s">
        <v>27</v>
      </c>
      <c r="H1591" s="1" t="s">
        <v>28</v>
      </c>
      <c r="I1591" s="1" t="s">
        <v>29</v>
      </c>
      <c r="J1591" s="7">
        <v>34116</v>
      </c>
      <c r="K1591" s="1">
        <v>412</v>
      </c>
      <c r="L1591" s="7">
        <v>30090</v>
      </c>
      <c r="M1591" s="1">
        <v>60</v>
      </c>
      <c r="N1591" s="6">
        <v>6.7299999999999999E-2</v>
      </c>
      <c r="O1591" s="1" t="s">
        <v>46</v>
      </c>
      <c r="P1591" s="1" t="s">
        <v>50</v>
      </c>
      <c r="Q1591" s="1">
        <v>23</v>
      </c>
      <c r="R1591" s="1">
        <v>0</v>
      </c>
      <c r="S1591" s="1" t="s">
        <v>31</v>
      </c>
      <c r="T1591" s="1" t="s">
        <v>33</v>
      </c>
      <c r="U1591" s="1">
        <v>2</v>
      </c>
      <c r="V1591" s="1">
        <v>68542</v>
      </c>
      <c r="W1591" s="7">
        <v>1144.51</v>
      </c>
      <c r="X1591" s="1">
        <v>0.51</v>
      </c>
      <c r="Y1591" s="4">
        <v>45216</v>
      </c>
      <c r="Z1591" s="1" t="s">
        <v>38</v>
      </c>
      <c r="AA1591" s="1" t="s">
        <v>33</v>
      </c>
      <c r="AB1591" s="36" t="str" cm="1">
        <f t="array" ref="AB1591">_xlfn.IFS(K1591&gt;650,"LOW",K1591&gt;=550,"MEDIUM",K1591&lt;550,"HIGH")</f>
        <v>HIGH</v>
      </c>
    </row>
    <row r="1592" spans="3:28" x14ac:dyDescent="0.3">
      <c r="C1592" s="35" t="s">
        <v>3071</v>
      </c>
      <c r="D1592" s="1" t="s">
        <v>1097</v>
      </c>
      <c r="E1592" s="1">
        <v>60</v>
      </c>
      <c r="F1592" s="1" t="s">
        <v>44</v>
      </c>
      <c r="G1592" s="1" t="s">
        <v>45</v>
      </c>
      <c r="H1592" s="1" t="s">
        <v>36</v>
      </c>
      <c r="I1592" s="1" t="s">
        <v>40</v>
      </c>
      <c r="J1592" s="7">
        <v>24792</v>
      </c>
      <c r="K1592" s="1">
        <v>412</v>
      </c>
      <c r="L1592" s="7">
        <v>36136</v>
      </c>
      <c r="M1592" s="1">
        <v>12</v>
      </c>
      <c r="N1592" s="6">
        <v>9.7699999999999995E-2</v>
      </c>
      <c r="O1592" s="1" t="s">
        <v>37</v>
      </c>
      <c r="P1592" s="1" t="s">
        <v>30</v>
      </c>
      <c r="Q1592" s="1">
        <v>10</v>
      </c>
      <c r="R1592" s="1">
        <v>3</v>
      </c>
      <c r="S1592" s="1" t="s">
        <v>33</v>
      </c>
      <c r="T1592" s="1" t="s">
        <v>31</v>
      </c>
      <c r="U1592" s="1">
        <v>3</v>
      </c>
      <c r="V1592" s="1">
        <v>27618</v>
      </c>
      <c r="W1592" s="7">
        <v>1254.1300000000001</v>
      </c>
      <c r="X1592" s="1">
        <v>0.81</v>
      </c>
      <c r="Y1592" s="4">
        <v>44073</v>
      </c>
      <c r="Z1592" s="1" t="s">
        <v>32</v>
      </c>
      <c r="AA1592" s="1" t="s">
        <v>33</v>
      </c>
      <c r="AB1592" s="36" t="str" cm="1">
        <f t="array" ref="AB1592">_xlfn.IFS(K1592&gt;650,"LOW",K1592&gt;=550,"MEDIUM",K1592&lt;550,"HIGH")</f>
        <v>HIGH</v>
      </c>
    </row>
    <row r="1593" spans="3:28" x14ac:dyDescent="0.3">
      <c r="C1593" s="35" t="s">
        <v>3767</v>
      </c>
      <c r="D1593" s="1" t="s">
        <v>1774</v>
      </c>
      <c r="E1593" s="1">
        <v>22</v>
      </c>
      <c r="F1593" s="1" t="s">
        <v>26</v>
      </c>
      <c r="G1593" s="1" t="s">
        <v>45</v>
      </c>
      <c r="H1593" s="1" t="s">
        <v>61</v>
      </c>
      <c r="I1593" s="1" t="s">
        <v>59</v>
      </c>
      <c r="J1593" s="7">
        <v>26273</v>
      </c>
      <c r="K1593" s="1">
        <v>412</v>
      </c>
      <c r="L1593" s="7">
        <v>16861</v>
      </c>
      <c r="M1593" s="1">
        <v>48</v>
      </c>
      <c r="N1593" s="6">
        <v>0.1065</v>
      </c>
      <c r="O1593" s="1" t="s">
        <v>52</v>
      </c>
      <c r="P1593" s="1" t="s">
        <v>50</v>
      </c>
      <c r="Q1593" s="1">
        <v>27</v>
      </c>
      <c r="R1593" s="1">
        <v>2</v>
      </c>
      <c r="S1593" s="1" t="s">
        <v>31</v>
      </c>
      <c r="T1593" s="1" t="s">
        <v>31</v>
      </c>
      <c r="U1593" s="1">
        <v>2</v>
      </c>
      <c r="V1593" s="1">
        <v>172990</v>
      </c>
      <c r="W1593" s="7">
        <v>887.36</v>
      </c>
      <c r="X1593" s="1">
        <v>0.68</v>
      </c>
      <c r="Y1593" s="4">
        <v>44602</v>
      </c>
      <c r="Z1593" s="1" t="s">
        <v>32</v>
      </c>
      <c r="AA1593" s="1" t="s">
        <v>33</v>
      </c>
      <c r="AB1593" s="36" t="str" cm="1">
        <f t="array" ref="AB1593">_xlfn.IFS(K1593&gt;650,"LOW",K1593&gt;=550,"MEDIUM",K1593&lt;550,"HIGH")</f>
        <v>HIGH</v>
      </c>
    </row>
    <row r="1594" spans="3:28" x14ac:dyDescent="0.3">
      <c r="C1594" s="35" t="s">
        <v>2421</v>
      </c>
      <c r="D1594" s="1" t="s">
        <v>451</v>
      </c>
      <c r="E1594" s="1">
        <v>36</v>
      </c>
      <c r="F1594" s="1" t="s">
        <v>26</v>
      </c>
      <c r="G1594" s="1" t="s">
        <v>27</v>
      </c>
      <c r="H1594" s="1" t="s">
        <v>61</v>
      </c>
      <c r="I1594" s="1" t="s">
        <v>29</v>
      </c>
      <c r="J1594" s="7">
        <v>91147</v>
      </c>
      <c r="K1594" s="1">
        <v>411</v>
      </c>
      <c r="L1594" s="7">
        <v>3093</v>
      </c>
      <c r="M1594" s="1">
        <v>48</v>
      </c>
      <c r="N1594" s="6">
        <v>6.4199999999999993E-2</v>
      </c>
      <c r="O1594" s="1" t="s">
        <v>41</v>
      </c>
      <c r="P1594" s="1" t="s">
        <v>30</v>
      </c>
      <c r="Q1594" s="1">
        <v>16</v>
      </c>
      <c r="R1594" s="1">
        <v>4</v>
      </c>
      <c r="S1594" s="1" t="s">
        <v>33</v>
      </c>
      <c r="T1594" s="1" t="s">
        <v>31</v>
      </c>
      <c r="U1594" s="1">
        <v>4</v>
      </c>
      <c r="V1594" s="1">
        <v>79220</v>
      </c>
      <c r="W1594" s="7">
        <v>543.14</v>
      </c>
      <c r="X1594" s="1">
        <v>0.19</v>
      </c>
      <c r="Y1594" s="4">
        <v>44187</v>
      </c>
      <c r="Z1594" s="1" t="s">
        <v>32</v>
      </c>
      <c r="AA1594" s="1" t="s">
        <v>33</v>
      </c>
      <c r="AB1594" s="36" t="str" cm="1">
        <f t="array" ref="AB1594">_xlfn.IFS(K1594&gt;650,"LOW",K1594&gt;=550,"MEDIUM",K1594&lt;550,"HIGH")</f>
        <v>HIGH</v>
      </c>
    </row>
    <row r="1595" spans="3:28" x14ac:dyDescent="0.3">
      <c r="C1595" s="35" t="s">
        <v>2918</v>
      </c>
      <c r="D1595" s="1" t="s">
        <v>946</v>
      </c>
      <c r="E1595" s="1">
        <v>35</v>
      </c>
      <c r="F1595" s="1" t="s">
        <v>44</v>
      </c>
      <c r="G1595" s="1" t="s">
        <v>35</v>
      </c>
      <c r="H1595" s="1" t="s">
        <v>36</v>
      </c>
      <c r="I1595" s="1" t="s">
        <v>29</v>
      </c>
      <c r="J1595" s="7">
        <v>70468</v>
      </c>
      <c r="K1595" s="1">
        <v>411</v>
      </c>
      <c r="L1595" s="7">
        <v>28962</v>
      </c>
      <c r="M1595" s="1">
        <v>24</v>
      </c>
      <c r="N1595" s="6">
        <v>0.1593</v>
      </c>
      <c r="O1595" s="1" t="s">
        <v>46</v>
      </c>
      <c r="P1595" s="1" t="s">
        <v>50</v>
      </c>
      <c r="Q1595" s="1">
        <v>25</v>
      </c>
      <c r="R1595" s="1">
        <v>4</v>
      </c>
      <c r="S1595" s="1" t="s">
        <v>31</v>
      </c>
      <c r="T1595" s="1" t="s">
        <v>31</v>
      </c>
      <c r="U1595" s="1">
        <v>3</v>
      </c>
      <c r="V1595" s="1">
        <v>175325</v>
      </c>
      <c r="W1595" s="7">
        <v>1845.42</v>
      </c>
      <c r="X1595" s="1">
        <v>0.93</v>
      </c>
      <c r="Y1595" s="4">
        <v>44918</v>
      </c>
      <c r="Z1595" s="1" t="s">
        <v>32</v>
      </c>
      <c r="AA1595" s="1" t="s">
        <v>33</v>
      </c>
      <c r="AB1595" s="36" t="str" cm="1">
        <f t="array" ref="AB1595">_xlfn.IFS(K1595&gt;650,"LOW",K1595&gt;=550,"MEDIUM",K1595&lt;550,"HIGH")</f>
        <v>HIGH</v>
      </c>
    </row>
    <row r="1596" spans="3:28" x14ac:dyDescent="0.3">
      <c r="C1596" s="35" t="s">
        <v>3053</v>
      </c>
      <c r="D1596" s="1" t="s">
        <v>1080</v>
      </c>
      <c r="E1596" s="1">
        <v>49</v>
      </c>
      <c r="F1596" s="1" t="s">
        <v>26</v>
      </c>
      <c r="G1596" s="1" t="s">
        <v>27</v>
      </c>
      <c r="H1596" s="1" t="s">
        <v>36</v>
      </c>
      <c r="I1596" s="1" t="s">
        <v>57</v>
      </c>
      <c r="J1596" s="7">
        <v>134176</v>
      </c>
      <c r="K1596" s="1">
        <v>411</v>
      </c>
      <c r="L1596" s="7">
        <v>48003</v>
      </c>
      <c r="M1596" s="1">
        <v>48</v>
      </c>
      <c r="N1596" s="6">
        <v>0.17800000000000002</v>
      </c>
      <c r="O1596" s="1" t="s">
        <v>37</v>
      </c>
      <c r="P1596" s="1" t="s">
        <v>30</v>
      </c>
      <c r="Q1596" s="1">
        <v>20</v>
      </c>
      <c r="R1596" s="1">
        <v>2</v>
      </c>
      <c r="S1596" s="1" t="s">
        <v>33</v>
      </c>
      <c r="T1596" s="1" t="s">
        <v>33</v>
      </c>
      <c r="U1596" s="1">
        <v>2</v>
      </c>
      <c r="V1596" s="1">
        <v>165045</v>
      </c>
      <c r="W1596" s="7">
        <v>1878.92</v>
      </c>
      <c r="X1596" s="1">
        <v>0.45</v>
      </c>
      <c r="Y1596" s="4">
        <v>45472</v>
      </c>
      <c r="Z1596" s="1" t="s">
        <v>38</v>
      </c>
      <c r="AA1596" s="1" t="s">
        <v>33</v>
      </c>
      <c r="AB1596" s="36" t="str" cm="1">
        <f t="array" ref="AB1596">_xlfn.IFS(K1596&gt;650,"LOW",K1596&gt;=550,"MEDIUM",K1596&lt;550,"HIGH")</f>
        <v>HIGH</v>
      </c>
    </row>
    <row r="1597" spans="3:28" x14ac:dyDescent="0.3">
      <c r="C1597" s="35" t="s">
        <v>3736</v>
      </c>
      <c r="D1597" s="1" t="s">
        <v>1744</v>
      </c>
      <c r="E1597" s="1">
        <v>58</v>
      </c>
      <c r="F1597" s="1" t="s">
        <v>44</v>
      </c>
      <c r="G1597" s="1" t="s">
        <v>56</v>
      </c>
      <c r="H1597" s="1" t="s">
        <v>61</v>
      </c>
      <c r="I1597" s="1" t="s">
        <v>40</v>
      </c>
      <c r="J1597" s="7">
        <v>127338</v>
      </c>
      <c r="K1597" s="1">
        <v>411</v>
      </c>
      <c r="L1597" s="7">
        <v>47553</v>
      </c>
      <c r="M1597" s="1">
        <v>48</v>
      </c>
      <c r="N1597" s="6">
        <v>0.10279999999999999</v>
      </c>
      <c r="O1597" s="1" t="s">
        <v>63</v>
      </c>
      <c r="P1597" s="1" t="s">
        <v>30</v>
      </c>
      <c r="Q1597" s="1">
        <v>22</v>
      </c>
      <c r="R1597" s="1">
        <v>4</v>
      </c>
      <c r="S1597" s="1" t="s">
        <v>33</v>
      </c>
      <c r="T1597" s="1" t="s">
        <v>31</v>
      </c>
      <c r="U1597" s="1">
        <v>4</v>
      </c>
      <c r="V1597" s="1">
        <v>182822</v>
      </c>
      <c r="W1597" s="7">
        <v>255.62</v>
      </c>
      <c r="X1597" s="1">
        <v>0.96</v>
      </c>
      <c r="Y1597" s="4">
        <v>44953</v>
      </c>
      <c r="Z1597" s="1" t="s">
        <v>38</v>
      </c>
      <c r="AA1597" s="1" t="s">
        <v>33</v>
      </c>
      <c r="AB1597" s="36" t="str" cm="1">
        <f t="array" ref="AB1597">_xlfn.IFS(K1597&gt;650,"LOW",K1597&gt;=550,"MEDIUM",K1597&lt;550,"HIGH")</f>
        <v>HIGH</v>
      </c>
    </row>
    <row r="1598" spans="3:28" x14ac:dyDescent="0.3">
      <c r="C1598" s="35" t="s">
        <v>3842</v>
      </c>
      <c r="D1598" s="1" t="s">
        <v>1848</v>
      </c>
      <c r="E1598" s="1">
        <v>40</v>
      </c>
      <c r="F1598" s="1" t="s">
        <v>26</v>
      </c>
      <c r="G1598" s="1" t="s">
        <v>45</v>
      </c>
      <c r="H1598" s="1" t="s">
        <v>36</v>
      </c>
      <c r="I1598" s="1" t="s">
        <v>29</v>
      </c>
      <c r="J1598" s="7">
        <v>74847</v>
      </c>
      <c r="K1598" s="1">
        <v>411</v>
      </c>
      <c r="L1598" s="7">
        <v>2740</v>
      </c>
      <c r="M1598" s="1">
        <v>24</v>
      </c>
      <c r="N1598" s="6">
        <v>0.1313</v>
      </c>
      <c r="O1598" s="1" t="s">
        <v>5</v>
      </c>
      <c r="P1598" s="1" t="s">
        <v>30</v>
      </c>
      <c r="Q1598" s="1">
        <v>5</v>
      </c>
      <c r="R1598" s="1">
        <v>4</v>
      </c>
      <c r="S1598" s="1" t="s">
        <v>33</v>
      </c>
      <c r="T1598" s="1" t="s">
        <v>33</v>
      </c>
      <c r="U1598" s="1">
        <v>1</v>
      </c>
      <c r="V1598" s="1">
        <v>11998</v>
      </c>
      <c r="W1598" s="7">
        <v>1986.63</v>
      </c>
      <c r="X1598" s="1">
        <v>0.17</v>
      </c>
      <c r="Y1598" s="4">
        <v>44190</v>
      </c>
      <c r="Z1598" s="1" t="s">
        <v>38</v>
      </c>
      <c r="AA1598" s="1" t="s">
        <v>33</v>
      </c>
      <c r="AB1598" s="36" t="str" cm="1">
        <f t="array" ref="AB1598">_xlfn.IFS(K1598&gt;650,"LOW",K1598&gt;=550,"MEDIUM",K1598&lt;550,"HIGH")</f>
        <v>HIGH</v>
      </c>
    </row>
    <row r="1599" spans="3:28" x14ac:dyDescent="0.3">
      <c r="C1599" s="35" t="s">
        <v>4019</v>
      </c>
      <c r="D1599" s="1" t="s">
        <v>2019</v>
      </c>
      <c r="E1599" s="1">
        <v>43</v>
      </c>
      <c r="F1599" s="1" t="s">
        <v>26</v>
      </c>
      <c r="G1599" s="1" t="s">
        <v>45</v>
      </c>
      <c r="H1599" s="1" t="s">
        <v>28</v>
      </c>
      <c r="I1599" s="1" t="s">
        <v>59</v>
      </c>
      <c r="J1599" s="7">
        <v>29964</v>
      </c>
      <c r="K1599" s="1">
        <v>411</v>
      </c>
      <c r="L1599" s="7">
        <v>22730</v>
      </c>
      <c r="M1599" s="1">
        <v>36</v>
      </c>
      <c r="N1599" s="6">
        <v>6.1900000000000004E-2</v>
      </c>
      <c r="O1599" s="1" t="s">
        <v>52</v>
      </c>
      <c r="P1599" s="1" t="s">
        <v>30</v>
      </c>
      <c r="Q1599" s="1">
        <v>18</v>
      </c>
      <c r="R1599" s="1">
        <v>4</v>
      </c>
      <c r="S1599" s="1" t="s">
        <v>33</v>
      </c>
      <c r="T1599" s="1" t="s">
        <v>31</v>
      </c>
      <c r="U1599" s="1">
        <v>4</v>
      </c>
      <c r="V1599" s="1">
        <v>11637</v>
      </c>
      <c r="W1599" s="7">
        <v>687.5</v>
      </c>
      <c r="X1599" s="1">
        <v>0.35</v>
      </c>
      <c r="Y1599" s="4">
        <v>44450</v>
      </c>
      <c r="Z1599" s="1" t="s">
        <v>38</v>
      </c>
      <c r="AA1599" s="1" t="s">
        <v>33</v>
      </c>
      <c r="AB1599" s="36" t="str" cm="1">
        <f t="array" ref="AB1599">_xlfn.IFS(K1599&gt;650,"LOW",K1599&gt;=550,"MEDIUM",K1599&lt;550,"HIGH")</f>
        <v>HIGH</v>
      </c>
    </row>
    <row r="1600" spans="3:28" x14ac:dyDescent="0.3">
      <c r="C1600" s="35" t="s">
        <v>2562</v>
      </c>
      <c r="D1600" s="1" t="s">
        <v>592</v>
      </c>
      <c r="E1600" s="1">
        <v>48</v>
      </c>
      <c r="F1600" s="1" t="s">
        <v>26</v>
      </c>
      <c r="G1600" s="1" t="s">
        <v>56</v>
      </c>
      <c r="H1600" s="1" t="s">
        <v>54</v>
      </c>
      <c r="I1600" s="1" t="s">
        <v>40</v>
      </c>
      <c r="J1600" s="7">
        <v>37138</v>
      </c>
      <c r="K1600" s="1">
        <v>410</v>
      </c>
      <c r="L1600" s="7">
        <v>26557</v>
      </c>
      <c r="M1600" s="1">
        <v>36</v>
      </c>
      <c r="N1600" s="6">
        <v>0.1176</v>
      </c>
      <c r="O1600" s="1" t="s">
        <v>37</v>
      </c>
      <c r="P1600" s="1" t="s">
        <v>47</v>
      </c>
      <c r="Q1600" s="1">
        <v>13</v>
      </c>
      <c r="R1600" s="1">
        <v>0</v>
      </c>
      <c r="S1600" s="1" t="s">
        <v>33</v>
      </c>
      <c r="T1600" s="1" t="s">
        <v>31</v>
      </c>
      <c r="U1600" s="1">
        <v>0</v>
      </c>
      <c r="V1600" s="1">
        <v>174292</v>
      </c>
      <c r="W1600" s="7">
        <v>1932.58</v>
      </c>
      <c r="X1600" s="1">
        <v>0.48</v>
      </c>
      <c r="Y1600" s="4">
        <v>44268</v>
      </c>
      <c r="Z1600" s="1" t="s">
        <v>32</v>
      </c>
      <c r="AA1600" s="1" t="s">
        <v>33</v>
      </c>
      <c r="AB1600" s="36" t="str" cm="1">
        <f t="array" ref="AB1600">_xlfn.IFS(K1600&gt;650,"LOW",K1600&gt;=550,"MEDIUM",K1600&lt;550,"HIGH")</f>
        <v>HIGH</v>
      </c>
    </row>
    <row r="1601" spans="3:28" x14ac:dyDescent="0.3">
      <c r="C1601" s="35" t="s">
        <v>2764</v>
      </c>
      <c r="D1601" s="1" t="s">
        <v>793</v>
      </c>
      <c r="E1601" s="1">
        <v>54</v>
      </c>
      <c r="F1601" s="1" t="s">
        <v>44</v>
      </c>
      <c r="G1601" s="1" t="s">
        <v>45</v>
      </c>
      <c r="H1601" s="1" t="s">
        <v>61</v>
      </c>
      <c r="I1601" s="1" t="s">
        <v>29</v>
      </c>
      <c r="J1601" s="7">
        <v>41252</v>
      </c>
      <c r="K1601" s="1">
        <v>410</v>
      </c>
      <c r="L1601" s="7">
        <v>22182</v>
      </c>
      <c r="M1601" s="1">
        <v>36</v>
      </c>
      <c r="N1601" s="6">
        <v>0.1368</v>
      </c>
      <c r="O1601" s="1" t="s">
        <v>52</v>
      </c>
      <c r="P1601" s="1" t="s">
        <v>50</v>
      </c>
      <c r="Q1601" s="1">
        <v>21</v>
      </c>
      <c r="R1601" s="1">
        <v>0</v>
      </c>
      <c r="S1601" s="1" t="s">
        <v>33</v>
      </c>
      <c r="T1601" s="1" t="s">
        <v>31</v>
      </c>
      <c r="U1601" s="1">
        <v>4</v>
      </c>
      <c r="V1601" s="1">
        <v>199014</v>
      </c>
      <c r="W1601" s="7">
        <v>1593.05</v>
      </c>
      <c r="X1601" s="1">
        <v>0.44</v>
      </c>
      <c r="Y1601" s="4">
        <v>44083</v>
      </c>
      <c r="Z1601" s="1" t="s">
        <v>32</v>
      </c>
      <c r="AA1601" s="1" t="s">
        <v>33</v>
      </c>
      <c r="AB1601" s="36" t="str" cm="1">
        <f t="array" ref="AB1601">_xlfn.IFS(K1601&gt;650,"LOW",K1601&gt;=550,"MEDIUM",K1601&lt;550,"HIGH")</f>
        <v>HIGH</v>
      </c>
    </row>
    <row r="1602" spans="3:28" x14ac:dyDescent="0.3">
      <c r="C1602" s="35" t="s">
        <v>2245</v>
      </c>
      <c r="D1602" s="1" t="s">
        <v>276</v>
      </c>
      <c r="E1602" s="1">
        <v>49</v>
      </c>
      <c r="F1602" s="1" t="s">
        <v>44</v>
      </c>
      <c r="G1602" s="1" t="s">
        <v>56</v>
      </c>
      <c r="H1602" s="1" t="s">
        <v>28</v>
      </c>
      <c r="I1602" s="1" t="s">
        <v>29</v>
      </c>
      <c r="J1602" s="7">
        <v>39950</v>
      </c>
      <c r="K1602" s="1">
        <v>409</v>
      </c>
      <c r="L1602" s="7">
        <v>11220</v>
      </c>
      <c r="M1602" s="1">
        <v>48</v>
      </c>
      <c r="N1602" s="6">
        <v>6.3200000000000006E-2</v>
      </c>
      <c r="O1602" s="1" t="s">
        <v>41</v>
      </c>
      <c r="P1602" s="1" t="s">
        <v>30</v>
      </c>
      <c r="Q1602" s="1">
        <v>7</v>
      </c>
      <c r="R1602" s="1">
        <v>1</v>
      </c>
      <c r="S1602" s="1" t="s">
        <v>31</v>
      </c>
      <c r="T1602" s="1" t="s">
        <v>31</v>
      </c>
      <c r="U1602" s="1">
        <v>1</v>
      </c>
      <c r="V1602" s="1">
        <v>122092</v>
      </c>
      <c r="W1602" s="7">
        <v>802.74</v>
      </c>
      <c r="X1602" s="1">
        <v>0.16</v>
      </c>
      <c r="Y1602" s="4">
        <v>45468</v>
      </c>
      <c r="Z1602" s="1" t="s">
        <v>32</v>
      </c>
      <c r="AA1602" s="1" t="s">
        <v>33</v>
      </c>
      <c r="AB1602" s="36" t="str" cm="1">
        <f t="array" ref="AB1602">_xlfn.IFS(K1602&gt;650,"LOW",K1602&gt;=550,"MEDIUM",K1602&lt;550,"HIGH")</f>
        <v>HIGH</v>
      </c>
    </row>
    <row r="1603" spans="3:28" x14ac:dyDescent="0.3">
      <c r="C1603" s="35" t="s">
        <v>2330</v>
      </c>
      <c r="D1603" s="1" t="s">
        <v>361</v>
      </c>
      <c r="E1603" s="1">
        <v>50</v>
      </c>
      <c r="F1603" s="1" t="s">
        <v>44</v>
      </c>
      <c r="G1603" s="1" t="s">
        <v>27</v>
      </c>
      <c r="H1603" s="1" t="s">
        <v>36</v>
      </c>
      <c r="I1603" s="1" t="s">
        <v>59</v>
      </c>
      <c r="J1603" s="7">
        <v>69990</v>
      </c>
      <c r="K1603" s="1">
        <v>409</v>
      </c>
      <c r="L1603" s="7">
        <v>25469</v>
      </c>
      <c r="M1603" s="1">
        <v>48</v>
      </c>
      <c r="N1603" s="6">
        <v>0.18280000000000002</v>
      </c>
      <c r="O1603" s="1" t="s">
        <v>41</v>
      </c>
      <c r="P1603" s="1" t="s">
        <v>47</v>
      </c>
      <c r="Q1603" s="1">
        <v>15</v>
      </c>
      <c r="R1603" s="1">
        <v>1</v>
      </c>
      <c r="S1603" s="1" t="s">
        <v>33</v>
      </c>
      <c r="T1603" s="1" t="s">
        <v>31</v>
      </c>
      <c r="U1603" s="1">
        <v>1</v>
      </c>
      <c r="V1603" s="1">
        <v>4720</v>
      </c>
      <c r="W1603" s="7">
        <v>396.47</v>
      </c>
      <c r="X1603" s="1">
        <v>0.52</v>
      </c>
      <c r="Y1603" s="4">
        <v>44626</v>
      </c>
      <c r="Z1603" s="1" t="s">
        <v>32</v>
      </c>
      <c r="AA1603" s="1" t="s">
        <v>33</v>
      </c>
      <c r="AB1603" s="36" t="str" cm="1">
        <f t="array" ref="AB1603">_xlfn.IFS(K1603&gt;650,"LOW",K1603&gt;=550,"MEDIUM",K1603&lt;550,"HIGH")</f>
        <v>HIGH</v>
      </c>
    </row>
    <row r="1604" spans="3:28" x14ac:dyDescent="0.3">
      <c r="C1604" s="35" t="s">
        <v>2468</v>
      </c>
      <c r="D1604" s="1" t="s">
        <v>498</v>
      </c>
      <c r="E1604" s="1">
        <v>57</v>
      </c>
      <c r="F1604" s="1" t="s">
        <v>44</v>
      </c>
      <c r="G1604" s="1" t="s">
        <v>27</v>
      </c>
      <c r="H1604" s="1" t="s">
        <v>28</v>
      </c>
      <c r="I1604" s="1" t="s">
        <v>57</v>
      </c>
      <c r="J1604" s="7">
        <v>105707</v>
      </c>
      <c r="K1604" s="1">
        <v>409</v>
      </c>
      <c r="L1604" s="7">
        <v>37587</v>
      </c>
      <c r="M1604" s="1">
        <v>12</v>
      </c>
      <c r="N1604" s="6">
        <v>0.1193</v>
      </c>
      <c r="O1604" s="1" t="s">
        <v>52</v>
      </c>
      <c r="P1604" s="1" t="s">
        <v>47</v>
      </c>
      <c r="Q1604" s="1">
        <v>2</v>
      </c>
      <c r="R1604" s="1">
        <v>0</v>
      </c>
      <c r="S1604" s="1" t="s">
        <v>31</v>
      </c>
      <c r="T1604" s="1" t="s">
        <v>31</v>
      </c>
      <c r="U1604" s="1">
        <v>0</v>
      </c>
      <c r="V1604" s="1">
        <v>68923</v>
      </c>
      <c r="W1604" s="7">
        <v>320.91000000000003</v>
      </c>
      <c r="X1604" s="1">
        <v>0.19</v>
      </c>
      <c r="Y1604" s="4">
        <v>45672</v>
      </c>
      <c r="Z1604" s="1" t="s">
        <v>38</v>
      </c>
      <c r="AA1604" s="1" t="s">
        <v>33</v>
      </c>
      <c r="AB1604" s="36" t="str" cm="1">
        <f t="array" ref="AB1604">_xlfn.IFS(K1604&gt;650,"LOW",K1604&gt;=550,"MEDIUM",K1604&lt;550,"HIGH")</f>
        <v>HIGH</v>
      </c>
    </row>
    <row r="1605" spans="3:28" x14ac:dyDescent="0.3">
      <c r="C1605" s="35" t="s">
        <v>3141</v>
      </c>
      <c r="D1605" s="1" t="s">
        <v>1166</v>
      </c>
      <c r="E1605" s="1">
        <v>63</v>
      </c>
      <c r="F1605" s="1" t="s">
        <v>26</v>
      </c>
      <c r="G1605" s="1" t="s">
        <v>45</v>
      </c>
      <c r="H1605" s="1" t="s">
        <v>36</v>
      </c>
      <c r="I1605" s="1" t="s">
        <v>57</v>
      </c>
      <c r="J1605" s="7">
        <v>133396</v>
      </c>
      <c r="K1605" s="1">
        <v>409</v>
      </c>
      <c r="L1605" s="7">
        <v>8207</v>
      </c>
      <c r="M1605" s="1">
        <v>12</v>
      </c>
      <c r="N1605" s="6">
        <v>0.19059999999999999</v>
      </c>
      <c r="O1605" s="1" t="s">
        <v>63</v>
      </c>
      <c r="P1605" s="1" t="s">
        <v>30</v>
      </c>
      <c r="Q1605" s="1">
        <v>22</v>
      </c>
      <c r="R1605" s="1">
        <v>1</v>
      </c>
      <c r="S1605" s="1" t="s">
        <v>33</v>
      </c>
      <c r="T1605" s="1" t="s">
        <v>31</v>
      </c>
      <c r="U1605" s="1">
        <v>4</v>
      </c>
      <c r="V1605" s="1">
        <v>185115</v>
      </c>
      <c r="W1605" s="7">
        <v>440.46</v>
      </c>
      <c r="X1605" s="1">
        <v>0.73</v>
      </c>
      <c r="Y1605" s="4">
        <v>44448</v>
      </c>
      <c r="Z1605" s="1" t="s">
        <v>38</v>
      </c>
      <c r="AA1605" s="1" t="s">
        <v>33</v>
      </c>
      <c r="AB1605" s="36" t="str" cm="1">
        <f t="array" ref="AB1605">_xlfn.IFS(K1605&gt;650,"LOW",K1605&gt;=550,"MEDIUM",K1605&lt;550,"HIGH")</f>
        <v>HIGH</v>
      </c>
    </row>
    <row r="1606" spans="3:28" x14ac:dyDescent="0.3">
      <c r="C1606" s="35" t="s">
        <v>3474</v>
      </c>
      <c r="D1606" s="1" t="s">
        <v>1492</v>
      </c>
      <c r="E1606" s="1">
        <v>59</v>
      </c>
      <c r="F1606" s="1" t="s">
        <v>26</v>
      </c>
      <c r="G1606" s="1" t="s">
        <v>56</v>
      </c>
      <c r="H1606" s="1" t="s">
        <v>61</v>
      </c>
      <c r="I1606" s="1" t="s">
        <v>57</v>
      </c>
      <c r="J1606" s="7">
        <v>53760</v>
      </c>
      <c r="K1606" s="1">
        <v>409</v>
      </c>
      <c r="L1606" s="7">
        <v>49115</v>
      </c>
      <c r="M1606" s="1">
        <v>60</v>
      </c>
      <c r="N1606" s="6">
        <v>0.19399999999999998</v>
      </c>
      <c r="O1606" s="1" t="s">
        <v>5</v>
      </c>
      <c r="P1606" s="1" t="s">
        <v>47</v>
      </c>
      <c r="Q1606" s="1">
        <v>25</v>
      </c>
      <c r="R1606" s="1">
        <v>4</v>
      </c>
      <c r="S1606" s="1" t="s">
        <v>33</v>
      </c>
      <c r="T1606" s="1" t="s">
        <v>33</v>
      </c>
      <c r="U1606" s="1">
        <v>0</v>
      </c>
      <c r="V1606" s="1">
        <v>97915</v>
      </c>
      <c r="W1606" s="7">
        <v>621.41999999999996</v>
      </c>
      <c r="X1606" s="1">
        <v>0.35</v>
      </c>
      <c r="Y1606" s="4">
        <v>44149</v>
      </c>
      <c r="Z1606" s="1" t="s">
        <v>32</v>
      </c>
      <c r="AA1606" s="1" t="s">
        <v>33</v>
      </c>
      <c r="AB1606" s="36" t="str" cm="1">
        <f t="array" ref="AB1606">_xlfn.IFS(K1606&gt;650,"LOW",K1606&gt;=550,"MEDIUM",K1606&lt;550,"HIGH")</f>
        <v>HIGH</v>
      </c>
    </row>
    <row r="1607" spans="3:28" x14ac:dyDescent="0.3">
      <c r="C1607" s="35" t="s">
        <v>2697</v>
      </c>
      <c r="D1607" s="1" t="s">
        <v>727</v>
      </c>
      <c r="E1607" s="1">
        <v>53</v>
      </c>
      <c r="F1607" s="1" t="s">
        <v>44</v>
      </c>
      <c r="G1607" s="1" t="s">
        <v>27</v>
      </c>
      <c r="H1607" s="1" t="s">
        <v>61</v>
      </c>
      <c r="I1607" s="1" t="s">
        <v>29</v>
      </c>
      <c r="J1607" s="7">
        <v>103565</v>
      </c>
      <c r="K1607" s="1">
        <v>408</v>
      </c>
      <c r="L1607" s="7">
        <v>38924</v>
      </c>
      <c r="M1607" s="1">
        <v>48</v>
      </c>
      <c r="N1607" s="6">
        <v>8.1900000000000001E-2</v>
      </c>
      <c r="O1607" s="1" t="s">
        <v>5</v>
      </c>
      <c r="P1607" s="1" t="s">
        <v>30</v>
      </c>
      <c r="Q1607" s="1">
        <v>11</v>
      </c>
      <c r="R1607" s="1">
        <v>3</v>
      </c>
      <c r="S1607" s="1" t="s">
        <v>33</v>
      </c>
      <c r="T1607" s="1" t="s">
        <v>33</v>
      </c>
      <c r="U1607" s="1">
        <v>4</v>
      </c>
      <c r="V1607" s="1">
        <v>131156</v>
      </c>
      <c r="W1607" s="7">
        <v>601.33000000000004</v>
      </c>
      <c r="X1607" s="1">
        <v>0.46</v>
      </c>
      <c r="Y1607" s="4">
        <v>45296</v>
      </c>
      <c r="Z1607" s="1" t="s">
        <v>32</v>
      </c>
      <c r="AA1607" s="1" t="s">
        <v>33</v>
      </c>
      <c r="AB1607" s="36" t="str" cm="1">
        <f t="array" ref="AB1607">_xlfn.IFS(K1607&gt;650,"LOW",K1607&gt;=550,"MEDIUM",K1607&lt;550,"HIGH")</f>
        <v>HIGH</v>
      </c>
    </row>
    <row r="1608" spans="3:28" x14ac:dyDescent="0.3">
      <c r="C1608" s="35" t="s">
        <v>2790</v>
      </c>
      <c r="D1608" s="1" t="s">
        <v>818</v>
      </c>
      <c r="E1608" s="1">
        <v>33</v>
      </c>
      <c r="F1608" s="1" t="s">
        <v>26</v>
      </c>
      <c r="G1608" s="1" t="s">
        <v>56</v>
      </c>
      <c r="H1608" s="1" t="s">
        <v>36</v>
      </c>
      <c r="I1608" s="1" t="s">
        <v>59</v>
      </c>
      <c r="J1608" s="7">
        <v>94094</v>
      </c>
      <c r="K1608" s="1">
        <v>408</v>
      </c>
      <c r="L1608" s="7">
        <v>29287</v>
      </c>
      <c r="M1608" s="1">
        <v>48</v>
      </c>
      <c r="N1608" s="6">
        <v>0.17050000000000001</v>
      </c>
      <c r="O1608" s="1" t="s">
        <v>5</v>
      </c>
      <c r="P1608" s="1" t="s">
        <v>50</v>
      </c>
      <c r="Q1608" s="1">
        <v>13</v>
      </c>
      <c r="R1608" s="1">
        <v>3</v>
      </c>
      <c r="S1608" s="1" t="s">
        <v>33</v>
      </c>
      <c r="T1608" s="1" t="s">
        <v>33</v>
      </c>
      <c r="U1608" s="1">
        <v>2</v>
      </c>
      <c r="V1608" s="1">
        <v>181775</v>
      </c>
      <c r="W1608" s="7">
        <v>1625.02</v>
      </c>
      <c r="X1608" s="1">
        <v>0.14000000000000001</v>
      </c>
      <c r="Y1608" s="4">
        <v>44199</v>
      </c>
      <c r="Z1608" s="1" t="s">
        <v>38</v>
      </c>
      <c r="AA1608" s="1" t="s">
        <v>31</v>
      </c>
      <c r="AB1608" s="36" t="str" cm="1">
        <f t="array" ref="AB1608">_xlfn.IFS(K1608&gt;650,"LOW",K1608&gt;=550,"MEDIUM",K1608&lt;550,"HIGH")</f>
        <v>HIGH</v>
      </c>
    </row>
    <row r="1609" spans="3:28" x14ac:dyDescent="0.3">
      <c r="C1609" s="35" t="s">
        <v>3968</v>
      </c>
      <c r="D1609" s="1" t="s">
        <v>1969</v>
      </c>
      <c r="E1609" s="1">
        <v>25</v>
      </c>
      <c r="F1609" s="1" t="s">
        <v>26</v>
      </c>
      <c r="G1609" s="1" t="s">
        <v>45</v>
      </c>
      <c r="H1609" s="1" t="s">
        <v>61</v>
      </c>
      <c r="I1609" s="1" t="s">
        <v>40</v>
      </c>
      <c r="J1609" s="7">
        <v>122911</v>
      </c>
      <c r="K1609" s="1">
        <v>407</v>
      </c>
      <c r="L1609" s="7">
        <v>34097</v>
      </c>
      <c r="M1609" s="1">
        <v>36</v>
      </c>
      <c r="N1609" s="6">
        <v>0.14779999999999999</v>
      </c>
      <c r="O1609" s="1" t="s">
        <v>41</v>
      </c>
      <c r="P1609" s="1" t="s">
        <v>30</v>
      </c>
      <c r="Q1609" s="1">
        <v>22</v>
      </c>
      <c r="R1609" s="1">
        <v>1</v>
      </c>
      <c r="S1609" s="1" t="s">
        <v>33</v>
      </c>
      <c r="T1609" s="1" t="s">
        <v>33</v>
      </c>
      <c r="U1609" s="1">
        <v>1</v>
      </c>
      <c r="V1609" s="1">
        <v>133631</v>
      </c>
      <c r="W1609" s="7">
        <v>133.22</v>
      </c>
      <c r="X1609" s="1">
        <v>0.98</v>
      </c>
      <c r="Y1609" s="4">
        <v>45687</v>
      </c>
      <c r="Z1609" s="1" t="s">
        <v>38</v>
      </c>
      <c r="AA1609" s="1" t="s">
        <v>33</v>
      </c>
      <c r="AB1609" s="36" t="str" cm="1">
        <f t="array" ref="AB1609">_xlfn.IFS(K1609&gt;650,"LOW",K1609&gt;=550,"MEDIUM",K1609&lt;550,"HIGH")</f>
        <v>HIGH</v>
      </c>
    </row>
    <row r="1610" spans="3:28" x14ac:dyDescent="0.3">
      <c r="C1610" s="35" t="s">
        <v>2731</v>
      </c>
      <c r="D1610" s="1" t="s">
        <v>761</v>
      </c>
      <c r="E1610" s="1">
        <v>29</v>
      </c>
      <c r="F1610" s="1" t="s">
        <v>44</v>
      </c>
      <c r="G1610" s="1" t="s">
        <v>56</v>
      </c>
      <c r="H1610" s="1" t="s">
        <v>61</v>
      </c>
      <c r="I1610" s="1" t="s">
        <v>59</v>
      </c>
      <c r="J1610" s="7">
        <v>95235</v>
      </c>
      <c r="K1610" s="1">
        <v>406</v>
      </c>
      <c r="L1610" s="7">
        <v>13974</v>
      </c>
      <c r="M1610" s="1">
        <v>24</v>
      </c>
      <c r="N1610" s="6">
        <v>0.17929999999999999</v>
      </c>
      <c r="O1610" s="1" t="s">
        <v>46</v>
      </c>
      <c r="P1610" s="1" t="s">
        <v>30</v>
      </c>
      <c r="Q1610" s="1">
        <v>6</v>
      </c>
      <c r="R1610" s="1">
        <v>3</v>
      </c>
      <c r="S1610" s="1" t="s">
        <v>31</v>
      </c>
      <c r="T1610" s="1" t="s">
        <v>33</v>
      </c>
      <c r="U1610" s="1">
        <v>3</v>
      </c>
      <c r="V1610" s="1">
        <v>58688</v>
      </c>
      <c r="W1610" s="7">
        <v>818.13</v>
      </c>
      <c r="X1610" s="1">
        <v>0.66</v>
      </c>
      <c r="Y1610" s="4">
        <v>45210</v>
      </c>
      <c r="Z1610" s="1" t="s">
        <v>32</v>
      </c>
      <c r="AA1610" s="1" t="s">
        <v>31</v>
      </c>
      <c r="AB1610" s="36" t="str" cm="1">
        <f t="array" ref="AB1610">_xlfn.IFS(K1610&gt;650,"LOW",K1610&gt;=550,"MEDIUM",K1610&lt;550,"HIGH")</f>
        <v>HIGH</v>
      </c>
    </row>
    <row r="1611" spans="3:28" x14ac:dyDescent="0.3">
      <c r="C1611" s="35" t="s">
        <v>3325</v>
      </c>
      <c r="D1611" s="1" t="s">
        <v>1348</v>
      </c>
      <c r="E1611" s="1">
        <v>39</v>
      </c>
      <c r="F1611" s="1" t="s">
        <v>26</v>
      </c>
      <c r="G1611" s="1" t="s">
        <v>35</v>
      </c>
      <c r="H1611" s="1" t="s">
        <v>36</v>
      </c>
      <c r="I1611" s="1" t="s">
        <v>29</v>
      </c>
      <c r="J1611" s="7">
        <v>73014</v>
      </c>
      <c r="K1611" s="1">
        <v>406</v>
      </c>
      <c r="L1611" s="7">
        <v>45308</v>
      </c>
      <c r="M1611" s="1">
        <v>60</v>
      </c>
      <c r="N1611" s="6">
        <v>8.2100000000000006E-2</v>
      </c>
      <c r="O1611" s="1" t="s">
        <v>41</v>
      </c>
      <c r="P1611" s="1" t="s">
        <v>47</v>
      </c>
      <c r="Q1611" s="1">
        <v>26</v>
      </c>
      <c r="R1611" s="1">
        <v>0</v>
      </c>
      <c r="S1611" s="1" t="s">
        <v>31</v>
      </c>
      <c r="T1611" s="1" t="s">
        <v>31</v>
      </c>
      <c r="U1611" s="1">
        <v>0</v>
      </c>
      <c r="V1611" s="1">
        <v>43787</v>
      </c>
      <c r="W1611" s="7">
        <v>1148.74</v>
      </c>
      <c r="X1611" s="1">
        <v>0.7</v>
      </c>
      <c r="Y1611" s="4">
        <v>45845</v>
      </c>
      <c r="Z1611" s="1" t="s">
        <v>38</v>
      </c>
      <c r="AA1611" s="1" t="s">
        <v>31</v>
      </c>
      <c r="AB1611" s="36" t="str" cm="1">
        <f t="array" ref="AB1611">_xlfn.IFS(K1611&gt;650,"LOW",K1611&gt;=550,"MEDIUM",K1611&lt;550,"HIGH")</f>
        <v>HIGH</v>
      </c>
    </row>
    <row r="1612" spans="3:28" x14ac:dyDescent="0.3">
      <c r="C1612" s="35" t="s">
        <v>3420</v>
      </c>
      <c r="D1612" s="1" t="s">
        <v>1440</v>
      </c>
      <c r="E1612" s="1">
        <v>35</v>
      </c>
      <c r="F1612" s="1" t="s">
        <v>26</v>
      </c>
      <c r="G1612" s="1" t="s">
        <v>35</v>
      </c>
      <c r="H1612" s="1" t="s">
        <v>61</v>
      </c>
      <c r="I1612" s="1" t="s">
        <v>59</v>
      </c>
      <c r="J1612" s="7">
        <v>34706</v>
      </c>
      <c r="K1612" s="1">
        <v>406</v>
      </c>
      <c r="L1612" s="7">
        <v>45288</v>
      </c>
      <c r="M1612" s="1">
        <v>24</v>
      </c>
      <c r="N1612" s="6">
        <v>5.2699999999999997E-2</v>
      </c>
      <c r="O1612" s="1" t="s">
        <v>46</v>
      </c>
      <c r="P1612" s="1" t="s">
        <v>50</v>
      </c>
      <c r="Q1612" s="1">
        <v>13</v>
      </c>
      <c r="R1612" s="1">
        <v>4</v>
      </c>
      <c r="S1612" s="1" t="s">
        <v>33</v>
      </c>
      <c r="T1612" s="1" t="s">
        <v>33</v>
      </c>
      <c r="U1612" s="1">
        <v>4</v>
      </c>
      <c r="V1612" s="1">
        <v>28568</v>
      </c>
      <c r="W1612" s="7">
        <v>1909.85</v>
      </c>
      <c r="X1612" s="1">
        <v>0.18</v>
      </c>
      <c r="Y1612" s="4">
        <v>44539</v>
      </c>
      <c r="Z1612" s="1" t="s">
        <v>38</v>
      </c>
      <c r="AA1612" s="1" t="s">
        <v>31</v>
      </c>
      <c r="AB1612" s="36" t="str" cm="1">
        <f t="array" ref="AB1612">_xlfn.IFS(K1612&gt;650,"LOW",K1612&gt;=550,"MEDIUM",K1612&lt;550,"HIGH")</f>
        <v>HIGH</v>
      </c>
    </row>
    <row r="1613" spans="3:28" x14ac:dyDescent="0.3">
      <c r="C1613" s="35" t="s">
        <v>2157</v>
      </c>
      <c r="D1613" s="1" t="s">
        <v>188</v>
      </c>
      <c r="E1613" s="1">
        <v>33</v>
      </c>
      <c r="F1613" s="1" t="s">
        <v>44</v>
      </c>
      <c r="G1613" s="1" t="s">
        <v>35</v>
      </c>
      <c r="H1613" s="1" t="s">
        <v>61</v>
      </c>
      <c r="I1613" s="1" t="s">
        <v>57</v>
      </c>
      <c r="J1613" s="7">
        <v>85030</v>
      </c>
      <c r="K1613" s="1">
        <v>405</v>
      </c>
      <c r="L1613" s="7">
        <v>28974</v>
      </c>
      <c r="M1613" s="1">
        <v>60</v>
      </c>
      <c r="N1613" s="6">
        <v>0.15629999999999999</v>
      </c>
      <c r="O1613" s="1" t="s">
        <v>52</v>
      </c>
      <c r="P1613" s="1" t="s">
        <v>47</v>
      </c>
      <c r="Q1613" s="1">
        <v>15</v>
      </c>
      <c r="R1613" s="1">
        <v>1</v>
      </c>
      <c r="S1613" s="1" t="s">
        <v>31</v>
      </c>
      <c r="T1613" s="1" t="s">
        <v>33</v>
      </c>
      <c r="U1613" s="1">
        <v>4</v>
      </c>
      <c r="V1613" s="1">
        <v>149148</v>
      </c>
      <c r="W1613" s="7">
        <v>1157.77</v>
      </c>
      <c r="X1613" s="1">
        <v>0.78</v>
      </c>
      <c r="Y1613" s="4">
        <v>45822</v>
      </c>
      <c r="Z1613" s="1" t="s">
        <v>38</v>
      </c>
      <c r="AA1613" s="1" t="s">
        <v>33</v>
      </c>
      <c r="AB1613" s="36" t="str" cm="1">
        <f t="array" ref="AB1613">_xlfn.IFS(K1613&gt;650,"LOW",K1613&gt;=550,"MEDIUM",K1613&lt;550,"HIGH")</f>
        <v>HIGH</v>
      </c>
    </row>
    <row r="1614" spans="3:28" x14ac:dyDescent="0.3">
      <c r="C1614" s="35" t="s">
        <v>2238</v>
      </c>
      <c r="D1614" s="1" t="s">
        <v>269</v>
      </c>
      <c r="E1614" s="1">
        <v>42</v>
      </c>
      <c r="F1614" s="1" t="s">
        <v>44</v>
      </c>
      <c r="G1614" s="1" t="s">
        <v>45</v>
      </c>
      <c r="H1614" s="1" t="s">
        <v>28</v>
      </c>
      <c r="I1614" s="1" t="s">
        <v>59</v>
      </c>
      <c r="J1614" s="7">
        <v>34345</v>
      </c>
      <c r="K1614" s="1">
        <v>405</v>
      </c>
      <c r="L1614" s="7">
        <v>36757</v>
      </c>
      <c r="M1614" s="1">
        <v>24</v>
      </c>
      <c r="N1614" s="6">
        <v>9.7699999999999995E-2</v>
      </c>
      <c r="O1614" s="1" t="s">
        <v>37</v>
      </c>
      <c r="P1614" s="1" t="s">
        <v>30</v>
      </c>
      <c r="Q1614" s="1">
        <v>12</v>
      </c>
      <c r="R1614" s="1">
        <v>4</v>
      </c>
      <c r="S1614" s="1" t="s">
        <v>33</v>
      </c>
      <c r="T1614" s="1" t="s">
        <v>31</v>
      </c>
      <c r="U1614" s="1">
        <v>0</v>
      </c>
      <c r="V1614" s="1">
        <v>146676</v>
      </c>
      <c r="W1614" s="7">
        <v>1378.93</v>
      </c>
      <c r="X1614" s="1">
        <v>0.22</v>
      </c>
      <c r="Y1614" s="4">
        <v>45616</v>
      </c>
      <c r="Z1614" s="1" t="s">
        <v>38</v>
      </c>
      <c r="AA1614" s="1" t="s">
        <v>33</v>
      </c>
      <c r="AB1614" s="36" t="str" cm="1">
        <f t="array" ref="AB1614">_xlfn.IFS(K1614&gt;650,"LOW",K1614&gt;=550,"MEDIUM",K1614&lt;550,"HIGH")</f>
        <v>HIGH</v>
      </c>
    </row>
    <row r="1615" spans="3:28" x14ac:dyDescent="0.3">
      <c r="C1615" s="35" t="s">
        <v>2320</v>
      </c>
      <c r="D1615" s="1" t="s">
        <v>351</v>
      </c>
      <c r="E1615" s="1">
        <v>42</v>
      </c>
      <c r="F1615" s="1" t="s">
        <v>26</v>
      </c>
      <c r="G1615" s="1" t="s">
        <v>27</v>
      </c>
      <c r="H1615" s="1" t="s">
        <v>54</v>
      </c>
      <c r="I1615" s="1" t="s">
        <v>59</v>
      </c>
      <c r="J1615" s="7">
        <v>124089</v>
      </c>
      <c r="K1615" s="1">
        <v>405</v>
      </c>
      <c r="L1615" s="7">
        <v>17052</v>
      </c>
      <c r="M1615" s="1">
        <v>24</v>
      </c>
      <c r="N1615" s="6">
        <v>9.2300000000000007E-2</v>
      </c>
      <c r="O1615" s="1" t="s">
        <v>63</v>
      </c>
      <c r="P1615" s="1" t="s">
        <v>50</v>
      </c>
      <c r="Q1615" s="1">
        <v>25</v>
      </c>
      <c r="R1615" s="1">
        <v>1</v>
      </c>
      <c r="S1615" s="1" t="s">
        <v>33</v>
      </c>
      <c r="T1615" s="1" t="s">
        <v>31</v>
      </c>
      <c r="U1615" s="1">
        <v>2</v>
      </c>
      <c r="V1615" s="1">
        <v>68774</v>
      </c>
      <c r="W1615" s="7">
        <v>584.83000000000004</v>
      </c>
      <c r="X1615" s="1">
        <v>0.85</v>
      </c>
      <c r="Y1615" s="4">
        <v>45748</v>
      </c>
      <c r="Z1615" s="1" t="s">
        <v>32</v>
      </c>
      <c r="AA1615" s="1" t="s">
        <v>33</v>
      </c>
      <c r="AB1615" s="36" t="str" cm="1">
        <f t="array" ref="AB1615">_xlfn.IFS(K1615&gt;650,"LOW",K1615&gt;=550,"MEDIUM",K1615&lt;550,"HIGH")</f>
        <v>HIGH</v>
      </c>
    </row>
    <row r="1616" spans="3:28" x14ac:dyDescent="0.3">
      <c r="C1616" s="35" t="s">
        <v>2370</v>
      </c>
      <c r="D1616" s="1" t="s">
        <v>400</v>
      </c>
      <c r="E1616" s="1">
        <v>22</v>
      </c>
      <c r="F1616" s="1" t="s">
        <v>26</v>
      </c>
      <c r="G1616" s="1" t="s">
        <v>27</v>
      </c>
      <c r="H1616" s="1" t="s">
        <v>36</v>
      </c>
      <c r="I1616" s="1" t="s">
        <v>57</v>
      </c>
      <c r="J1616" s="7">
        <v>137569</v>
      </c>
      <c r="K1616" s="1">
        <v>405</v>
      </c>
      <c r="L1616" s="7">
        <v>45159</v>
      </c>
      <c r="M1616" s="1">
        <v>36</v>
      </c>
      <c r="N1616" s="6">
        <v>0.18559999999999999</v>
      </c>
      <c r="O1616" s="1" t="s">
        <v>5</v>
      </c>
      <c r="P1616" s="1" t="s">
        <v>50</v>
      </c>
      <c r="Q1616" s="1">
        <v>26</v>
      </c>
      <c r="R1616" s="1">
        <v>2</v>
      </c>
      <c r="S1616" s="1" t="s">
        <v>33</v>
      </c>
      <c r="T1616" s="1" t="s">
        <v>33</v>
      </c>
      <c r="U1616" s="1">
        <v>4</v>
      </c>
      <c r="V1616" s="1">
        <v>172889</v>
      </c>
      <c r="W1616" s="7">
        <v>1255.98</v>
      </c>
      <c r="X1616" s="1">
        <v>0.87</v>
      </c>
      <c r="Y1616" s="4">
        <v>44534</v>
      </c>
      <c r="Z1616" s="1" t="s">
        <v>38</v>
      </c>
      <c r="AA1616" s="1" t="s">
        <v>33</v>
      </c>
      <c r="AB1616" s="36" t="str" cm="1">
        <f t="array" ref="AB1616">_xlfn.IFS(K1616&gt;650,"LOW",K1616&gt;=550,"MEDIUM",K1616&lt;550,"HIGH")</f>
        <v>HIGH</v>
      </c>
    </row>
    <row r="1617" spans="3:28" x14ac:dyDescent="0.3">
      <c r="C1617" s="35" t="s">
        <v>2482</v>
      </c>
      <c r="D1617" s="1" t="s">
        <v>512</v>
      </c>
      <c r="E1617" s="1">
        <v>44</v>
      </c>
      <c r="F1617" s="1" t="s">
        <v>26</v>
      </c>
      <c r="G1617" s="1" t="s">
        <v>27</v>
      </c>
      <c r="H1617" s="1" t="s">
        <v>54</v>
      </c>
      <c r="I1617" s="1" t="s">
        <v>40</v>
      </c>
      <c r="J1617" s="7">
        <v>81715</v>
      </c>
      <c r="K1617" s="1">
        <v>405</v>
      </c>
      <c r="L1617" s="7">
        <v>39311</v>
      </c>
      <c r="M1617" s="1">
        <v>12</v>
      </c>
      <c r="N1617" s="6">
        <v>0.1439</v>
      </c>
      <c r="O1617" s="1" t="s">
        <v>41</v>
      </c>
      <c r="P1617" s="1" t="s">
        <v>50</v>
      </c>
      <c r="Q1617" s="1">
        <v>26</v>
      </c>
      <c r="R1617" s="1">
        <v>1</v>
      </c>
      <c r="S1617" s="1" t="s">
        <v>33</v>
      </c>
      <c r="T1617" s="1" t="s">
        <v>33</v>
      </c>
      <c r="U1617" s="1">
        <v>0</v>
      </c>
      <c r="V1617" s="1">
        <v>65669</v>
      </c>
      <c r="W1617" s="7">
        <v>1163.68</v>
      </c>
      <c r="X1617" s="1">
        <v>0.2</v>
      </c>
      <c r="Y1617" s="4">
        <v>44707</v>
      </c>
      <c r="Z1617" s="1" t="s">
        <v>38</v>
      </c>
      <c r="AA1617" s="1" t="s">
        <v>33</v>
      </c>
      <c r="AB1617" s="36" t="str" cm="1">
        <f t="array" ref="AB1617">_xlfn.IFS(K1617&gt;650,"LOW",K1617&gt;=550,"MEDIUM",K1617&lt;550,"HIGH")</f>
        <v>HIGH</v>
      </c>
    </row>
    <row r="1618" spans="3:28" x14ac:dyDescent="0.3">
      <c r="C1618" s="35" t="s">
        <v>3097</v>
      </c>
      <c r="D1618" s="1" t="s">
        <v>1122</v>
      </c>
      <c r="E1618" s="1">
        <v>29</v>
      </c>
      <c r="F1618" s="1" t="s">
        <v>26</v>
      </c>
      <c r="G1618" s="1" t="s">
        <v>27</v>
      </c>
      <c r="H1618" s="1" t="s">
        <v>61</v>
      </c>
      <c r="I1618" s="1" t="s">
        <v>40</v>
      </c>
      <c r="J1618" s="7">
        <v>107640</v>
      </c>
      <c r="K1618" s="1">
        <v>405</v>
      </c>
      <c r="L1618" s="7">
        <v>9621</v>
      </c>
      <c r="M1618" s="1">
        <v>12</v>
      </c>
      <c r="N1618" s="6">
        <v>0.18899999999999997</v>
      </c>
      <c r="O1618" s="1" t="s">
        <v>37</v>
      </c>
      <c r="P1618" s="1" t="s">
        <v>50</v>
      </c>
      <c r="Q1618" s="1">
        <v>11</v>
      </c>
      <c r="R1618" s="1">
        <v>3</v>
      </c>
      <c r="S1618" s="1" t="s">
        <v>31</v>
      </c>
      <c r="T1618" s="1" t="s">
        <v>31</v>
      </c>
      <c r="U1618" s="1">
        <v>4</v>
      </c>
      <c r="V1618" s="1">
        <v>32624</v>
      </c>
      <c r="W1618" s="7">
        <v>1819.39</v>
      </c>
      <c r="X1618" s="1">
        <v>0.66</v>
      </c>
      <c r="Y1618" s="4">
        <v>44847</v>
      </c>
      <c r="Z1618" s="1" t="s">
        <v>32</v>
      </c>
      <c r="AA1618" s="1" t="s">
        <v>33</v>
      </c>
      <c r="AB1618" s="36" t="str" cm="1">
        <f t="array" ref="AB1618">_xlfn.IFS(K1618&gt;650,"LOW",K1618&gt;=550,"MEDIUM",K1618&lt;550,"HIGH")</f>
        <v>HIGH</v>
      </c>
    </row>
    <row r="1619" spans="3:28" x14ac:dyDescent="0.3">
      <c r="C1619" s="35" t="s">
        <v>2250</v>
      </c>
      <c r="D1619" s="1" t="s">
        <v>281</v>
      </c>
      <c r="E1619" s="1">
        <v>46</v>
      </c>
      <c r="F1619" s="1" t="s">
        <v>44</v>
      </c>
      <c r="G1619" s="1" t="s">
        <v>27</v>
      </c>
      <c r="H1619" s="1" t="s">
        <v>28</v>
      </c>
      <c r="I1619" s="1" t="s">
        <v>59</v>
      </c>
      <c r="J1619" s="7">
        <v>119273</v>
      </c>
      <c r="K1619" s="1">
        <v>404</v>
      </c>
      <c r="L1619" s="7">
        <v>11510</v>
      </c>
      <c r="M1619" s="1">
        <v>48</v>
      </c>
      <c r="N1619" s="6">
        <v>0.1043</v>
      </c>
      <c r="O1619" s="1" t="s">
        <v>46</v>
      </c>
      <c r="P1619" s="1" t="s">
        <v>50</v>
      </c>
      <c r="Q1619" s="1">
        <v>20</v>
      </c>
      <c r="R1619" s="1">
        <v>4</v>
      </c>
      <c r="S1619" s="1" t="s">
        <v>33</v>
      </c>
      <c r="T1619" s="1" t="s">
        <v>33</v>
      </c>
      <c r="U1619" s="1">
        <v>0</v>
      </c>
      <c r="V1619" s="1">
        <v>44121</v>
      </c>
      <c r="W1619" s="7">
        <v>1689.39</v>
      </c>
      <c r="X1619" s="1">
        <v>1</v>
      </c>
      <c r="Y1619" s="4">
        <v>45811</v>
      </c>
      <c r="Z1619" s="1" t="s">
        <v>38</v>
      </c>
      <c r="AA1619" s="1" t="s">
        <v>33</v>
      </c>
      <c r="AB1619" s="36" t="str" cm="1">
        <f t="array" ref="AB1619">_xlfn.IFS(K1619&gt;650,"LOW",K1619&gt;=550,"MEDIUM",K1619&lt;550,"HIGH")</f>
        <v>HIGH</v>
      </c>
    </row>
    <row r="1620" spans="3:28" x14ac:dyDescent="0.3">
      <c r="C1620" s="35" t="s">
        <v>2327</v>
      </c>
      <c r="D1620" s="1" t="s">
        <v>358</v>
      </c>
      <c r="E1620" s="1">
        <v>47</v>
      </c>
      <c r="F1620" s="1" t="s">
        <v>44</v>
      </c>
      <c r="G1620" s="1" t="s">
        <v>56</v>
      </c>
      <c r="H1620" s="1" t="s">
        <v>36</v>
      </c>
      <c r="I1620" s="1" t="s">
        <v>29</v>
      </c>
      <c r="J1620" s="7">
        <v>80277</v>
      </c>
      <c r="K1620" s="1">
        <v>404</v>
      </c>
      <c r="L1620" s="7">
        <v>39379</v>
      </c>
      <c r="M1620" s="1">
        <v>12</v>
      </c>
      <c r="N1620" s="6">
        <v>7.5999999999999998E-2</v>
      </c>
      <c r="O1620" s="1" t="s">
        <v>41</v>
      </c>
      <c r="P1620" s="1" t="s">
        <v>50</v>
      </c>
      <c r="Q1620" s="1">
        <v>22</v>
      </c>
      <c r="R1620" s="1">
        <v>4</v>
      </c>
      <c r="S1620" s="1" t="s">
        <v>31</v>
      </c>
      <c r="T1620" s="1" t="s">
        <v>31</v>
      </c>
      <c r="U1620" s="1">
        <v>2</v>
      </c>
      <c r="V1620" s="1">
        <v>96396</v>
      </c>
      <c r="W1620" s="7">
        <v>1303.67</v>
      </c>
      <c r="X1620" s="1">
        <v>0.74</v>
      </c>
      <c r="Y1620" s="4">
        <v>44570</v>
      </c>
      <c r="Z1620" s="1" t="s">
        <v>32</v>
      </c>
      <c r="AA1620" s="1" t="s">
        <v>33</v>
      </c>
      <c r="AB1620" s="36" t="str" cm="1">
        <f t="array" ref="AB1620">_xlfn.IFS(K1620&gt;650,"LOW",K1620&gt;=550,"MEDIUM",K1620&lt;550,"HIGH")</f>
        <v>HIGH</v>
      </c>
    </row>
    <row r="1621" spans="3:28" x14ac:dyDescent="0.3">
      <c r="C1621" s="35" t="s">
        <v>2427</v>
      </c>
      <c r="D1621" s="1" t="s">
        <v>457</v>
      </c>
      <c r="E1621" s="1">
        <v>39</v>
      </c>
      <c r="F1621" s="1" t="s">
        <v>44</v>
      </c>
      <c r="G1621" s="1" t="s">
        <v>27</v>
      </c>
      <c r="H1621" s="1" t="s">
        <v>36</v>
      </c>
      <c r="I1621" s="1" t="s">
        <v>40</v>
      </c>
      <c r="J1621" s="7">
        <v>79902</v>
      </c>
      <c r="K1621" s="1">
        <v>404</v>
      </c>
      <c r="L1621" s="7">
        <v>17705</v>
      </c>
      <c r="M1621" s="1">
        <v>12</v>
      </c>
      <c r="N1621" s="6">
        <v>0.1769</v>
      </c>
      <c r="O1621" s="1" t="s">
        <v>46</v>
      </c>
      <c r="P1621" s="1" t="s">
        <v>47</v>
      </c>
      <c r="Q1621" s="1">
        <v>18</v>
      </c>
      <c r="R1621" s="1">
        <v>2</v>
      </c>
      <c r="S1621" s="1" t="s">
        <v>33</v>
      </c>
      <c r="T1621" s="1" t="s">
        <v>31</v>
      </c>
      <c r="U1621" s="1">
        <v>3</v>
      </c>
      <c r="V1621" s="1">
        <v>63818</v>
      </c>
      <c r="W1621" s="7">
        <v>260.23</v>
      </c>
      <c r="X1621" s="1">
        <v>0.66</v>
      </c>
      <c r="Y1621" s="4">
        <v>45608</v>
      </c>
      <c r="Z1621" s="1" t="s">
        <v>38</v>
      </c>
      <c r="AA1621" s="1" t="s">
        <v>31</v>
      </c>
      <c r="AB1621" s="36" t="str" cm="1">
        <f t="array" ref="AB1621">_xlfn.IFS(K1621&gt;650,"LOW",K1621&gt;=550,"MEDIUM",K1621&lt;550,"HIGH")</f>
        <v>HIGH</v>
      </c>
    </row>
    <row r="1622" spans="3:28" x14ac:dyDescent="0.3">
      <c r="C1622" s="35" t="s">
        <v>2679</v>
      </c>
      <c r="D1622" s="1" t="s">
        <v>709</v>
      </c>
      <c r="E1622" s="1">
        <v>47</v>
      </c>
      <c r="F1622" s="1" t="s">
        <v>44</v>
      </c>
      <c r="G1622" s="1" t="s">
        <v>45</v>
      </c>
      <c r="H1622" s="1" t="s">
        <v>61</v>
      </c>
      <c r="I1622" s="1" t="s">
        <v>40</v>
      </c>
      <c r="J1622" s="7">
        <v>25419</v>
      </c>
      <c r="K1622" s="1">
        <v>404</v>
      </c>
      <c r="L1622" s="7">
        <v>32912</v>
      </c>
      <c r="M1622" s="1">
        <v>24</v>
      </c>
      <c r="N1622" s="6">
        <v>0.16879999999999998</v>
      </c>
      <c r="O1622" s="1" t="s">
        <v>46</v>
      </c>
      <c r="P1622" s="1" t="s">
        <v>30</v>
      </c>
      <c r="Q1622" s="1">
        <v>28</v>
      </c>
      <c r="R1622" s="1">
        <v>4</v>
      </c>
      <c r="S1622" s="1" t="s">
        <v>33</v>
      </c>
      <c r="T1622" s="1" t="s">
        <v>31</v>
      </c>
      <c r="U1622" s="1">
        <v>2</v>
      </c>
      <c r="V1622" s="1">
        <v>14992</v>
      </c>
      <c r="W1622" s="7">
        <v>703.55</v>
      </c>
      <c r="X1622" s="1">
        <v>0.45</v>
      </c>
      <c r="Y1622" s="4">
        <v>45570</v>
      </c>
      <c r="Z1622" s="1" t="s">
        <v>32</v>
      </c>
      <c r="AA1622" s="1" t="s">
        <v>31</v>
      </c>
      <c r="AB1622" s="36" t="str" cm="1">
        <f t="array" ref="AB1622">_xlfn.IFS(K1622&gt;650,"LOW",K1622&gt;=550,"MEDIUM",K1622&lt;550,"HIGH")</f>
        <v>HIGH</v>
      </c>
    </row>
    <row r="1623" spans="3:28" x14ac:dyDescent="0.3">
      <c r="C1623" s="35" t="s">
        <v>3551</v>
      </c>
      <c r="D1623" s="1" t="s">
        <v>1568</v>
      </c>
      <c r="E1623" s="1">
        <v>54</v>
      </c>
      <c r="F1623" s="1" t="s">
        <v>26</v>
      </c>
      <c r="G1623" s="1" t="s">
        <v>45</v>
      </c>
      <c r="H1623" s="1" t="s">
        <v>54</v>
      </c>
      <c r="I1623" s="1" t="s">
        <v>59</v>
      </c>
      <c r="J1623" s="7">
        <v>83079</v>
      </c>
      <c r="K1623" s="1">
        <v>404</v>
      </c>
      <c r="L1623" s="7">
        <v>27549</v>
      </c>
      <c r="M1623" s="1">
        <v>36</v>
      </c>
      <c r="N1623" s="6">
        <v>8.6599999999999996E-2</v>
      </c>
      <c r="O1623" s="1" t="s">
        <v>52</v>
      </c>
      <c r="P1623" s="1" t="s">
        <v>47</v>
      </c>
      <c r="Q1623" s="1">
        <v>16</v>
      </c>
      <c r="R1623" s="1">
        <v>4</v>
      </c>
      <c r="S1623" s="1" t="s">
        <v>31</v>
      </c>
      <c r="T1623" s="1" t="s">
        <v>31</v>
      </c>
      <c r="U1623" s="1">
        <v>2</v>
      </c>
      <c r="V1623" s="1">
        <v>94906</v>
      </c>
      <c r="W1623" s="7">
        <v>165.01</v>
      </c>
      <c r="X1623" s="1">
        <v>0.25</v>
      </c>
      <c r="Y1623" s="4">
        <v>45742</v>
      </c>
      <c r="Z1623" s="1" t="s">
        <v>38</v>
      </c>
      <c r="AA1623" s="1" t="s">
        <v>33</v>
      </c>
      <c r="AB1623" s="36" t="str" cm="1">
        <f t="array" ref="AB1623">_xlfn.IFS(K1623&gt;650,"LOW",K1623&gt;=550,"MEDIUM",K1623&lt;550,"HIGH")</f>
        <v>HIGH</v>
      </c>
    </row>
    <row r="1624" spans="3:28" x14ac:dyDescent="0.3">
      <c r="C1624" s="35" t="s">
        <v>3685</v>
      </c>
      <c r="D1624" s="1" t="s">
        <v>125</v>
      </c>
      <c r="E1624" s="1">
        <v>45</v>
      </c>
      <c r="F1624" s="1" t="s">
        <v>26</v>
      </c>
      <c r="G1624" s="1" t="s">
        <v>56</v>
      </c>
      <c r="H1624" s="1" t="s">
        <v>36</v>
      </c>
      <c r="I1624" s="1" t="s">
        <v>57</v>
      </c>
      <c r="J1624" s="7">
        <v>96920</v>
      </c>
      <c r="K1624" s="1">
        <v>404</v>
      </c>
      <c r="L1624" s="7">
        <v>44809</v>
      </c>
      <c r="M1624" s="1">
        <v>48</v>
      </c>
      <c r="N1624" s="6">
        <v>0.14880000000000002</v>
      </c>
      <c r="O1624" s="1" t="s">
        <v>5</v>
      </c>
      <c r="P1624" s="1" t="s">
        <v>30</v>
      </c>
      <c r="Q1624" s="1">
        <v>20</v>
      </c>
      <c r="R1624" s="1">
        <v>4</v>
      </c>
      <c r="S1624" s="1" t="s">
        <v>33</v>
      </c>
      <c r="T1624" s="1" t="s">
        <v>31</v>
      </c>
      <c r="U1624" s="1">
        <v>2</v>
      </c>
      <c r="V1624" s="1">
        <v>113257</v>
      </c>
      <c r="W1624" s="7">
        <v>137.13</v>
      </c>
      <c r="X1624" s="1">
        <v>0.55000000000000004</v>
      </c>
      <c r="Y1624" s="4">
        <v>44480</v>
      </c>
      <c r="Z1624" s="1" t="s">
        <v>32</v>
      </c>
      <c r="AA1624" s="1" t="s">
        <v>31</v>
      </c>
      <c r="AB1624" s="36" t="str" cm="1">
        <f t="array" ref="AB1624">_xlfn.IFS(K1624&gt;650,"LOW",K1624&gt;=550,"MEDIUM",K1624&lt;550,"HIGH")</f>
        <v>HIGH</v>
      </c>
    </row>
    <row r="1625" spans="3:28" x14ac:dyDescent="0.3">
      <c r="C1625" s="35" t="s">
        <v>3741</v>
      </c>
      <c r="D1625" s="1" t="s">
        <v>1749</v>
      </c>
      <c r="E1625" s="1">
        <v>44</v>
      </c>
      <c r="F1625" s="1" t="s">
        <v>44</v>
      </c>
      <c r="G1625" s="1" t="s">
        <v>45</v>
      </c>
      <c r="H1625" s="1" t="s">
        <v>28</v>
      </c>
      <c r="I1625" s="1" t="s">
        <v>40</v>
      </c>
      <c r="J1625" s="7">
        <v>52959</v>
      </c>
      <c r="K1625" s="1">
        <v>404</v>
      </c>
      <c r="L1625" s="7">
        <v>41128</v>
      </c>
      <c r="M1625" s="1">
        <v>12</v>
      </c>
      <c r="N1625" s="6">
        <v>0.1348</v>
      </c>
      <c r="O1625" s="1" t="s">
        <v>63</v>
      </c>
      <c r="P1625" s="1" t="s">
        <v>47</v>
      </c>
      <c r="Q1625" s="1">
        <v>20</v>
      </c>
      <c r="R1625" s="1">
        <v>1</v>
      </c>
      <c r="S1625" s="1" t="s">
        <v>33</v>
      </c>
      <c r="T1625" s="1" t="s">
        <v>31</v>
      </c>
      <c r="U1625" s="1">
        <v>3</v>
      </c>
      <c r="V1625" s="1">
        <v>2929</v>
      </c>
      <c r="W1625" s="7">
        <v>569.95000000000005</v>
      </c>
      <c r="X1625" s="1">
        <v>0.62</v>
      </c>
      <c r="Y1625" s="4">
        <v>44466</v>
      </c>
      <c r="Z1625" s="1" t="s">
        <v>32</v>
      </c>
      <c r="AA1625" s="1" t="s">
        <v>33</v>
      </c>
      <c r="AB1625" s="36" t="str" cm="1">
        <f t="array" ref="AB1625">_xlfn.IFS(K1625&gt;650,"LOW",K1625&gt;=550,"MEDIUM",K1625&lt;550,"HIGH")</f>
        <v>HIGH</v>
      </c>
    </row>
    <row r="1626" spans="3:28" x14ac:dyDescent="0.3">
      <c r="C1626" s="35" t="s">
        <v>2315</v>
      </c>
      <c r="D1626" s="1" t="s">
        <v>346</v>
      </c>
      <c r="E1626" s="1">
        <v>27</v>
      </c>
      <c r="F1626" s="1" t="s">
        <v>26</v>
      </c>
      <c r="G1626" s="1" t="s">
        <v>27</v>
      </c>
      <c r="H1626" s="1" t="s">
        <v>36</v>
      </c>
      <c r="I1626" s="1" t="s">
        <v>29</v>
      </c>
      <c r="J1626" s="7">
        <v>69756</v>
      </c>
      <c r="K1626" s="1">
        <v>403</v>
      </c>
      <c r="L1626" s="7">
        <v>43746</v>
      </c>
      <c r="M1626" s="1">
        <v>36</v>
      </c>
      <c r="N1626" s="6">
        <v>0.10460000000000001</v>
      </c>
      <c r="O1626" s="1" t="s">
        <v>52</v>
      </c>
      <c r="P1626" s="1" t="s">
        <v>47</v>
      </c>
      <c r="Q1626" s="1">
        <v>5</v>
      </c>
      <c r="R1626" s="1">
        <v>4</v>
      </c>
      <c r="S1626" s="1" t="s">
        <v>31</v>
      </c>
      <c r="T1626" s="1" t="s">
        <v>33</v>
      </c>
      <c r="U1626" s="1">
        <v>3</v>
      </c>
      <c r="V1626" s="1">
        <v>2967</v>
      </c>
      <c r="W1626" s="7">
        <v>1724.69</v>
      </c>
      <c r="X1626" s="1">
        <v>0.14000000000000001</v>
      </c>
      <c r="Y1626" s="4">
        <v>44991</v>
      </c>
      <c r="Z1626" s="1" t="s">
        <v>38</v>
      </c>
      <c r="AA1626" s="1" t="s">
        <v>33</v>
      </c>
      <c r="AB1626" s="36" t="str" cm="1">
        <f t="array" ref="AB1626">_xlfn.IFS(K1626&gt;650,"LOW",K1626&gt;=550,"MEDIUM",K1626&lt;550,"HIGH")</f>
        <v>HIGH</v>
      </c>
    </row>
    <row r="1627" spans="3:28" x14ac:dyDescent="0.3">
      <c r="C1627" s="35" t="s">
        <v>2403</v>
      </c>
      <c r="D1627" s="1" t="s">
        <v>433</v>
      </c>
      <c r="E1627" s="1">
        <v>42</v>
      </c>
      <c r="F1627" s="1" t="s">
        <v>44</v>
      </c>
      <c r="G1627" s="1" t="s">
        <v>35</v>
      </c>
      <c r="H1627" s="1" t="s">
        <v>54</v>
      </c>
      <c r="I1627" s="1" t="s">
        <v>29</v>
      </c>
      <c r="J1627" s="7">
        <v>43104</v>
      </c>
      <c r="K1627" s="1">
        <v>403</v>
      </c>
      <c r="L1627" s="7">
        <v>27483</v>
      </c>
      <c r="M1627" s="1">
        <v>60</v>
      </c>
      <c r="N1627" s="6">
        <v>0.156</v>
      </c>
      <c r="O1627" s="1" t="s">
        <v>5</v>
      </c>
      <c r="P1627" s="1" t="s">
        <v>47</v>
      </c>
      <c r="Q1627" s="1">
        <v>11</v>
      </c>
      <c r="R1627" s="1">
        <v>1</v>
      </c>
      <c r="S1627" s="1" t="s">
        <v>33</v>
      </c>
      <c r="T1627" s="1" t="s">
        <v>33</v>
      </c>
      <c r="U1627" s="1">
        <v>0</v>
      </c>
      <c r="V1627" s="1">
        <v>77668</v>
      </c>
      <c r="W1627" s="7">
        <v>897.67</v>
      </c>
      <c r="X1627" s="1">
        <v>0.56000000000000005</v>
      </c>
      <c r="Y1627" s="4">
        <v>45549</v>
      </c>
      <c r="Z1627" s="1" t="s">
        <v>38</v>
      </c>
      <c r="AA1627" s="1" t="s">
        <v>31</v>
      </c>
      <c r="AB1627" s="36" t="str" cm="1">
        <f t="array" ref="AB1627">_xlfn.IFS(K1627&gt;650,"LOW",K1627&gt;=550,"MEDIUM",K1627&lt;550,"HIGH")</f>
        <v>HIGH</v>
      </c>
    </row>
    <row r="1628" spans="3:28" x14ac:dyDescent="0.3">
      <c r="C1628" s="35" t="s">
        <v>2448</v>
      </c>
      <c r="D1628" s="1" t="s">
        <v>478</v>
      </c>
      <c r="E1628" s="1">
        <v>32</v>
      </c>
      <c r="F1628" s="1" t="s">
        <v>26</v>
      </c>
      <c r="G1628" s="1" t="s">
        <v>56</v>
      </c>
      <c r="H1628" s="1" t="s">
        <v>61</v>
      </c>
      <c r="I1628" s="1" t="s">
        <v>59</v>
      </c>
      <c r="J1628" s="7">
        <v>144633</v>
      </c>
      <c r="K1628" s="1">
        <v>403</v>
      </c>
      <c r="L1628" s="7">
        <v>27651</v>
      </c>
      <c r="M1628" s="1">
        <v>48</v>
      </c>
      <c r="N1628" s="6">
        <v>0.16350000000000001</v>
      </c>
      <c r="O1628" s="1" t="s">
        <v>41</v>
      </c>
      <c r="P1628" s="1" t="s">
        <v>47</v>
      </c>
      <c r="Q1628" s="1">
        <v>19</v>
      </c>
      <c r="R1628" s="1">
        <v>3</v>
      </c>
      <c r="S1628" s="1" t="s">
        <v>31</v>
      </c>
      <c r="T1628" s="1" t="s">
        <v>31</v>
      </c>
      <c r="U1628" s="1">
        <v>2</v>
      </c>
      <c r="V1628" s="1">
        <v>103556</v>
      </c>
      <c r="W1628" s="7">
        <v>1034.25</v>
      </c>
      <c r="X1628" s="1">
        <v>0.43</v>
      </c>
      <c r="Y1628" s="4">
        <v>44962</v>
      </c>
      <c r="Z1628" s="1" t="s">
        <v>32</v>
      </c>
      <c r="AA1628" s="1" t="s">
        <v>33</v>
      </c>
      <c r="AB1628" s="36" t="str" cm="1">
        <f t="array" ref="AB1628">_xlfn.IFS(K1628&gt;650,"LOW",K1628&gt;=550,"MEDIUM",K1628&lt;550,"HIGH")</f>
        <v>HIGH</v>
      </c>
    </row>
    <row r="1629" spans="3:28" x14ac:dyDescent="0.3">
      <c r="C1629" s="35" t="s">
        <v>2669</v>
      </c>
      <c r="D1629" s="1" t="s">
        <v>699</v>
      </c>
      <c r="E1629" s="1">
        <v>28</v>
      </c>
      <c r="F1629" s="1" t="s">
        <v>44</v>
      </c>
      <c r="G1629" s="1" t="s">
        <v>56</v>
      </c>
      <c r="H1629" s="1" t="s">
        <v>28</v>
      </c>
      <c r="I1629" s="1" t="s">
        <v>40</v>
      </c>
      <c r="J1629" s="7">
        <v>26041</v>
      </c>
      <c r="K1629" s="1">
        <v>403</v>
      </c>
      <c r="L1629" s="7">
        <v>33017</v>
      </c>
      <c r="M1629" s="1">
        <v>36</v>
      </c>
      <c r="N1629" s="6">
        <v>0.19370000000000001</v>
      </c>
      <c r="O1629" s="1" t="s">
        <v>52</v>
      </c>
      <c r="P1629" s="1" t="s">
        <v>30</v>
      </c>
      <c r="Q1629" s="1">
        <v>5</v>
      </c>
      <c r="R1629" s="1">
        <v>0</v>
      </c>
      <c r="S1629" s="1" t="s">
        <v>33</v>
      </c>
      <c r="T1629" s="1" t="s">
        <v>31</v>
      </c>
      <c r="U1629" s="1">
        <v>4</v>
      </c>
      <c r="V1629" s="1">
        <v>93730</v>
      </c>
      <c r="W1629" s="7">
        <v>200.83</v>
      </c>
      <c r="X1629" s="1">
        <v>0.76</v>
      </c>
      <c r="Y1629" s="4">
        <v>44467</v>
      </c>
      <c r="Z1629" s="1" t="s">
        <v>38</v>
      </c>
      <c r="AA1629" s="1" t="s">
        <v>33</v>
      </c>
      <c r="AB1629" s="36" t="str" cm="1">
        <f t="array" ref="AB1629">_xlfn.IFS(K1629&gt;650,"LOW",K1629&gt;=550,"MEDIUM",K1629&lt;550,"HIGH")</f>
        <v>HIGH</v>
      </c>
    </row>
    <row r="1630" spans="3:28" x14ac:dyDescent="0.3">
      <c r="C1630" s="35" t="s">
        <v>3297</v>
      </c>
      <c r="D1630" s="1" t="s">
        <v>1320</v>
      </c>
      <c r="E1630" s="1">
        <v>32</v>
      </c>
      <c r="F1630" s="1" t="s">
        <v>44</v>
      </c>
      <c r="G1630" s="1" t="s">
        <v>35</v>
      </c>
      <c r="H1630" s="1" t="s">
        <v>28</v>
      </c>
      <c r="I1630" s="1" t="s">
        <v>59</v>
      </c>
      <c r="J1630" s="7">
        <v>138558</v>
      </c>
      <c r="K1630" s="1">
        <v>403</v>
      </c>
      <c r="L1630" s="7">
        <v>36198</v>
      </c>
      <c r="M1630" s="1">
        <v>60</v>
      </c>
      <c r="N1630" s="6">
        <v>0.1578</v>
      </c>
      <c r="O1630" s="1" t="s">
        <v>46</v>
      </c>
      <c r="P1630" s="1" t="s">
        <v>30</v>
      </c>
      <c r="Q1630" s="1">
        <v>14</v>
      </c>
      <c r="R1630" s="1">
        <v>2</v>
      </c>
      <c r="S1630" s="1" t="s">
        <v>33</v>
      </c>
      <c r="T1630" s="1" t="s">
        <v>31</v>
      </c>
      <c r="U1630" s="1">
        <v>3</v>
      </c>
      <c r="V1630" s="1">
        <v>163764</v>
      </c>
      <c r="W1630" s="7">
        <v>354.44</v>
      </c>
      <c r="X1630" s="1">
        <v>0.56999999999999995</v>
      </c>
      <c r="Y1630" s="4">
        <v>45641</v>
      </c>
      <c r="Z1630" s="1" t="s">
        <v>32</v>
      </c>
      <c r="AA1630" s="1" t="s">
        <v>33</v>
      </c>
      <c r="AB1630" s="36" t="str" cm="1">
        <f t="array" ref="AB1630">_xlfn.IFS(K1630&gt;650,"LOW",K1630&gt;=550,"MEDIUM",K1630&lt;550,"HIGH")</f>
        <v>HIGH</v>
      </c>
    </row>
    <row r="1631" spans="3:28" x14ac:dyDescent="0.3">
      <c r="C1631" s="35" t="s">
        <v>2649</v>
      </c>
      <c r="D1631" s="1" t="s">
        <v>679</v>
      </c>
      <c r="E1631" s="1">
        <v>40</v>
      </c>
      <c r="F1631" s="1" t="s">
        <v>44</v>
      </c>
      <c r="G1631" s="1" t="s">
        <v>27</v>
      </c>
      <c r="H1631" s="1" t="s">
        <v>54</v>
      </c>
      <c r="I1631" s="1" t="s">
        <v>59</v>
      </c>
      <c r="J1631" s="7">
        <v>35733</v>
      </c>
      <c r="K1631" s="1">
        <v>402</v>
      </c>
      <c r="L1631" s="7">
        <v>23597</v>
      </c>
      <c r="M1631" s="1">
        <v>12</v>
      </c>
      <c r="N1631" s="6">
        <v>8.3699999999999997E-2</v>
      </c>
      <c r="O1631" s="1" t="s">
        <v>37</v>
      </c>
      <c r="P1631" s="1" t="s">
        <v>50</v>
      </c>
      <c r="Q1631" s="1">
        <v>1</v>
      </c>
      <c r="R1631" s="1">
        <v>0</v>
      </c>
      <c r="S1631" s="1" t="s">
        <v>31</v>
      </c>
      <c r="T1631" s="1" t="s">
        <v>33</v>
      </c>
      <c r="U1631" s="1">
        <v>3</v>
      </c>
      <c r="V1631" s="1">
        <v>93644</v>
      </c>
      <c r="W1631" s="7">
        <v>1604.19</v>
      </c>
      <c r="X1631" s="1">
        <v>0.73</v>
      </c>
      <c r="Y1631" s="4">
        <v>45793</v>
      </c>
      <c r="Z1631" s="1" t="s">
        <v>32</v>
      </c>
      <c r="AA1631" s="1" t="s">
        <v>33</v>
      </c>
      <c r="AB1631" s="36" t="str" cm="1">
        <f t="array" ref="AB1631">_xlfn.IFS(K1631&gt;650,"LOW",K1631&gt;=550,"MEDIUM",K1631&lt;550,"HIGH")</f>
        <v>HIGH</v>
      </c>
    </row>
    <row r="1632" spans="3:28" x14ac:dyDescent="0.3">
      <c r="C1632" s="35" t="s">
        <v>2545</v>
      </c>
      <c r="D1632" s="1" t="s">
        <v>575</v>
      </c>
      <c r="E1632" s="1">
        <v>45</v>
      </c>
      <c r="F1632" s="1" t="s">
        <v>26</v>
      </c>
      <c r="G1632" s="1" t="s">
        <v>45</v>
      </c>
      <c r="H1632" s="1" t="s">
        <v>61</v>
      </c>
      <c r="I1632" s="1" t="s">
        <v>29</v>
      </c>
      <c r="J1632" s="7">
        <v>75856</v>
      </c>
      <c r="K1632" s="1">
        <v>401</v>
      </c>
      <c r="L1632" s="7">
        <v>46987</v>
      </c>
      <c r="M1632" s="1">
        <v>12</v>
      </c>
      <c r="N1632" s="6">
        <v>6.5299999999999997E-2</v>
      </c>
      <c r="O1632" s="1" t="s">
        <v>63</v>
      </c>
      <c r="P1632" s="1" t="s">
        <v>47</v>
      </c>
      <c r="Q1632" s="1">
        <v>20</v>
      </c>
      <c r="R1632" s="1">
        <v>1</v>
      </c>
      <c r="S1632" s="1" t="s">
        <v>33</v>
      </c>
      <c r="T1632" s="1" t="s">
        <v>31</v>
      </c>
      <c r="U1632" s="1">
        <v>3</v>
      </c>
      <c r="V1632" s="1">
        <v>38593</v>
      </c>
      <c r="W1632" s="7">
        <v>1777.65</v>
      </c>
      <c r="X1632" s="1">
        <v>0.17</v>
      </c>
      <c r="Y1632" s="4">
        <v>44463</v>
      </c>
      <c r="Z1632" s="1" t="s">
        <v>32</v>
      </c>
      <c r="AA1632" s="1" t="s">
        <v>33</v>
      </c>
      <c r="AB1632" s="36" t="str" cm="1">
        <f t="array" ref="AB1632">_xlfn.IFS(K1632&gt;650,"LOW",K1632&gt;=550,"MEDIUM",K1632&lt;550,"HIGH")</f>
        <v>HIGH</v>
      </c>
    </row>
    <row r="1633" spans="3:28" x14ac:dyDescent="0.3">
      <c r="C1633" s="35" t="s">
        <v>2317</v>
      </c>
      <c r="D1633" s="1" t="s">
        <v>348</v>
      </c>
      <c r="E1633" s="1">
        <v>37</v>
      </c>
      <c r="F1633" s="1" t="s">
        <v>44</v>
      </c>
      <c r="G1633" s="1" t="s">
        <v>56</v>
      </c>
      <c r="H1633" s="1" t="s">
        <v>28</v>
      </c>
      <c r="I1633" s="1" t="s">
        <v>59</v>
      </c>
      <c r="J1633" s="7">
        <v>81192</v>
      </c>
      <c r="K1633" s="1">
        <v>400</v>
      </c>
      <c r="L1633" s="7">
        <v>31216</v>
      </c>
      <c r="M1633" s="1">
        <v>12</v>
      </c>
      <c r="N1633" s="6">
        <v>0.183</v>
      </c>
      <c r="O1633" s="1" t="s">
        <v>63</v>
      </c>
      <c r="P1633" s="1" t="s">
        <v>30</v>
      </c>
      <c r="Q1633" s="1">
        <v>10</v>
      </c>
      <c r="R1633" s="1">
        <v>3</v>
      </c>
      <c r="S1633" s="1" t="s">
        <v>31</v>
      </c>
      <c r="T1633" s="1" t="s">
        <v>33</v>
      </c>
      <c r="U1633" s="1">
        <v>1</v>
      </c>
      <c r="V1633" s="1">
        <v>183758</v>
      </c>
      <c r="W1633" s="7">
        <v>1194.31</v>
      </c>
      <c r="X1633" s="1">
        <v>0.33</v>
      </c>
      <c r="Y1633" s="4">
        <v>45650</v>
      </c>
      <c r="Z1633" s="1" t="s">
        <v>38</v>
      </c>
      <c r="AA1633" s="1" t="s">
        <v>33</v>
      </c>
      <c r="AB1633" s="36" t="str" cm="1">
        <f t="array" ref="AB1633">_xlfn.IFS(K1633&gt;650,"LOW",K1633&gt;=550,"MEDIUM",K1633&lt;550,"HIGH")</f>
        <v>HIGH</v>
      </c>
    </row>
    <row r="1634" spans="3:28" x14ac:dyDescent="0.3">
      <c r="C1634" s="35" t="s">
        <v>2690</v>
      </c>
      <c r="D1634" s="1" t="s">
        <v>720</v>
      </c>
      <c r="E1634" s="1">
        <v>38</v>
      </c>
      <c r="F1634" s="1" t="s">
        <v>44</v>
      </c>
      <c r="G1634" s="1" t="s">
        <v>35</v>
      </c>
      <c r="H1634" s="1" t="s">
        <v>36</v>
      </c>
      <c r="I1634" s="1" t="s">
        <v>40</v>
      </c>
      <c r="J1634" s="7">
        <v>147006</v>
      </c>
      <c r="K1634" s="1">
        <v>400</v>
      </c>
      <c r="L1634" s="7">
        <v>41617</v>
      </c>
      <c r="M1634" s="1">
        <v>36</v>
      </c>
      <c r="N1634" s="6">
        <v>0.159</v>
      </c>
      <c r="O1634" s="1" t="s">
        <v>37</v>
      </c>
      <c r="P1634" s="1" t="s">
        <v>47</v>
      </c>
      <c r="Q1634" s="1">
        <v>1</v>
      </c>
      <c r="R1634" s="1">
        <v>4</v>
      </c>
      <c r="S1634" s="1" t="s">
        <v>33</v>
      </c>
      <c r="T1634" s="1" t="s">
        <v>33</v>
      </c>
      <c r="U1634" s="1">
        <v>1</v>
      </c>
      <c r="V1634" s="1">
        <v>135816</v>
      </c>
      <c r="W1634" s="7">
        <v>617.24</v>
      </c>
      <c r="X1634" s="1">
        <v>0.56000000000000005</v>
      </c>
      <c r="Y1634" s="4">
        <v>45734</v>
      </c>
      <c r="Z1634" s="1" t="s">
        <v>38</v>
      </c>
      <c r="AA1634" s="1" t="s">
        <v>33</v>
      </c>
      <c r="AB1634" s="36" t="str" cm="1">
        <f t="array" ref="AB1634">_xlfn.IFS(K1634&gt;650,"LOW",K1634&gt;=550,"MEDIUM",K1634&lt;550,"HIGH")</f>
        <v>HIGH</v>
      </c>
    </row>
    <row r="1635" spans="3:28" x14ac:dyDescent="0.3">
      <c r="C1635" s="35" t="s">
        <v>3376</v>
      </c>
      <c r="D1635" s="1" t="s">
        <v>1397</v>
      </c>
      <c r="E1635" s="1">
        <v>35</v>
      </c>
      <c r="F1635" s="1" t="s">
        <v>26</v>
      </c>
      <c r="G1635" s="1" t="s">
        <v>35</v>
      </c>
      <c r="H1635" s="1" t="s">
        <v>54</v>
      </c>
      <c r="I1635" s="1" t="s">
        <v>40</v>
      </c>
      <c r="J1635" s="7">
        <v>127779</v>
      </c>
      <c r="K1635" s="1">
        <v>400</v>
      </c>
      <c r="L1635" s="7">
        <v>42552</v>
      </c>
      <c r="M1635" s="1">
        <v>12</v>
      </c>
      <c r="N1635" s="6">
        <v>5.0799999999999998E-2</v>
      </c>
      <c r="O1635" s="1" t="s">
        <v>41</v>
      </c>
      <c r="P1635" s="1" t="s">
        <v>47</v>
      </c>
      <c r="Q1635" s="1">
        <v>21</v>
      </c>
      <c r="R1635" s="1">
        <v>3</v>
      </c>
      <c r="S1635" s="1" t="s">
        <v>31</v>
      </c>
      <c r="T1635" s="1" t="s">
        <v>33</v>
      </c>
      <c r="U1635" s="1">
        <v>4</v>
      </c>
      <c r="V1635" s="1">
        <v>102132</v>
      </c>
      <c r="W1635" s="7">
        <v>311.89</v>
      </c>
      <c r="X1635" s="1">
        <v>0.31</v>
      </c>
      <c r="Y1635" s="4">
        <v>44651</v>
      </c>
      <c r="Z1635" s="1" t="s">
        <v>32</v>
      </c>
      <c r="AA1635" s="1" t="s">
        <v>33</v>
      </c>
      <c r="AB1635" s="36" t="str" cm="1">
        <f t="array" ref="AB1635">_xlfn.IFS(K1635&gt;650,"LOW",K1635&gt;=550,"MEDIUM",K1635&lt;550,"HIGH")</f>
        <v>HIGH</v>
      </c>
    </row>
    <row r="1636" spans="3:28" x14ac:dyDescent="0.3">
      <c r="C1636" s="35" t="s">
        <v>3494</v>
      </c>
      <c r="D1636" s="1" t="s">
        <v>1511</v>
      </c>
      <c r="E1636" s="1">
        <v>43</v>
      </c>
      <c r="F1636" s="1" t="s">
        <v>26</v>
      </c>
      <c r="G1636" s="1" t="s">
        <v>27</v>
      </c>
      <c r="H1636" s="1" t="s">
        <v>28</v>
      </c>
      <c r="I1636" s="1" t="s">
        <v>40</v>
      </c>
      <c r="J1636" s="7">
        <v>80926</v>
      </c>
      <c r="K1636" s="1">
        <v>400</v>
      </c>
      <c r="L1636" s="7">
        <v>43864</v>
      </c>
      <c r="M1636" s="1">
        <v>24</v>
      </c>
      <c r="N1636" s="6">
        <v>6.7599999999999993E-2</v>
      </c>
      <c r="O1636" s="1" t="s">
        <v>52</v>
      </c>
      <c r="P1636" s="1" t="s">
        <v>30</v>
      </c>
      <c r="Q1636" s="1">
        <v>26</v>
      </c>
      <c r="R1636" s="1">
        <v>0</v>
      </c>
      <c r="S1636" s="1" t="s">
        <v>33</v>
      </c>
      <c r="T1636" s="1" t="s">
        <v>33</v>
      </c>
      <c r="U1636" s="1">
        <v>2</v>
      </c>
      <c r="V1636" s="1">
        <v>39986</v>
      </c>
      <c r="W1636" s="7">
        <v>1299.94</v>
      </c>
      <c r="X1636" s="1">
        <v>0.12</v>
      </c>
      <c r="Y1636" s="4">
        <v>44144</v>
      </c>
      <c r="Z1636" s="1" t="s">
        <v>38</v>
      </c>
      <c r="AA1636" s="1" t="s">
        <v>33</v>
      </c>
      <c r="AB1636" s="36" t="str" cm="1">
        <f t="array" ref="AB1636">_xlfn.IFS(K1636&gt;650,"LOW",K1636&gt;=550,"MEDIUM",K1636&lt;550,"HIGH")</f>
        <v>HIGH</v>
      </c>
    </row>
    <row r="1637" spans="3:28" x14ac:dyDescent="0.3">
      <c r="C1637" s="35" t="s">
        <v>3013</v>
      </c>
      <c r="D1637" s="1" t="s">
        <v>1040</v>
      </c>
      <c r="E1637" s="1">
        <v>45</v>
      </c>
      <c r="F1637" s="1" t="s">
        <v>26</v>
      </c>
      <c r="G1637" s="1" t="s">
        <v>56</v>
      </c>
      <c r="H1637" s="1" t="s">
        <v>61</v>
      </c>
      <c r="I1637" s="1" t="s">
        <v>57</v>
      </c>
      <c r="J1637" s="7">
        <v>94400</v>
      </c>
      <c r="K1637" s="1">
        <v>399</v>
      </c>
      <c r="L1637" s="7">
        <v>37210</v>
      </c>
      <c r="M1637" s="1">
        <v>60</v>
      </c>
      <c r="N1637" s="6">
        <v>0.1797</v>
      </c>
      <c r="O1637" s="1" t="s">
        <v>46</v>
      </c>
      <c r="P1637" s="1" t="s">
        <v>47</v>
      </c>
      <c r="Q1637" s="1">
        <v>22</v>
      </c>
      <c r="R1637" s="1">
        <v>2</v>
      </c>
      <c r="S1637" s="1" t="s">
        <v>33</v>
      </c>
      <c r="T1637" s="1" t="s">
        <v>33</v>
      </c>
      <c r="U1637" s="1">
        <v>2</v>
      </c>
      <c r="V1637" s="1">
        <v>182974</v>
      </c>
      <c r="W1637" s="7">
        <v>697.59</v>
      </c>
      <c r="X1637" s="1">
        <v>0.3</v>
      </c>
      <c r="Y1637" s="4">
        <v>44281</v>
      </c>
      <c r="Z1637" s="1" t="s">
        <v>38</v>
      </c>
      <c r="AA1637" s="1" t="s">
        <v>33</v>
      </c>
      <c r="AB1637" s="36" t="str" cm="1">
        <f t="array" ref="AB1637">_xlfn.IFS(K1637&gt;650,"LOW",K1637&gt;=550,"MEDIUM",K1637&lt;550,"HIGH")</f>
        <v>HIGH</v>
      </c>
    </row>
    <row r="1638" spans="3:28" x14ac:dyDescent="0.3">
      <c r="C1638" s="35" t="s">
        <v>2343</v>
      </c>
      <c r="D1638" s="1" t="s">
        <v>374</v>
      </c>
      <c r="E1638" s="1">
        <v>26</v>
      </c>
      <c r="F1638" s="1" t="s">
        <v>26</v>
      </c>
      <c r="G1638" s="1" t="s">
        <v>27</v>
      </c>
      <c r="H1638" s="1" t="s">
        <v>61</v>
      </c>
      <c r="I1638" s="1" t="s">
        <v>57</v>
      </c>
      <c r="J1638" s="7">
        <v>96000</v>
      </c>
      <c r="K1638" s="1">
        <v>398</v>
      </c>
      <c r="L1638" s="7">
        <v>6703</v>
      </c>
      <c r="M1638" s="1">
        <v>48</v>
      </c>
      <c r="N1638" s="6">
        <v>0.13919999999999999</v>
      </c>
      <c r="O1638" s="1" t="s">
        <v>63</v>
      </c>
      <c r="P1638" s="1" t="s">
        <v>50</v>
      </c>
      <c r="Q1638" s="1">
        <v>18</v>
      </c>
      <c r="R1638" s="1">
        <v>3</v>
      </c>
      <c r="S1638" s="1" t="s">
        <v>31</v>
      </c>
      <c r="T1638" s="1" t="s">
        <v>33</v>
      </c>
      <c r="U1638" s="1">
        <v>3</v>
      </c>
      <c r="V1638" s="1">
        <v>196566</v>
      </c>
      <c r="W1638" s="7">
        <v>931.68</v>
      </c>
      <c r="X1638" s="1">
        <v>0.63</v>
      </c>
      <c r="Y1638" s="4">
        <v>44946</v>
      </c>
      <c r="Z1638" s="1" t="s">
        <v>32</v>
      </c>
      <c r="AA1638" s="1" t="s">
        <v>31</v>
      </c>
      <c r="AB1638" s="36" t="str" cm="1">
        <f t="array" ref="AB1638">_xlfn.IFS(K1638&gt;650,"LOW",K1638&gt;=550,"MEDIUM",K1638&lt;550,"HIGH")</f>
        <v>HIGH</v>
      </c>
    </row>
    <row r="1639" spans="3:28" x14ac:dyDescent="0.3">
      <c r="C1639" s="35" t="s">
        <v>2767</v>
      </c>
      <c r="D1639" s="1" t="s">
        <v>795</v>
      </c>
      <c r="E1639" s="1">
        <v>35</v>
      </c>
      <c r="F1639" s="1" t="s">
        <v>26</v>
      </c>
      <c r="G1639" s="1" t="s">
        <v>45</v>
      </c>
      <c r="H1639" s="1" t="s">
        <v>61</v>
      </c>
      <c r="I1639" s="1" t="s">
        <v>40</v>
      </c>
      <c r="J1639" s="7">
        <v>130463</v>
      </c>
      <c r="K1639" s="1">
        <v>398</v>
      </c>
      <c r="L1639" s="7">
        <v>16008</v>
      </c>
      <c r="M1639" s="1">
        <v>48</v>
      </c>
      <c r="N1639" s="6">
        <v>0.1447</v>
      </c>
      <c r="O1639" s="1" t="s">
        <v>41</v>
      </c>
      <c r="P1639" s="1" t="s">
        <v>30</v>
      </c>
      <c r="Q1639" s="1">
        <v>26</v>
      </c>
      <c r="R1639" s="1">
        <v>1</v>
      </c>
      <c r="S1639" s="1" t="s">
        <v>33</v>
      </c>
      <c r="T1639" s="1" t="s">
        <v>31</v>
      </c>
      <c r="U1639" s="1">
        <v>3</v>
      </c>
      <c r="V1639" s="1">
        <v>110756</v>
      </c>
      <c r="W1639" s="7">
        <v>152.44999999999999</v>
      </c>
      <c r="X1639" s="1">
        <v>0.31</v>
      </c>
      <c r="Y1639" s="4">
        <v>45201</v>
      </c>
      <c r="Z1639" s="1" t="s">
        <v>38</v>
      </c>
      <c r="AA1639" s="1" t="s">
        <v>33</v>
      </c>
      <c r="AB1639" s="36" t="str" cm="1">
        <f t="array" ref="AB1639">_xlfn.IFS(K1639&gt;650,"LOW",K1639&gt;=550,"MEDIUM",K1639&lt;550,"HIGH")</f>
        <v>HIGH</v>
      </c>
    </row>
    <row r="1640" spans="3:28" x14ac:dyDescent="0.3">
      <c r="C1640" s="35" t="s">
        <v>3778</v>
      </c>
      <c r="D1640" s="1" t="s">
        <v>1785</v>
      </c>
      <c r="E1640" s="1">
        <v>26</v>
      </c>
      <c r="F1640" s="1" t="s">
        <v>44</v>
      </c>
      <c r="G1640" s="1" t="s">
        <v>45</v>
      </c>
      <c r="H1640" s="1" t="s">
        <v>36</v>
      </c>
      <c r="I1640" s="1" t="s">
        <v>40</v>
      </c>
      <c r="J1640" s="7">
        <v>135150</v>
      </c>
      <c r="K1640" s="1">
        <v>398</v>
      </c>
      <c r="L1640" s="7">
        <v>30520</v>
      </c>
      <c r="M1640" s="1">
        <v>48</v>
      </c>
      <c r="N1640" s="6">
        <v>0.1011</v>
      </c>
      <c r="O1640" s="1" t="s">
        <v>41</v>
      </c>
      <c r="P1640" s="1" t="s">
        <v>30</v>
      </c>
      <c r="Q1640" s="1">
        <v>27</v>
      </c>
      <c r="R1640" s="1">
        <v>0</v>
      </c>
      <c r="S1640" s="1" t="s">
        <v>33</v>
      </c>
      <c r="T1640" s="1" t="s">
        <v>33</v>
      </c>
      <c r="U1640" s="1">
        <v>2</v>
      </c>
      <c r="V1640" s="1">
        <v>101101</v>
      </c>
      <c r="W1640" s="7">
        <v>1911.58</v>
      </c>
      <c r="X1640" s="1">
        <v>0.67</v>
      </c>
      <c r="Y1640" s="4">
        <v>44695</v>
      </c>
      <c r="Z1640" s="1" t="s">
        <v>32</v>
      </c>
      <c r="AA1640" s="1" t="s">
        <v>33</v>
      </c>
      <c r="AB1640" s="36" t="str" cm="1">
        <f t="array" ref="AB1640">_xlfn.IFS(K1640&gt;650,"LOW",K1640&gt;=550,"MEDIUM",K1640&lt;550,"HIGH")</f>
        <v>HIGH</v>
      </c>
    </row>
    <row r="1641" spans="3:28" x14ac:dyDescent="0.3">
      <c r="C1641" s="35" t="s">
        <v>3995</v>
      </c>
      <c r="D1641" s="1" t="s">
        <v>1995</v>
      </c>
      <c r="E1641" s="1">
        <v>48</v>
      </c>
      <c r="F1641" s="1" t="s">
        <v>44</v>
      </c>
      <c r="G1641" s="1" t="s">
        <v>45</v>
      </c>
      <c r="H1641" s="1" t="s">
        <v>54</v>
      </c>
      <c r="I1641" s="1" t="s">
        <v>40</v>
      </c>
      <c r="J1641" s="7">
        <v>67307</v>
      </c>
      <c r="K1641" s="1">
        <v>398</v>
      </c>
      <c r="L1641" s="7">
        <v>29231</v>
      </c>
      <c r="M1641" s="1">
        <v>60</v>
      </c>
      <c r="N1641" s="6">
        <v>0.13869999999999999</v>
      </c>
      <c r="O1641" s="1" t="s">
        <v>41</v>
      </c>
      <c r="P1641" s="1" t="s">
        <v>47</v>
      </c>
      <c r="Q1641" s="1">
        <v>10</v>
      </c>
      <c r="R1641" s="1">
        <v>3</v>
      </c>
      <c r="S1641" s="1" t="s">
        <v>33</v>
      </c>
      <c r="T1641" s="1" t="s">
        <v>31</v>
      </c>
      <c r="U1641" s="1">
        <v>0</v>
      </c>
      <c r="V1641" s="1">
        <v>36454</v>
      </c>
      <c r="W1641" s="7">
        <v>187.3</v>
      </c>
      <c r="X1641" s="1">
        <v>0.91</v>
      </c>
      <c r="Y1641" s="4">
        <v>44369</v>
      </c>
      <c r="Z1641" s="1" t="s">
        <v>38</v>
      </c>
      <c r="AA1641" s="1" t="s">
        <v>33</v>
      </c>
      <c r="AB1641" s="36" t="str" cm="1">
        <f t="array" ref="AB1641">_xlfn.IFS(K1641&gt;650,"LOW",K1641&gt;=550,"MEDIUM",K1641&lt;550,"HIGH")</f>
        <v>HIGH</v>
      </c>
    </row>
    <row r="1642" spans="3:28" x14ac:dyDescent="0.3">
      <c r="C1642" s="35" t="s">
        <v>3070</v>
      </c>
      <c r="D1642" s="1" t="s">
        <v>1096</v>
      </c>
      <c r="E1642" s="1">
        <v>30</v>
      </c>
      <c r="F1642" s="1" t="s">
        <v>44</v>
      </c>
      <c r="G1642" s="1" t="s">
        <v>56</v>
      </c>
      <c r="H1642" s="1" t="s">
        <v>54</v>
      </c>
      <c r="I1642" s="1" t="s">
        <v>29</v>
      </c>
      <c r="J1642" s="7">
        <v>127724</v>
      </c>
      <c r="K1642" s="1">
        <v>396</v>
      </c>
      <c r="L1642" s="7">
        <v>20394</v>
      </c>
      <c r="M1642" s="1">
        <v>36</v>
      </c>
      <c r="N1642" s="6">
        <v>5.2300000000000006E-2</v>
      </c>
      <c r="O1642" s="1" t="s">
        <v>46</v>
      </c>
      <c r="P1642" s="1" t="s">
        <v>47</v>
      </c>
      <c r="Q1642" s="1">
        <v>7</v>
      </c>
      <c r="R1642" s="1">
        <v>0</v>
      </c>
      <c r="S1642" s="1" t="s">
        <v>33</v>
      </c>
      <c r="T1642" s="1" t="s">
        <v>31</v>
      </c>
      <c r="U1642" s="1">
        <v>2</v>
      </c>
      <c r="V1642" s="1">
        <v>115532</v>
      </c>
      <c r="W1642" s="7">
        <v>1129.55</v>
      </c>
      <c r="X1642" s="1">
        <v>0.15</v>
      </c>
      <c r="Y1642" s="4">
        <v>45802</v>
      </c>
      <c r="Z1642" s="1" t="s">
        <v>38</v>
      </c>
      <c r="AA1642" s="1" t="s">
        <v>33</v>
      </c>
      <c r="AB1642" s="36" t="str" cm="1">
        <f t="array" ref="AB1642">_xlfn.IFS(K1642&gt;650,"LOW",K1642&gt;=550,"MEDIUM",K1642&lt;550,"HIGH")</f>
        <v>HIGH</v>
      </c>
    </row>
    <row r="1643" spans="3:28" x14ac:dyDescent="0.3">
      <c r="C1643" s="35" t="s">
        <v>3162</v>
      </c>
      <c r="D1643" s="1" t="s">
        <v>1186</v>
      </c>
      <c r="E1643" s="1">
        <v>50</v>
      </c>
      <c r="F1643" s="1" t="s">
        <v>44</v>
      </c>
      <c r="G1643" s="1" t="s">
        <v>45</v>
      </c>
      <c r="H1643" s="1" t="s">
        <v>36</v>
      </c>
      <c r="I1643" s="1" t="s">
        <v>59</v>
      </c>
      <c r="J1643" s="7">
        <v>59500</v>
      </c>
      <c r="K1643" s="1">
        <v>396</v>
      </c>
      <c r="L1643" s="7">
        <v>13207</v>
      </c>
      <c r="M1643" s="1">
        <v>48</v>
      </c>
      <c r="N1643" s="6">
        <v>0.17430000000000001</v>
      </c>
      <c r="O1643" s="1" t="s">
        <v>5</v>
      </c>
      <c r="P1643" s="1" t="s">
        <v>47</v>
      </c>
      <c r="Q1643" s="1">
        <v>12</v>
      </c>
      <c r="R1643" s="1">
        <v>4</v>
      </c>
      <c r="S1643" s="1" t="s">
        <v>31</v>
      </c>
      <c r="T1643" s="1" t="s">
        <v>31</v>
      </c>
      <c r="U1643" s="1">
        <v>1</v>
      </c>
      <c r="V1643" s="1">
        <v>40983</v>
      </c>
      <c r="W1643" s="7">
        <v>1741.04</v>
      </c>
      <c r="X1643" s="1">
        <v>0.86</v>
      </c>
      <c r="Y1643" s="4">
        <v>44263</v>
      </c>
      <c r="Z1643" s="1" t="s">
        <v>32</v>
      </c>
      <c r="AA1643" s="1" t="s">
        <v>33</v>
      </c>
      <c r="AB1643" s="36" t="str" cm="1">
        <f t="array" ref="AB1643">_xlfn.IFS(K1643&gt;650,"LOW",K1643&gt;=550,"MEDIUM",K1643&lt;550,"HIGH")</f>
        <v>HIGH</v>
      </c>
    </row>
    <row r="1644" spans="3:28" x14ac:dyDescent="0.3">
      <c r="C1644" s="35" t="s">
        <v>3702</v>
      </c>
      <c r="D1644" s="1" t="s">
        <v>1713</v>
      </c>
      <c r="E1644" s="1">
        <v>49</v>
      </c>
      <c r="F1644" s="1" t="s">
        <v>44</v>
      </c>
      <c r="G1644" s="1" t="s">
        <v>56</v>
      </c>
      <c r="H1644" s="1" t="s">
        <v>61</v>
      </c>
      <c r="I1644" s="1" t="s">
        <v>59</v>
      </c>
      <c r="J1644" s="7">
        <v>143568</v>
      </c>
      <c r="K1644" s="1">
        <v>396</v>
      </c>
      <c r="L1644" s="7">
        <v>10695</v>
      </c>
      <c r="M1644" s="1">
        <v>48</v>
      </c>
      <c r="N1644" s="6">
        <v>0.16600000000000001</v>
      </c>
      <c r="O1644" s="1" t="s">
        <v>37</v>
      </c>
      <c r="P1644" s="1" t="s">
        <v>47</v>
      </c>
      <c r="Q1644" s="1">
        <v>18</v>
      </c>
      <c r="R1644" s="1">
        <v>4</v>
      </c>
      <c r="S1644" s="1" t="s">
        <v>33</v>
      </c>
      <c r="T1644" s="1" t="s">
        <v>33</v>
      </c>
      <c r="U1644" s="1">
        <v>3</v>
      </c>
      <c r="V1644" s="1">
        <v>23925</v>
      </c>
      <c r="W1644" s="7">
        <v>1727.95</v>
      </c>
      <c r="X1644" s="1">
        <v>0.4</v>
      </c>
      <c r="Y1644" s="4">
        <v>44344</v>
      </c>
      <c r="Z1644" s="1" t="s">
        <v>32</v>
      </c>
      <c r="AA1644" s="1" t="s">
        <v>33</v>
      </c>
      <c r="AB1644" s="36" t="str" cm="1">
        <f t="array" ref="AB1644">_xlfn.IFS(K1644&gt;650,"LOW",K1644&gt;=550,"MEDIUM",K1644&lt;550,"HIGH")</f>
        <v>HIGH</v>
      </c>
    </row>
    <row r="1645" spans="3:28" x14ac:dyDescent="0.3">
      <c r="C1645" s="35" t="s">
        <v>2423</v>
      </c>
      <c r="D1645" s="1" t="s">
        <v>453</v>
      </c>
      <c r="E1645" s="1">
        <v>62</v>
      </c>
      <c r="F1645" s="1" t="s">
        <v>44</v>
      </c>
      <c r="G1645" s="1" t="s">
        <v>56</v>
      </c>
      <c r="H1645" s="1" t="s">
        <v>61</v>
      </c>
      <c r="I1645" s="1" t="s">
        <v>29</v>
      </c>
      <c r="J1645" s="7">
        <v>60857</v>
      </c>
      <c r="K1645" s="1">
        <v>395</v>
      </c>
      <c r="L1645" s="7">
        <v>41985</v>
      </c>
      <c r="M1645" s="1">
        <v>48</v>
      </c>
      <c r="N1645" s="6">
        <v>0.16089999999999999</v>
      </c>
      <c r="O1645" s="1" t="s">
        <v>37</v>
      </c>
      <c r="P1645" s="1" t="s">
        <v>50</v>
      </c>
      <c r="Q1645" s="1">
        <v>9</v>
      </c>
      <c r="R1645" s="1">
        <v>1</v>
      </c>
      <c r="S1645" s="1" t="s">
        <v>31</v>
      </c>
      <c r="T1645" s="1" t="s">
        <v>31</v>
      </c>
      <c r="U1645" s="1">
        <v>4</v>
      </c>
      <c r="V1645" s="1">
        <v>120525</v>
      </c>
      <c r="W1645" s="7">
        <v>1730.26</v>
      </c>
      <c r="X1645" s="1">
        <v>0.56000000000000005</v>
      </c>
      <c r="Y1645" s="4">
        <v>45831</v>
      </c>
      <c r="Z1645" s="1" t="s">
        <v>32</v>
      </c>
      <c r="AA1645" s="1" t="s">
        <v>33</v>
      </c>
      <c r="AB1645" s="36" t="str" cm="1">
        <f t="array" ref="AB1645">_xlfn.IFS(K1645&gt;650,"LOW",K1645&gt;=550,"MEDIUM",K1645&lt;550,"HIGH")</f>
        <v>HIGH</v>
      </c>
    </row>
    <row r="1646" spans="3:28" x14ac:dyDescent="0.3">
      <c r="C1646" s="35" t="s">
        <v>2720</v>
      </c>
      <c r="D1646" s="1" t="s">
        <v>750</v>
      </c>
      <c r="E1646" s="1">
        <v>58</v>
      </c>
      <c r="F1646" s="1" t="s">
        <v>44</v>
      </c>
      <c r="G1646" s="1" t="s">
        <v>27</v>
      </c>
      <c r="H1646" s="1" t="s">
        <v>28</v>
      </c>
      <c r="I1646" s="1" t="s">
        <v>40</v>
      </c>
      <c r="J1646" s="7">
        <v>69464</v>
      </c>
      <c r="K1646" s="1">
        <v>395</v>
      </c>
      <c r="L1646" s="7">
        <v>31666</v>
      </c>
      <c r="M1646" s="1">
        <v>36</v>
      </c>
      <c r="N1646" s="6">
        <v>8.0199999999999994E-2</v>
      </c>
      <c r="O1646" s="1" t="s">
        <v>41</v>
      </c>
      <c r="P1646" s="1" t="s">
        <v>30</v>
      </c>
      <c r="Q1646" s="1">
        <v>12</v>
      </c>
      <c r="R1646" s="1">
        <v>0</v>
      </c>
      <c r="S1646" s="1" t="s">
        <v>33</v>
      </c>
      <c r="T1646" s="1" t="s">
        <v>31</v>
      </c>
      <c r="U1646" s="1">
        <v>0</v>
      </c>
      <c r="V1646" s="1">
        <v>10301</v>
      </c>
      <c r="W1646" s="7">
        <v>211.42</v>
      </c>
      <c r="X1646" s="1">
        <v>0.24</v>
      </c>
      <c r="Y1646" s="4">
        <v>44149</v>
      </c>
      <c r="Z1646" s="1" t="s">
        <v>38</v>
      </c>
      <c r="AA1646" s="1" t="s">
        <v>33</v>
      </c>
      <c r="AB1646" s="36" t="str" cm="1">
        <f t="array" ref="AB1646">_xlfn.IFS(K1646&gt;650,"LOW",K1646&gt;=550,"MEDIUM",K1646&lt;550,"HIGH")</f>
        <v>HIGH</v>
      </c>
    </row>
    <row r="1647" spans="3:28" x14ac:dyDescent="0.3">
      <c r="C1647" s="35" t="s">
        <v>3521</v>
      </c>
      <c r="D1647" s="1" t="s">
        <v>1538</v>
      </c>
      <c r="E1647" s="1">
        <v>45</v>
      </c>
      <c r="F1647" s="1" t="s">
        <v>44</v>
      </c>
      <c r="G1647" s="1" t="s">
        <v>45</v>
      </c>
      <c r="H1647" s="1" t="s">
        <v>54</v>
      </c>
      <c r="I1647" s="1" t="s">
        <v>59</v>
      </c>
      <c r="J1647" s="7">
        <v>20834</v>
      </c>
      <c r="K1647" s="1">
        <v>395</v>
      </c>
      <c r="L1647" s="7">
        <v>26957</v>
      </c>
      <c r="M1647" s="1">
        <v>24</v>
      </c>
      <c r="N1647" s="6">
        <v>6.08E-2</v>
      </c>
      <c r="O1647" s="1" t="s">
        <v>37</v>
      </c>
      <c r="P1647" s="1" t="s">
        <v>50</v>
      </c>
      <c r="Q1647" s="1">
        <v>15</v>
      </c>
      <c r="R1647" s="1">
        <v>4</v>
      </c>
      <c r="S1647" s="1" t="s">
        <v>33</v>
      </c>
      <c r="T1647" s="1" t="s">
        <v>33</v>
      </c>
      <c r="U1647" s="1">
        <v>2</v>
      </c>
      <c r="V1647" s="1">
        <v>186252</v>
      </c>
      <c r="W1647" s="7">
        <v>1794.25</v>
      </c>
      <c r="X1647" s="1">
        <v>0.31</v>
      </c>
      <c r="Y1647" s="4">
        <v>44082</v>
      </c>
      <c r="Z1647" s="1" t="s">
        <v>32</v>
      </c>
      <c r="AA1647" s="1" t="s">
        <v>31</v>
      </c>
      <c r="AB1647" s="36" t="str" cm="1">
        <f t="array" ref="AB1647">_xlfn.IFS(K1647&gt;650,"LOW",K1647&gt;=550,"MEDIUM",K1647&lt;550,"HIGH")</f>
        <v>HIGH</v>
      </c>
    </row>
    <row r="1648" spans="3:28" x14ac:dyDescent="0.3">
      <c r="C1648" s="35" t="s">
        <v>3187</v>
      </c>
      <c r="D1648" s="1" t="s">
        <v>1211</v>
      </c>
      <c r="E1648" s="1">
        <v>53</v>
      </c>
      <c r="F1648" s="1" t="s">
        <v>26</v>
      </c>
      <c r="G1648" s="1" t="s">
        <v>56</v>
      </c>
      <c r="H1648" s="1" t="s">
        <v>61</v>
      </c>
      <c r="I1648" s="1" t="s">
        <v>40</v>
      </c>
      <c r="J1648" s="7">
        <v>143721</v>
      </c>
      <c r="K1648" s="1">
        <v>394</v>
      </c>
      <c r="L1648" s="7">
        <v>20739</v>
      </c>
      <c r="M1648" s="1">
        <v>36</v>
      </c>
      <c r="N1648" s="6">
        <v>0.11269999999999999</v>
      </c>
      <c r="O1648" s="1" t="s">
        <v>5</v>
      </c>
      <c r="P1648" s="1" t="s">
        <v>50</v>
      </c>
      <c r="Q1648" s="1">
        <v>4</v>
      </c>
      <c r="R1648" s="1">
        <v>1</v>
      </c>
      <c r="S1648" s="1" t="s">
        <v>33</v>
      </c>
      <c r="T1648" s="1" t="s">
        <v>33</v>
      </c>
      <c r="U1648" s="1">
        <v>0</v>
      </c>
      <c r="V1648" s="1">
        <v>96636</v>
      </c>
      <c r="W1648" s="7">
        <v>1024.78</v>
      </c>
      <c r="X1648" s="1">
        <v>0.6</v>
      </c>
      <c r="Y1648" s="4">
        <v>44226</v>
      </c>
      <c r="Z1648" s="1" t="s">
        <v>38</v>
      </c>
      <c r="AA1648" s="1" t="s">
        <v>33</v>
      </c>
      <c r="AB1648" s="36" t="str" cm="1">
        <f t="array" ref="AB1648">_xlfn.IFS(K1648&gt;650,"LOW",K1648&gt;=550,"MEDIUM",K1648&lt;550,"HIGH")</f>
        <v>HIGH</v>
      </c>
    </row>
    <row r="1649" spans="3:28" x14ac:dyDescent="0.3">
      <c r="C1649" s="35" t="s">
        <v>3237</v>
      </c>
      <c r="D1649" s="1" t="s">
        <v>1261</v>
      </c>
      <c r="E1649" s="1">
        <v>43</v>
      </c>
      <c r="F1649" s="1" t="s">
        <v>26</v>
      </c>
      <c r="G1649" s="1" t="s">
        <v>27</v>
      </c>
      <c r="H1649" s="1" t="s">
        <v>36</v>
      </c>
      <c r="I1649" s="1" t="s">
        <v>59</v>
      </c>
      <c r="J1649" s="7">
        <v>127620</v>
      </c>
      <c r="K1649" s="1">
        <v>394</v>
      </c>
      <c r="L1649" s="7">
        <v>5179</v>
      </c>
      <c r="M1649" s="1">
        <v>60</v>
      </c>
      <c r="N1649" s="6">
        <v>0.1202</v>
      </c>
      <c r="O1649" s="1" t="s">
        <v>37</v>
      </c>
      <c r="P1649" s="1" t="s">
        <v>30</v>
      </c>
      <c r="Q1649" s="1">
        <v>12</v>
      </c>
      <c r="R1649" s="1">
        <v>4</v>
      </c>
      <c r="S1649" s="1" t="s">
        <v>33</v>
      </c>
      <c r="T1649" s="1" t="s">
        <v>33</v>
      </c>
      <c r="U1649" s="1">
        <v>4</v>
      </c>
      <c r="V1649" s="1">
        <v>67854</v>
      </c>
      <c r="W1649" s="7">
        <v>1917.9</v>
      </c>
      <c r="X1649" s="1">
        <v>0.84</v>
      </c>
      <c r="Y1649" s="4">
        <v>44260</v>
      </c>
      <c r="Z1649" s="1" t="s">
        <v>32</v>
      </c>
      <c r="AA1649" s="1" t="s">
        <v>33</v>
      </c>
      <c r="AB1649" s="36" t="str" cm="1">
        <f t="array" ref="AB1649">_xlfn.IFS(K1649&gt;650,"LOW",K1649&gt;=550,"MEDIUM",K1649&lt;550,"HIGH")</f>
        <v>HIGH</v>
      </c>
    </row>
    <row r="1650" spans="3:28" x14ac:dyDescent="0.3">
      <c r="C1650" s="35" t="s">
        <v>3566</v>
      </c>
      <c r="D1650" s="1" t="s">
        <v>1583</v>
      </c>
      <c r="E1650" s="1">
        <v>45</v>
      </c>
      <c r="F1650" s="1" t="s">
        <v>44</v>
      </c>
      <c r="G1650" s="1" t="s">
        <v>27</v>
      </c>
      <c r="H1650" s="1" t="s">
        <v>61</v>
      </c>
      <c r="I1650" s="1" t="s">
        <v>59</v>
      </c>
      <c r="J1650" s="7">
        <v>145266</v>
      </c>
      <c r="K1650" s="1">
        <v>394</v>
      </c>
      <c r="L1650" s="7">
        <v>47229</v>
      </c>
      <c r="M1650" s="1">
        <v>36</v>
      </c>
      <c r="N1650" s="6">
        <v>0.13470000000000001</v>
      </c>
      <c r="O1650" s="1" t="s">
        <v>37</v>
      </c>
      <c r="P1650" s="1" t="s">
        <v>47</v>
      </c>
      <c r="Q1650" s="1">
        <v>27</v>
      </c>
      <c r="R1650" s="1">
        <v>2</v>
      </c>
      <c r="S1650" s="1" t="s">
        <v>33</v>
      </c>
      <c r="T1650" s="1" t="s">
        <v>31</v>
      </c>
      <c r="U1650" s="1">
        <v>0</v>
      </c>
      <c r="V1650" s="1">
        <v>183201</v>
      </c>
      <c r="W1650" s="7">
        <v>1999.35</v>
      </c>
      <c r="X1650" s="1">
        <v>0.21</v>
      </c>
      <c r="Y1650" s="4">
        <v>45529</v>
      </c>
      <c r="Z1650" s="1" t="s">
        <v>38</v>
      </c>
      <c r="AA1650" s="1" t="s">
        <v>31</v>
      </c>
      <c r="AB1650" s="36" t="str" cm="1">
        <f t="array" ref="AB1650">_xlfn.IFS(K1650&gt;650,"LOW",K1650&gt;=550,"MEDIUM",K1650&lt;550,"HIGH")</f>
        <v>HIGH</v>
      </c>
    </row>
    <row r="1651" spans="3:28" x14ac:dyDescent="0.3">
      <c r="C1651" s="35" t="s">
        <v>3604</v>
      </c>
      <c r="D1651" s="1" t="s">
        <v>1618</v>
      </c>
      <c r="E1651" s="1">
        <v>50</v>
      </c>
      <c r="F1651" s="1" t="s">
        <v>44</v>
      </c>
      <c r="G1651" s="1" t="s">
        <v>27</v>
      </c>
      <c r="H1651" s="1" t="s">
        <v>28</v>
      </c>
      <c r="I1651" s="1" t="s">
        <v>59</v>
      </c>
      <c r="J1651" s="7">
        <v>41630</v>
      </c>
      <c r="K1651" s="1">
        <v>394</v>
      </c>
      <c r="L1651" s="7">
        <v>21175</v>
      </c>
      <c r="M1651" s="1">
        <v>48</v>
      </c>
      <c r="N1651" s="6">
        <v>0.19570000000000001</v>
      </c>
      <c r="O1651" s="1" t="s">
        <v>5</v>
      </c>
      <c r="P1651" s="1" t="s">
        <v>30</v>
      </c>
      <c r="Q1651" s="1">
        <v>14</v>
      </c>
      <c r="R1651" s="1">
        <v>1</v>
      </c>
      <c r="S1651" s="1" t="s">
        <v>33</v>
      </c>
      <c r="T1651" s="1" t="s">
        <v>33</v>
      </c>
      <c r="U1651" s="1">
        <v>2</v>
      </c>
      <c r="V1651" s="1">
        <v>33292</v>
      </c>
      <c r="W1651" s="7">
        <v>1316.54</v>
      </c>
      <c r="X1651" s="1">
        <v>0.23</v>
      </c>
      <c r="Y1651" s="4">
        <v>44050</v>
      </c>
      <c r="Z1651" s="1" t="s">
        <v>32</v>
      </c>
      <c r="AA1651" s="1" t="s">
        <v>33</v>
      </c>
      <c r="AB1651" s="36" t="str" cm="1">
        <f t="array" ref="AB1651">_xlfn.IFS(K1651&gt;650,"LOW",K1651&gt;=550,"MEDIUM",K1651&lt;550,"HIGH")</f>
        <v>HIGH</v>
      </c>
    </row>
    <row r="1652" spans="3:28" x14ac:dyDescent="0.3">
      <c r="C1652" s="35" t="s">
        <v>3703</v>
      </c>
      <c r="D1652" s="1" t="s">
        <v>1714</v>
      </c>
      <c r="E1652" s="1">
        <v>64</v>
      </c>
      <c r="F1652" s="1" t="s">
        <v>26</v>
      </c>
      <c r="G1652" s="1" t="s">
        <v>35</v>
      </c>
      <c r="H1652" s="1" t="s">
        <v>28</v>
      </c>
      <c r="I1652" s="1" t="s">
        <v>40</v>
      </c>
      <c r="J1652" s="7">
        <v>147152</v>
      </c>
      <c r="K1652" s="1">
        <v>394</v>
      </c>
      <c r="L1652" s="7">
        <v>49582</v>
      </c>
      <c r="M1652" s="1">
        <v>12</v>
      </c>
      <c r="N1652" s="6">
        <v>6.3099999999999989E-2</v>
      </c>
      <c r="O1652" s="1" t="s">
        <v>46</v>
      </c>
      <c r="P1652" s="1" t="s">
        <v>50</v>
      </c>
      <c r="Q1652" s="1">
        <v>6</v>
      </c>
      <c r="R1652" s="1">
        <v>3</v>
      </c>
      <c r="S1652" s="1" t="s">
        <v>31</v>
      </c>
      <c r="T1652" s="1" t="s">
        <v>33</v>
      </c>
      <c r="U1652" s="1">
        <v>2</v>
      </c>
      <c r="V1652" s="1">
        <v>167348</v>
      </c>
      <c r="W1652" s="7">
        <v>373.33</v>
      </c>
      <c r="X1652" s="1">
        <v>0.97</v>
      </c>
      <c r="Y1652" s="4">
        <v>45461</v>
      </c>
      <c r="Z1652" s="1" t="s">
        <v>38</v>
      </c>
      <c r="AA1652" s="1" t="s">
        <v>33</v>
      </c>
      <c r="AB1652" s="36" t="str" cm="1">
        <f t="array" ref="AB1652">_xlfn.IFS(K1652&gt;650,"LOW",K1652&gt;=550,"MEDIUM",K1652&lt;550,"HIGH")</f>
        <v>HIGH</v>
      </c>
    </row>
    <row r="1653" spans="3:28" x14ac:dyDescent="0.3">
      <c r="C1653" s="35" t="s">
        <v>3787</v>
      </c>
      <c r="D1653" s="1" t="s">
        <v>1793</v>
      </c>
      <c r="E1653" s="1">
        <v>28</v>
      </c>
      <c r="F1653" s="1" t="s">
        <v>26</v>
      </c>
      <c r="G1653" s="1" t="s">
        <v>27</v>
      </c>
      <c r="H1653" s="1" t="s">
        <v>36</v>
      </c>
      <c r="I1653" s="1" t="s">
        <v>57</v>
      </c>
      <c r="J1653" s="7">
        <v>27903</v>
      </c>
      <c r="K1653" s="1">
        <v>394</v>
      </c>
      <c r="L1653" s="7">
        <v>15988</v>
      </c>
      <c r="M1653" s="1">
        <v>48</v>
      </c>
      <c r="N1653" s="6">
        <v>0.17249999999999999</v>
      </c>
      <c r="O1653" s="1" t="s">
        <v>46</v>
      </c>
      <c r="P1653" s="1" t="s">
        <v>30</v>
      </c>
      <c r="Q1653" s="1">
        <v>22</v>
      </c>
      <c r="R1653" s="1">
        <v>3</v>
      </c>
      <c r="S1653" s="1" t="s">
        <v>33</v>
      </c>
      <c r="T1653" s="1" t="s">
        <v>31</v>
      </c>
      <c r="U1653" s="1">
        <v>3</v>
      </c>
      <c r="V1653" s="1">
        <v>149387</v>
      </c>
      <c r="W1653" s="7">
        <v>872.99</v>
      </c>
      <c r="X1653" s="1">
        <v>0.13</v>
      </c>
      <c r="Y1653" s="4">
        <v>44302</v>
      </c>
      <c r="Z1653" s="1" t="s">
        <v>32</v>
      </c>
      <c r="AA1653" s="1" t="s">
        <v>33</v>
      </c>
      <c r="AB1653" s="36" t="str" cm="1">
        <f t="array" ref="AB1653">_xlfn.IFS(K1653&gt;650,"LOW",K1653&gt;=550,"MEDIUM",K1653&lt;550,"HIGH")</f>
        <v>HIGH</v>
      </c>
    </row>
    <row r="1654" spans="3:28" x14ac:dyDescent="0.3">
      <c r="C1654" s="35" t="s">
        <v>3904</v>
      </c>
      <c r="D1654" s="1" t="s">
        <v>1908</v>
      </c>
      <c r="E1654" s="1">
        <v>49</v>
      </c>
      <c r="F1654" s="1" t="s">
        <v>44</v>
      </c>
      <c r="G1654" s="1" t="s">
        <v>45</v>
      </c>
      <c r="H1654" s="1" t="s">
        <v>61</v>
      </c>
      <c r="I1654" s="1" t="s">
        <v>59</v>
      </c>
      <c r="J1654" s="7">
        <v>75991</v>
      </c>
      <c r="K1654" s="1">
        <v>394</v>
      </c>
      <c r="L1654" s="7">
        <v>6681</v>
      </c>
      <c r="M1654" s="1">
        <v>24</v>
      </c>
      <c r="N1654" s="6">
        <v>0.13150000000000001</v>
      </c>
      <c r="O1654" s="1" t="s">
        <v>5</v>
      </c>
      <c r="P1654" s="1" t="s">
        <v>50</v>
      </c>
      <c r="Q1654" s="1">
        <v>11</v>
      </c>
      <c r="R1654" s="1">
        <v>0</v>
      </c>
      <c r="S1654" s="1" t="s">
        <v>33</v>
      </c>
      <c r="T1654" s="1" t="s">
        <v>33</v>
      </c>
      <c r="U1654" s="1">
        <v>0</v>
      </c>
      <c r="V1654" s="1">
        <v>71096</v>
      </c>
      <c r="W1654" s="7">
        <v>766.09</v>
      </c>
      <c r="X1654" s="1">
        <v>0.36</v>
      </c>
      <c r="Y1654" s="4">
        <v>44520</v>
      </c>
      <c r="Z1654" s="1" t="s">
        <v>38</v>
      </c>
      <c r="AA1654" s="1" t="s">
        <v>33</v>
      </c>
      <c r="AB1654" s="36" t="str" cm="1">
        <f t="array" ref="AB1654">_xlfn.IFS(K1654&gt;650,"LOW",K1654&gt;=550,"MEDIUM",K1654&lt;550,"HIGH")</f>
        <v>HIGH</v>
      </c>
    </row>
    <row r="1655" spans="3:28" x14ac:dyDescent="0.3">
      <c r="C1655" s="35" t="s">
        <v>2029</v>
      </c>
      <c r="D1655" s="1" t="s">
        <v>55</v>
      </c>
      <c r="E1655" s="1">
        <v>31</v>
      </c>
      <c r="F1655" s="1" t="s">
        <v>26</v>
      </c>
      <c r="G1655" s="1" t="s">
        <v>56</v>
      </c>
      <c r="H1655" s="1" t="s">
        <v>28</v>
      </c>
      <c r="I1655" s="1" t="s">
        <v>57</v>
      </c>
      <c r="J1655" s="7">
        <v>83044</v>
      </c>
      <c r="K1655" s="1">
        <v>393</v>
      </c>
      <c r="L1655" s="7">
        <v>18732</v>
      </c>
      <c r="M1655" s="1">
        <v>12</v>
      </c>
      <c r="N1655" s="6">
        <v>0.1986</v>
      </c>
      <c r="O1655" s="1" t="s">
        <v>46</v>
      </c>
      <c r="P1655" s="1" t="s">
        <v>47</v>
      </c>
      <c r="Q1655" s="1">
        <v>9</v>
      </c>
      <c r="R1655" s="1">
        <v>1</v>
      </c>
      <c r="S1655" s="1" t="s">
        <v>33</v>
      </c>
      <c r="T1655" s="1" t="s">
        <v>31</v>
      </c>
      <c r="U1655" s="1">
        <v>1</v>
      </c>
      <c r="V1655" s="1">
        <v>147662</v>
      </c>
      <c r="W1655" s="7">
        <v>1911.56</v>
      </c>
      <c r="X1655" s="1">
        <v>0.5</v>
      </c>
      <c r="Y1655" s="4">
        <v>45324</v>
      </c>
      <c r="Z1655" s="1" t="s">
        <v>32</v>
      </c>
      <c r="AA1655" s="1" t="s">
        <v>33</v>
      </c>
      <c r="AB1655" s="36" t="str" cm="1">
        <f t="array" ref="AB1655">_xlfn.IFS(K1655&gt;650,"LOW",K1655&gt;=550,"MEDIUM",K1655&lt;550,"HIGH")</f>
        <v>HIGH</v>
      </c>
    </row>
    <row r="1656" spans="3:28" x14ac:dyDescent="0.3">
      <c r="C1656" s="35" t="s">
        <v>2471</v>
      </c>
      <c r="D1656" s="1" t="s">
        <v>501</v>
      </c>
      <c r="E1656" s="1">
        <v>25</v>
      </c>
      <c r="F1656" s="1" t="s">
        <v>26</v>
      </c>
      <c r="G1656" s="1" t="s">
        <v>56</v>
      </c>
      <c r="H1656" s="1" t="s">
        <v>36</v>
      </c>
      <c r="I1656" s="1" t="s">
        <v>57</v>
      </c>
      <c r="J1656" s="7">
        <v>31801</v>
      </c>
      <c r="K1656" s="1">
        <v>393</v>
      </c>
      <c r="L1656" s="7">
        <v>39665</v>
      </c>
      <c r="M1656" s="1">
        <v>60</v>
      </c>
      <c r="N1656" s="6">
        <v>0.161</v>
      </c>
      <c r="O1656" s="1" t="s">
        <v>41</v>
      </c>
      <c r="P1656" s="1" t="s">
        <v>50</v>
      </c>
      <c r="Q1656" s="1">
        <v>6</v>
      </c>
      <c r="R1656" s="1">
        <v>4</v>
      </c>
      <c r="S1656" s="1" t="s">
        <v>31</v>
      </c>
      <c r="T1656" s="1" t="s">
        <v>33</v>
      </c>
      <c r="U1656" s="1">
        <v>3</v>
      </c>
      <c r="V1656" s="1">
        <v>145625</v>
      </c>
      <c r="W1656" s="7">
        <v>739.25</v>
      </c>
      <c r="X1656" s="1">
        <v>0.22</v>
      </c>
      <c r="Y1656" s="4">
        <v>45768</v>
      </c>
      <c r="Z1656" s="1" t="s">
        <v>38</v>
      </c>
      <c r="AA1656" s="1" t="s">
        <v>33</v>
      </c>
      <c r="AB1656" s="36" t="str" cm="1">
        <f t="array" ref="AB1656">_xlfn.IFS(K1656&gt;650,"LOW",K1656&gt;=550,"MEDIUM",K1656&lt;550,"HIGH")</f>
        <v>HIGH</v>
      </c>
    </row>
    <row r="1657" spans="3:28" x14ac:dyDescent="0.3">
      <c r="C1657" s="35" t="s">
        <v>3944</v>
      </c>
      <c r="D1657" s="1" t="s">
        <v>220</v>
      </c>
      <c r="E1657" s="1">
        <v>62</v>
      </c>
      <c r="F1657" s="1" t="s">
        <v>44</v>
      </c>
      <c r="G1657" s="1" t="s">
        <v>27</v>
      </c>
      <c r="H1657" s="1" t="s">
        <v>28</v>
      </c>
      <c r="I1657" s="1" t="s">
        <v>29</v>
      </c>
      <c r="J1657" s="7">
        <v>104981</v>
      </c>
      <c r="K1657" s="1">
        <v>393</v>
      </c>
      <c r="L1657" s="7">
        <v>49365</v>
      </c>
      <c r="M1657" s="1">
        <v>36</v>
      </c>
      <c r="N1657" s="6">
        <v>0.11960000000000001</v>
      </c>
      <c r="O1657" s="1" t="s">
        <v>37</v>
      </c>
      <c r="P1657" s="1" t="s">
        <v>47</v>
      </c>
      <c r="Q1657" s="1">
        <v>22</v>
      </c>
      <c r="R1657" s="1">
        <v>1</v>
      </c>
      <c r="S1657" s="1" t="s">
        <v>33</v>
      </c>
      <c r="T1657" s="1" t="s">
        <v>33</v>
      </c>
      <c r="U1657" s="1">
        <v>4</v>
      </c>
      <c r="V1657" s="1">
        <v>5838</v>
      </c>
      <c r="W1657" s="7">
        <v>1618.06</v>
      </c>
      <c r="X1657" s="1">
        <v>0.45</v>
      </c>
      <c r="Y1657" s="4">
        <v>44945</v>
      </c>
      <c r="Z1657" s="1" t="s">
        <v>32</v>
      </c>
      <c r="AA1657" s="1" t="s">
        <v>33</v>
      </c>
      <c r="AB1657" s="36" t="str" cm="1">
        <f t="array" ref="AB1657">_xlfn.IFS(K1657&gt;650,"LOW",K1657&gt;=550,"MEDIUM",K1657&lt;550,"HIGH")</f>
        <v>HIGH</v>
      </c>
    </row>
    <row r="1658" spans="3:28" x14ac:dyDescent="0.3">
      <c r="C1658" s="35" t="s">
        <v>2644</v>
      </c>
      <c r="D1658" s="1" t="s">
        <v>674</v>
      </c>
      <c r="E1658" s="1">
        <v>31</v>
      </c>
      <c r="F1658" s="1" t="s">
        <v>44</v>
      </c>
      <c r="G1658" s="1" t="s">
        <v>45</v>
      </c>
      <c r="H1658" s="1" t="s">
        <v>36</v>
      </c>
      <c r="I1658" s="1" t="s">
        <v>29</v>
      </c>
      <c r="J1658" s="7">
        <v>57383</v>
      </c>
      <c r="K1658" s="1">
        <v>392</v>
      </c>
      <c r="L1658" s="7">
        <v>14731</v>
      </c>
      <c r="M1658" s="1">
        <v>36</v>
      </c>
      <c r="N1658" s="6">
        <v>0.12890000000000001</v>
      </c>
      <c r="O1658" s="1" t="s">
        <v>52</v>
      </c>
      <c r="P1658" s="1" t="s">
        <v>47</v>
      </c>
      <c r="Q1658" s="1">
        <v>3</v>
      </c>
      <c r="R1658" s="1">
        <v>1</v>
      </c>
      <c r="S1658" s="1" t="s">
        <v>31</v>
      </c>
      <c r="T1658" s="1" t="s">
        <v>33</v>
      </c>
      <c r="U1658" s="1">
        <v>1</v>
      </c>
      <c r="V1658" s="1">
        <v>177759</v>
      </c>
      <c r="W1658" s="7">
        <v>1839.31</v>
      </c>
      <c r="X1658" s="1">
        <v>0.44</v>
      </c>
      <c r="Y1658" s="4">
        <v>45778</v>
      </c>
      <c r="Z1658" s="1" t="s">
        <v>32</v>
      </c>
      <c r="AA1658" s="1" t="s">
        <v>31</v>
      </c>
      <c r="AB1658" s="36" t="str" cm="1">
        <f t="array" ref="AB1658">_xlfn.IFS(K1658&gt;650,"LOW",K1658&gt;=550,"MEDIUM",K1658&lt;550,"HIGH")</f>
        <v>HIGH</v>
      </c>
    </row>
    <row r="1659" spans="3:28" x14ac:dyDescent="0.3">
      <c r="C1659" s="35" t="s">
        <v>3696</v>
      </c>
      <c r="D1659" s="1" t="s">
        <v>1707</v>
      </c>
      <c r="E1659" s="1">
        <v>49</v>
      </c>
      <c r="F1659" s="1" t="s">
        <v>26</v>
      </c>
      <c r="G1659" s="1" t="s">
        <v>35</v>
      </c>
      <c r="H1659" s="1" t="s">
        <v>54</v>
      </c>
      <c r="I1659" s="1" t="s">
        <v>57</v>
      </c>
      <c r="J1659" s="7">
        <v>93960</v>
      </c>
      <c r="K1659" s="1">
        <v>392</v>
      </c>
      <c r="L1659" s="7">
        <v>9968</v>
      </c>
      <c r="M1659" s="1">
        <v>36</v>
      </c>
      <c r="N1659" s="6">
        <v>0.11269999999999999</v>
      </c>
      <c r="O1659" s="1" t="s">
        <v>52</v>
      </c>
      <c r="P1659" s="1" t="s">
        <v>47</v>
      </c>
      <c r="Q1659" s="1">
        <v>16</v>
      </c>
      <c r="R1659" s="1">
        <v>3</v>
      </c>
      <c r="S1659" s="1" t="s">
        <v>31</v>
      </c>
      <c r="T1659" s="1" t="s">
        <v>31</v>
      </c>
      <c r="U1659" s="1">
        <v>4</v>
      </c>
      <c r="V1659" s="1">
        <v>199814</v>
      </c>
      <c r="W1659" s="7">
        <v>785.81</v>
      </c>
      <c r="X1659" s="1">
        <v>0.45</v>
      </c>
      <c r="Y1659" s="4">
        <v>45803</v>
      </c>
      <c r="Z1659" s="1" t="s">
        <v>32</v>
      </c>
      <c r="AA1659" s="1" t="s">
        <v>31</v>
      </c>
      <c r="AB1659" s="36" t="str" cm="1">
        <f t="array" ref="AB1659">_xlfn.IFS(K1659&gt;650,"LOW",K1659&gt;=550,"MEDIUM",K1659&lt;550,"HIGH")</f>
        <v>HIGH</v>
      </c>
    </row>
    <row r="1660" spans="3:28" x14ac:dyDescent="0.3">
      <c r="C1660" s="35" t="s">
        <v>3760</v>
      </c>
      <c r="D1660" s="1" t="s">
        <v>1768</v>
      </c>
      <c r="E1660" s="1">
        <v>33</v>
      </c>
      <c r="F1660" s="1" t="s">
        <v>44</v>
      </c>
      <c r="G1660" s="1" t="s">
        <v>35</v>
      </c>
      <c r="H1660" s="1" t="s">
        <v>28</v>
      </c>
      <c r="I1660" s="1" t="s">
        <v>57</v>
      </c>
      <c r="J1660" s="7">
        <v>131030</v>
      </c>
      <c r="K1660" s="1">
        <v>392</v>
      </c>
      <c r="L1660" s="7">
        <v>2620</v>
      </c>
      <c r="M1660" s="1">
        <v>36</v>
      </c>
      <c r="N1660" s="6">
        <v>0.12520000000000001</v>
      </c>
      <c r="O1660" s="1" t="s">
        <v>52</v>
      </c>
      <c r="P1660" s="1" t="s">
        <v>30</v>
      </c>
      <c r="Q1660" s="1">
        <v>11</v>
      </c>
      <c r="R1660" s="1">
        <v>2</v>
      </c>
      <c r="S1660" s="1" t="s">
        <v>33</v>
      </c>
      <c r="T1660" s="1" t="s">
        <v>31</v>
      </c>
      <c r="U1660" s="1">
        <v>3</v>
      </c>
      <c r="V1660" s="1">
        <v>93029</v>
      </c>
      <c r="W1660" s="7">
        <v>1354.31</v>
      </c>
      <c r="X1660" s="1">
        <v>0.21</v>
      </c>
      <c r="Y1660" s="4">
        <v>45388</v>
      </c>
      <c r="Z1660" s="1" t="s">
        <v>32</v>
      </c>
      <c r="AA1660" s="1" t="s">
        <v>31</v>
      </c>
      <c r="AB1660" s="36" t="str" cm="1">
        <f t="array" ref="AB1660">_xlfn.IFS(K1660&gt;650,"LOW",K1660&gt;=550,"MEDIUM",K1660&lt;550,"HIGH")</f>
        <v>HIGH</v>
      </c>
    </row>
    <row r="1661" spans="3:28" x14ac:dyDescent="0.3">
      <c r="C1661" s="35" t="s">
        <v>3806</v>
      </c>
      <c r="D1661" s="1" t="s">
        <v>1812</v>
      </c>
      <c r="E1661" s="1">
        <v>43</v>
      </c>
      <c r="F1661" s="1" t="s">
        <v>44</v>
      </c>
      <c r="G1661" s="1" t="s">
        <v>45</v>
      </c>
      <c r="H1661" s="1" t="s">
        <v>28</v>
      </c>
      <c r="I1661" s="1" t="s">
        <v>57</v>
      </c>
      <c r="J1661" s="7">
        <v>58744</v>
      </c>
      <c r="K1661" s="1">
        <v>392</v>
      </c>
      <c r="L1661" s="7">
        <v>48899</v>
      </c>
      <c r="M1661" s="1">
        <v>60</v>
      </c>
      <c r="N1661" s="6">
        <v>0.1343</v>
      </c>
      <c r="O1661" s="1" t="s">
        <v>63</v>
      </c>
      <c r="P1661" s="1" t="s">
        <v>30</v>
      </c>
      <c r="Q1661" s="1">
        <v>8</v>
      </c>
      <c r="R1661" s="1">
        <v>2</v>
      </c>
      <c r="S1661" s="1" t="s">
        <v>31</v>
      </c>
      <c r="T1661" s="1" t="s">
        <v>33</v>
      </c>
      <c r="U1661" s="1">
        <v>3</v>
      </c>
      <c r="V1661" s="1">
        <v>42541</v>
      </c>
      <c r="W1661" s="7">
        <v>1393.97</v>
      </c>
      <c r="X1661" s="1">
        <v>0.38</v>
      </c>
      <c r="Y1661" s="4">
        <v>44873</v>
      </c>
      <c r="Z1661" s="1" t="s">
        <v>32</v>
      </c>
      <c r="AA1661" s="1" t="s">
        <v>33</v>
      </c>
      <c r="AB1661" s="36" t="str" cm="1">
        <f t="array" ref="AB1661">_xlfn.IFS(K1661&gt;650,"LOW",K1661&gt;=550,"MEDIUM",K1661&lt;550,"HIGH")</f>
        <v>HIGH</v>
      </c>
    </row>
    <row r="1662" spans="3:28" x14ac:dyDescent="0.3">
      <c r="C1662" s="35" t="s">
        <v>3901</v>
      </c>
      <c r="D1662" s="1" t="s">
        <v>1905</v>
      </c>
      <c r="E1662" s="1">
        <v>34</v>
      </c>
      <c r="F1662" s="1" t="s">
        <v>26</v>
      </c>
      <c r="G1662" s="1" t="s">
        <v>56</v>
      </c>
      <c r="H1662" s="1" t="s">
        <v>36</v>
      </c>
      <c r="I1662" s="1" t="s">
        <v>57</v>
      </c>
      <c r="J1662" s="7">
        <v>108478</v>
      </c>
      <c r="K1662" s="1">
        <v>392</v>
      </c>
      <c r="L1662" s="7">
        <v>25346</v>
      </c>
      <c r="M1662" s="1">
        <v>24</v>
      </c>
      <c r="N1662" s="6">
        <v>8.7300000000000003E-2</v>
      </c>
      <c r="O1662" s="1" t="s">
        <v>52</v>
      </c>
      <c r="P1662" s="1" t="s">
        <v>30</v>
      </c>
      <c r="Q1662" s="1">
        <v>10</v>
      </c>
      <c r="R1662" s="1">
        <v>0</v>
      </c>
      <c r="S1662" s="1" t="s">
        <v>31</v>
      </c>
      <c r="T1662" s="1" t="s">
        <v>31</v>
      </c>
      <c r="U1662" s="1">
        <v>0</v>
      </c>
      <c r="V1662" s="1">
        <v>169366</v>
      </c>
      <c r="W1662" s="7">
        <v>551.82000000000005</v>
      </c>
      <c r="X1662" s="1">
        <v>0.63</v>
      </c>
      <c r="Y1662" s="4">
        <v>45455</v>
      </c>
      <c r="Z1662" s="1" t="s">
        <v>32</v>
      </c>
      <c r="AA1662" s="1" t="s">
        <v>33</v>
      </c>
      <c r="AB1662" s="36" t="str" cm="1">
        <f t="array" ref="AB1662">_xlfn.IFS(K1662&gt;650,"LOW",K1662&gt;=550,"MEDIUM",K1662&lt;550,"HIGH")</f>
        <v>HIGH</v>
      </c>
    </row>
    <row r="1663" spans="3:28" x14ac:dyDescent="0.3">
      <c r="C1663" s="35" t="s">
        <v>2078</v>
      </c>
      <c r="D1663" s="1" t="s">
        <v>109</v>
      </c>
      <c r="E1663" s="1">
        <v>24</v>
      </c>
      <c r="F1663" s="1" t="s">
        <v>26</v>
      </c>
      <c r="G1663" s="1" t="s">
        <v>27</v>
      </c>
      <c r="H1663" s="1" t="s">
        <v>61</v>
      </c>
      <c r="I1663" s="1" t="s">
        <v>59</v>
      </c>
      <c r="J1663" s="7">
        <v>34799</v>
      </c>
      <c r="K1663" s="1">
        <v>391</v>
      </c>
      <c r="L1663" s="7">
        <v>7683</v>
      </c>
      <c r="M1663" s="1">
        <v>24</v>
      </c>
      <c r="N1663" s="6">
        <v>9.4899999999999998E-2</v>
      </c>
      <c r="O1663" s="1" t="s">
        <v>46</v>
      </c>
      <c r="P1663" s="1" t="s">
        <v>50</v>
      </c>
      <c r="Q1663" s="1">
        <v>8</v>
      </c>
      <c r="R1663" s="1">
        <v>1</v>
      </c>
      <c r="S1663" s="1" t="s">
        <v>31</v>
      </c>
      <c r="T1663" s="1" t="s">
        <v>33</v>
      </c>
      <c r="U1663" s="1">
        <v>0</v>
      </c>
      <c r="V1663" s="1">
        <v>169231</v>
      </c>
      <c r="W1663" s="7">
        <v>1947.06</v>
      </c>
      <c r="X1663" s="1">
        <v>0.55000000000000004</v>
      </c>
      <c r="Y1663" s="4">
        <v>44632</v>
      </c>
      <c r="Z1663" s="1" t="s">
        <v>32</v>
      </c>
      <c r="AA1663" s="1" t="s">
        <v>33</v>
      </c>
      <c r="AB1663" s="36" t="str" cm="1">
        <f t="array" ref="AB1663">_xlfn.IFS(K1663&gt;650,"LOW",K1663&gt;=550,"MEDIUM",K1663&lt;550,"HIGH")</f>
        <v>HIGH</v>
      </c>
    </row>
    <row r="1664" spans="3:28" x14ac:dyDescent="0.3">
      <c r="C1664" s="35" t="s">
        <v>2695</v>
      </c>
      <c r="D1664" s="1" t="s">
        <v>725</v>
      </c>
      <c r="E1664" s="1">
        <v>50</v>
      </c>
      <c r="F1664" s="1" t="s">
        <v>44</v>
      </c>
      <c r="G1664" s="1" t="s">
        <v>35</v>
      </c>
      <c r="H1664" s="1" t="s">
        <v>28</v>
      </c>
      <c r="I1664" s="1" t="s">
        <v>40</v>
      </c>
      <c r="J1664" s="7">
        <v>57841</v>
      </c>
      <c r="K1664" s="1">
        <v>391</v>
      </c>
      <c r="L1664" s="7">
        <v>22140</v>
      </c>
      <c r="M1664" s="1">
        <v>60</v>
      </c>
      <c r="N1664" s="6">
        <v>5.2600000000000001E-2</v>
      </c>
      <c r="O1664" s="1" t="s">
        <v>41</v>
      </c>
      <c r="P1664" s="1" t="s">
        <v>50</v>
      </c>
      <c r="Q1664" s="1">
        <v>5</v>
      </c>
      <c r="R1664" s="1">
        <v>3</v>
      </c>
      <c r="S1664" s="1" t="s">
        <v>33</v>
      </c>
      <c r="T1664" s="1" t="s">
        <v>31</v>
      </c>
      <c r="U1664" s="1">
        <v>2</v>
      </c>
      <c r="V1664" s="1">
        <v>96001</v>
      </c>
      <c r="W1664" s="7">
        <v>1752.97</v>
      </c>
      <c r="X1664" s="1">
        <v>0.93</v>
      </c>
      <c r="Y1664" s="4">
        <v>45449</v>
      </c>
      <c r="Z1664" s="1" t="s">
        <v>38</v>
      </c>
      <c r="AA1664" s="1" t="s">
        <v>33</v>
      </c>
      <c r="AB1664" s="36" t="str" cm="1">
        <f t="array" ref="AB1664">_xlfn.IFS(K1664&gt;650,"LOW",K1664&gt;=550,"MEDIUM",K1664&lt;550,"HIGH")</f>
        <v>HIGH</v>
      </c>
    </row>
    <row r="1665" spans="3:28" x14ac:dyDescent="0.3">
      <c r="C1665" s="35" t="s">
        <v>3486</v>
      </c>
      <c r="D1665" s="1" t="s">
        <v>1504</v>
      </c>
      <c r="E1665" s="1">
        <v>63</v>
      </c>
      <c r="F1665" s="1" t="s">
        <v>44</v>
      </c>
      <c r="G1665" s="1" t="s">
        <v>27</v>
      </c>
      <c r="H1665" s="1" t="s">
        <v>61</v>
      </c>
      <c r="I1665" s="1" t="s">
        <v>29</v>
      </c>
      <c r="J1665" s="7">
        <v>39462</v>
      </c>
      <c r="K1665" s="1">
        <v>391</v>
      </c>
      <c r="L1665" s="7">
        <v>24130</v>
      </c>
      <c r="M1665" s="1">
        <v>36</v>
      </c>
      <c r="N1665" s="6">
        <v>0.12380000000000001</v>
      </c>
      <c r="O1665" s="1" t="s">
        <v>63</v>
      </c>
      <c r="P1665" s="1" t="s">
        <v>50</v>
      </c>
      <c r="Q1665" s="1">
        <v>11</v>
      </c>
      <c r="R1665" s="1">
        <v>4</v>
      </c>
      <c r="S1665" s="1" t="s">
        <v>31</v>
      </c>
      <c r="T1665" s="1" t="s">
        <v>33</v>
      </c>
      <c r="U1665" s="1">
        <v>0</v>
      </c>
      <c r="V1665" s="1">
        <v>95504</v>
      </c>
      <c r="W1665" s="7">
        <v>1404.36</v>
      </c>
      <c r="X1665" s="1">
        <v>0.61</v>
      </c>
      <c r="Y1665" s="4">
        <v>44204</v>
      </c>
      <c r="Z1665" s="1" t="s">
        <v>38</v>
      </c>
      <c r="AA1665" s="1" t="s">
        <v>33</v>
      </c>
      <c r="AB1665" s="36" t="str" cm="1">
        <f t="array" ref="AB1665">_xlfn.IFS(K1665&gt;650,"LOW",K1665&gt;=550,"MEDIUM",K1665&lt;550,"HIGH")</f>
        <v>HIGH</v>
      </c>
    </row>
    <row r="1666" spans="3:28" x14ac:dyDescent="0.3">
      <c r="C1666" s="35" t="s">
        <v>3915</v>
      </c>
      <c r="D1666" s="1" t="s">
        <v>1919</v>
      </c>
      <c r="E1666" s="1">
        <v>21</v>
      </c>
      <c r="F1666" s="1" t="s">
        <v>26</v>
      </c>
      <c r="G1666" s="1" t="s">
        <v>56</v>
      </c>
      <c r="H1666" s="1" t="s">
        <v>36</v>
      </c>
      <c r="I1666" s="1" t="s">
        <v>40</v>
      </c>
      <c r="J1666" s="7">
        <v>88921</v>
      </c>
      <c r="K1666" s="1">
        <v>391</v>
      </c>
      <c r="L1666" s="7">
        <v>34741</v>
      </c>
      <c r="M1666" s="1">
        <v>24</v>
      </c>
      <c r="N1666" s="6">
        <v>0.1852</v>
      </c>
      <c r="O1666" s="1" t="s">
        <v>5</v>
      </c>
      <c r="P1666" s="1" t="s">
        <v>47</v>
      </c>
      <c r="Q1666" s="1">
        <v>24</v>
      </c>
      <c r="R1666" s="1">
        <v>2</v>
      </c>
      <c r="S1666" s="1" t="s">
        <v>31</v>
      </c>
      <c r="T1666" s="1" t="s">
        <v>31</v>
      </c>
      <c r="U1666" s="1">
        <v>3</v>
      </c>
      <c r="V1666" s="1">
        <v>60084</v>
      </c>
      <c r="W1666" s="7">
        <v>1736.21</v>
      </c>
      <c r="X1666" s="1">
        <v>0.73</v>
      </c>
      <c r="Y1666" s="4">
        <v>44257</v>
      </c>
      <c r="Z1666" s="1" t="s">
        <v>32</v>
      </c>
      <c r="AA1666" s="1" t="s">
        <v>33</v>
      </c>
      <c r="AB1666" s="36" t="str" cm="1">
        <f t="array" ref="AB1666">_xlfn.IFS(K1666&gt;650,"LOW",K1666&gt;=550,"MEDIUM",K1666&lt;550,"HIGH")</f>
        <v>HIGH</v>
      </c>
    </row>
    <row r="1667" spans="3:28" x14ac:dyDescent="0.3">
      <c r="C1667" s="35" t="s">
        <v>4006</v>
      </c>
      <c r="D1667" s="1" t="s">
        <v>2006</v>
      </c>
      <c r="E1667" s="1">
        <v>61</v>
      </c>
      <c r="F1667" s="1" t="s">
        <v>26</v>
      </c>
      <c r="G1667" s="1" t="s">
        <v>56</v>
      </c>
      <c r="H1667" s="1" t="s">
        <v>36</v>
      </c>
      <c r="I1667" s="1" t="s">
        <v>29</v>
      </c>
      <c r="J1667" s="7">
        <v>89893</v>
      </c>
      <c r="K1667" s="1">
        <v>391</v>
      </c>
      <c r="L1667" s="7">
        <v>38695</v>
      </c>
      <c r="M1667" s="1">
        <v>12</v>
      </c>
      <c r="N1667" s="6">
        <v>0.13830000000000001</v>
      </c>
      <c r="O1667" s="1" t="s">
        <v>46</v>
      </c>
      <c r="P1667" s="1" t="s">
        <v>47</v>
      </c>
      <c r="Q1667" s="1">
        <v>11</v>
      </c>
      <c r="R1667" s="1">
        <v>1</v>
      </c>
      <c r="S1667" s="1" t="s">
        <v>31</v>
      </c>
      <c r="T1667" s="1" t="s">
        <v>31</v>
      </c>
      <c r="U1667" s="1">
        <v>4</v>
      </c>
      <c r="V1667" s="1">
        <v>120036</v>
      </c>
      <c r="W1667" s="7">
        <v>1645.11</v>
      </c>
      <c r="X1667" s="1">
        <v>0.2</v>
      </c>
      <c r="Y1667" s="4">
        <v>45011</v>
      </c>
      <c r="Z1667" s="1" t="s">
        <v>38</v>
      </c>
      <c r="AA1667" s="1" t="s">
        <v>33</v>
      </c>
      <c r="AB1667" s="36" t="str" cm="1">
        <f t="array" ref="AB1667">_xlfn.IFS(K1667&gt;650,"LOW",K1667&gt;=550,"MEDIUM",K1667&lt;550,"HIGH")</f>
        <v>HIGH</v>
      </c>
    </row>
    <row r="1668" spans="3:28" x14ac:dyDescent="0.3">
      <c r="C1668" s="35" t="s">
        <v>2117</v>
      </c>
      <c r="D1668" s="1" t="s">
        <v>148</v>
      </c>
      <c r="E1668" s="1">
        <v>28</v>
      </c>
      <c r="F1668" s="1" t="s">
        <v>26</v>
      </c>
      <c r="G1668" s="1" t="s">
        <v>45</v>
      </c>
      <c r="H1668" s="1" t="s">
        <v>36</v>
      </c>
      <c r="I1668" s="1" t="s">
        <v>40</v>
      </c>
      <c r="J1668" s="7">
        <v>93181</v>
      </c>
      <c r="K1668" s="1">
        <v>390</v>
      </c>
      <c r="L1668" s="7">
        <v>21567</v>
      </c>
      <c r="M1668" s="1">
        <v>24</v>
      </c>
      <c r="N1668" s="6">
        <v>0.11269999999999999</v>
      </c>
      <c r="O1668" s="1" t="s">
        <v>5</v>
      </c>
      <c r="P1668" s="1" t="s">
        <v>30</v>
      </c>
      <c r="Q1668" s="1">
        <v>19</v>
      </c>
      <c r="R1668" s="1">
        <v>3</v>
      </c>
      <c r="S1668" s="1" t="s">
        <v>31</v>
      </c>
      <c r="T1668" s="1" t="s">
        <v>31</v>
      </c>
      <c r="U1668" s="1">
        <v>1</v>
      </c>
      <c r="V1668" s="1">
        <v>60528</v>
      </c>
      <c r="W1668" s="7">
        <v>814.61</v>
      </c>
      <c r="X1668" s="1">
        <v>0.41</v>
      </c>
      <c r="Y1668" s="4">
        <v>45130</v>
      </c>
      <c r="Z1668" s="1" t="s">
        <v>32</v>
      </c>
      <c r="AA1668" s="1" t="s">
        <v>31</v>
      </c>
      <c r="AB1668" s="36" t="str" cm="1">
        <f t="array" ref="AB1668">_xlfn.IFS(K1668&gt;650,"LOW",K1668&gt;=550,"MEDIUM",K1668&lt;550,"HIGH")</f>
        <v>HIGH</v>
      </c>
    </row>
    <row r="1669" spans="3:28" x14ac:dyDescent="0.3">
      <c r="C1669" s="35" t="s">
        <v>2242</v>
      </c>
      <c r="D1669" s="1" t="s">
        <v>273</v>
      </c>
      <c r="E1669" s="1">
        <v>29</v>
      </c>
      <c r="F1669" s="1" t="s">
        <v>26</v>
      </c>
      <c r="G1669" s="1" t="s">
        <v>35</v>
      </c>
      <c r="H1669" s="1" t="s">
        <v>36</v>
      </c>
      <c r="I1669" s="1" t="s">
        <v>29</v>
      </c>
      <c r="J1669" s="7">
        <v>102421</v>
      </c>
      <c r="K1669" s="1">
        <v>390</v>
      </c>
      <c r="L1669" s="7">
        <v>4823</v>
      </c>
      <c r="M1669" s="1">
        <v>24</v>
      </c>
      <c r="N1669" s="6">
        <v>0.1454</v>
      </c>
      <c r="O1669" s="1" t="s">
        <v>46</v>
      </c>
      <c r="P1669" s="1" t="s">
        <v>47</v>
      </c>
      <c r="Q1669" s="1">
        <v>27</v>
      </c>
      <c r="R1669" s="1">
        <v>2</v>
      </c>
      <c r="S1669" s="1" t="s">
        <v>31</v>
      </c>
      <c r="T1669" s="1" t="s">
        <v>33</v>
      </c>
      <c r="U1669" s="1">
        <v>4</v>
      </c>
      <c r="V1669" s="1">
        <v>176173</v>
      </c>
      <c r="W1669" s="7">
        <v>1379.27</v>
      </c>
      <c r="X1669" s="1">
        <v>0.93</v>
      </c>
      <c r="Y1669" s="4">
        <v>45540</v>
      </c>
      <c r="Z1669" s="1" t="s">
        <v>38</v>
      </c>
      <c r="AA1669" s="1" t="s">
        <v>33</v>
      </c>
      <c r="AB1669" s="36" t="str" cm="1">
        <f t="array" ref="AB1669">_xlfn.IFS(K1669&gt;650,"LOW",K1669&gt;=550,"MEDIUM",K1669&lt;550,"HIGH")</f>
        <v>HIGH</v>
      </c>
    </row>
    <row r="1670" spans="3:28" x14ac:dyDescent="0.3">
      <c r="C1670" s="35" t="s">
        <v>2821</v>
      </c>
      <c r="D1670" s="1" t="s">
        <v>849</v>
      </c>
      <c r="E1670" s="1">
        <v>61</v>
      </c>
      <c r="F1670" s="1" t="s">
        <v>26</v>
      </c>
      <c r="G1670" s="1" t="s">
        <v>35</v>
      </c>
      <c r="H1670" s="1" t="s">
        <v>54</v>
      </c>
      <c r="I1670" s="1" t="s">
        <v>57</v>
      </c>
      <c r="J1670" s="7">
        <v>130284</v>
      </c>
      <c r="K1670" s="1">
        <v>390</v>
      </c>
      <c r="L1670" s="7">
        <v>45732</v>
      </c>
      <c r="M1670" s="1">
        <v>12</v>
      </c>
      <c r="N1670" s="6">
        <v>0.17350000000000002</v>
      </c>
      <c r="O1670" s="1" t="s">
        <v>5</v>
      </c>
      <c r="P1670" s="1" t="s">
        <v>47</v>
      </c>
      <c r="Q1670" s="1">
        <v>13</v>
      </c>
      <c r="R1670" s="1">
        <v>2</v>
      </c>
      <c r="S1670" s="1" t="s">
        <v>31</v>
      </c>
      <c r="T1670" s="1" t="s">
        <v>33</v>
      </c>
      <c r="U1670" s="1">
        <v>3</v>
      </c>
      <c r="V1670" s="1">
        <v>33668</v>
      </c>
      <c r="W1670" s="7">
        <v>1676.99</v>
      </c>
      <c r="X1670" s="1">
        <v>0.3</v>
      </c>
      <c r="Y1670" s="4">
        <v>45293</v>
      </c>
      <c r="Z1670" s="1" t="s">
        <v>32</v>
      </c>
      <c r="AA1670" s="1" t="s">
        <v>31</v>
      </c>
      <c r="AB1670" s="36" t="str" cm="1">
        <f t="array" ref="AB1670">_xlfn.IFS(K1670&gt;650,"LOW",K1670&gt;=550,"MEDIUM",K1670&lt;550,"HIGH")</f>
        <v>HIGH</v>
      </c>
    </row>
    <row r="1671" spans="3:28" x14ac:dyDescent="0.3">
      <c r="C1671" s="35" t="s">
        <v>3592</v>
      </c>
      <c r="D1671" s="1" t="s">
        <v>1606</v>
      </c>
      <c r="E1671" s="1">
        <v>52</v>
      </c>
      <c r="F1671" s="1" t="s">
        <v>26</v>
      </c>
      <c r="G1671" s="1" t="s">
        <v>27</v>
      </c>
      <c r="H1671" s="1" t="s">
        <v>54</v>
      </c>
      <c r="I1671" s="1" t="s">
        <v>40</v>
      </c>
      <c r="J1671" s="7">
        <v>148713</v>
      </c>
      <c r="K1671" s="1">
        <v>390</v>
      </c>
      <c r="L1671" s="7">
        <v>43220</v>
      </c>
      <c r="M1671" s="1">
        <v>60</v>
      </c>
      <c r="N1671" s="6">
        <v>6.8000000000000005E-2</v>
      </c>
      <c r="O1671" s="1" t="s">
        <v>52</v>
      </c>
      <c r="P1671" s="1" t="s">
        <v>47</v>
      </c>
      <c r="Q1671" s="1">
        <v>4</v>
      </c>
      <c r="R1671" s="1">
        <v>1</v>
      </c>
      <c r="S1671" s="1" t="s">
        <v>33</v>
      </c>
      <c r="T1671" s="1" t="s">
        <v>31</v>
      </c>
      <c r="U1671" s="1">
        <v>3</v>
      </c>
      <c r="V1671" s="1">
        <v>58277</v>
      </c>
      <c r="W1671" s="7">
        <v>1478.68</v>
      </c>
      <c r="X1671" s="1">
        <v>0.8</v>
      </c>
      <c r="Y1671" s="4">
        <v>45644</v>
      </c>
      <c r="Z1671" s="1" t="s">
        <v>38</v>
      </c>
      <c r="AA1671" s="1" t="s">
        <v>33</v>
      </c>
      <c r="AB1671" s="36" t="str" cm="1">
        <f t="array" ref="AB1671">_xlfn.IFS(K1671&gt;650,"LOW",K1671&gt;=550,"MEDIUM",K1671&lt;550,"HIGH")</f>
        <v>HIGH</v>
      </c>
    </row>
    <row r="1672" spans="3:28" x14ac:dyDescent="0.3">
      <c r="C1672" s="35" t="s">
        <v>2984</v>
      </c>
      <c r="D1672" s="1" t="s">
        <v>1012</v>
      </c>
      <c r="E1672" s="1">
        <v>28</v>
      </c>
      <c r="F1672" s="1" t="s">
        <v>44</v>
      </c>
      <c r="G1672" s="1" t="s">
        <v>27</v>
      </c>
      <c r="H1672" s="1" t="s">
        <v>28</v>
      </c>
      <c r="I1672" s="1" t="s">
        <v>59</v>
      </c>
      <c r="J1672" s="7">
        <v>70715</v>
      </c>
      <c r="K1672" s="1">
        <v>389</v>
      </c>
      <c r="L1672" s="7">
        <v>26037</v>
      </c>
      <c r="M1672" s="1">
        <v>60</v>
      </c>
      <c r="N1672" s="6">
        <v>5.0799999999999998E-2</v>
      </c>
      <c r="O1672" s="1" t="s">
        <v>46</v>
      </c>
      <c r="P1672" s="1" t="s">
        <v>50</v>
      </c>
      <c r="Q1672" s="1">
        <v>24</v>
      </c>
      <c r="R1672" s="1">
        <v>0</v>
      </c>
      <c r="S1672" s="1" t="s">
        <v>31</v>
      </c>
      <c r="T1672" s="1" t="s">
        <v>31</v>
      </c>
      <c r="U1672" s="1">
        <v>4</v>
      </c>
      <c r="V1672" s="1">
        <v>151098</v>
      </c>
      <c r="W1672" s="7">
        <v>729.17</v>
      </c>
      <c r="X1672" s="1">
        <v>0.36</v>
      </c>
      <c r="Y1672" s="4">
        <v>44197</v>
      </c>
      <c r="Z1672" s="1" t="s">
        <v>32</v>
      </c>
      <c r="AA1672" s="1" t="s">
        <v>33</v>
      </c>
      <c r="AB1672" s="36" t="str" cm="1">
        <f t="array" ref="AB1672">_xlfn.IFS(K1672&gt;650,"LOW",K1672&gt;=550,"MEDIUM",K1672&lt;550,"HIGH")</f>
        <v>HIGH</v>
      </c>
    </row>
    <row r="1673" spans="3:28" x14ac:dyDescent="0.3">
      <c r="C1673" s="35" t="s">
        <v>3290</v>
      </c>
      <c r="D1673" s="1" t="s">
        <v>1313</v>
      </c>
      <c r="E1673" s="1">
        <v>41</v>
      </c>
      <c r="F1673" s="1" t="s">
        <v>44</v>
      </c>
      <c r="G1673" s="1" t="s">
        <v>27</v>
      </c>
      <c r="H1673" s="1" t="s">
        <v>28</v>
      </c>
      <c r="I1673" s="1" t="s">
        <v>57</v>
      </c>
      <c r="J1673" s="7">
        <v>123325</v>
      </c>
      <c r="K1673" s="1">
        <v>389</v>
      </c>
      <c r="L1673" s="7">
        <v>34092</v>
      </c>
      <c r="M1673" s="1">
        <v>24</v>
      </c>
      <c r="N1673" s="6">
        <v>0.1913</v>
      </c>
      <c r="O1673" s="1" t="s">
        <v>41</v>
      </c>
      <c r="P1673" s="1" t="s">
        <v>50</v>
      </c>
      <c r="Q1673" s="1">
        <v>7</v>
      </c>
      <c r="R1673" s="1">
        <v>2</v>
      </c>
      <c r="S1673" s="1" t="s">
        <v>33</v>
      </c>
      <c r="T1673" s="1" t="s">
        <v>33</v>
      </c>
      <c r="U1673" s="1">
        <v>0</v>
      </c>
      <c r="V1673" s="1">
        <v>139563</v>
      </c>
      <c r="W1673" s="7">
        <v>808.35</v>
      </c>
      <c r="X1673" s="1">
        <v>0.8</v>
      </c>
      <c r="Y1673" s="4">
        <v>44278</v>
      </c>
      <c r="Z1673" s="1" t="s">
        <v>32</v>
      </c>
      <c r="AA1673" s="1" t="s">
        <v>31</v>
      </c>
      <c r="AB1673" s="36" t="str" cm="1">
        <f t="array" ref="AB1673">_xlfn.IFS(K1673&gt;650,"LOW",K1673&gt;=550,"MEDIUM",K1673&lt;550,"HIGH")</f>
        <v>HIGH</v>
      </c>
    </row>
    <row r="1674" spans="3:28" x14ac:dyDescent="0.3">
      <c r="C1674" s="35" t="s">
        <v>2603</v>
      </c>
      <c r="D1674" s="1" t="s">
        <v>633</v>
      </c>
      <c r="E1674" s="1">
        <v>58</v>
      </c>
      <c r="F1674" s="1" t="s">
        <v>44</v>
      </c>
      <c r="G1674" s="1" t="s">
        <v>45</v>
      </c>
      <c r="H1674" s="1" t="s">
        <v>28</v>
      </c>
      <c r="I1674" s="1" t="s">
        <v>29</v>
      </c>
      <c r="J1674" s="7">
        <v>139415</v>
      </c>
      <c r="K1674" s="1">
        <v>388</v>
      </c>
      <c r="L1674" s="7">
        <v>21446</v>
      </c>
      <c r="M1674" s="1">
        <v>48</v>
      </c>
      <c r="N1674" s="6">
        <v>0.1133</v>
      </c>
      <c r="O1674" s="1" t="s">
        <v>5</v>
      </c>
      <c r="P1674" s="1" t="s">
        <v>47</v>
      </c>
      <c r="Q1674" s="1">
        <v>29</v>
      </c>
      <c r="R1674" s="1">
        <v>2</v>
      </c>
      <c r="S1674" s="1" t="s">
        <v>33</v>
      </c>
      <c r="T1674" s="1" t="s">
        <v>31</v>
      </c>
      <c r="U1674" s="1">
        <v>0</v>
      </c>
      <c r="V1674" s="1">
        <v>78399</v>
      </c>
      <c r="W1674" s="7">
        <v>473.26</v>
      </c>
      <c r="X1674" s="1">
        <v>0.79</v>
      </c>
      <c r="Y1674" s="4">
        <v>45273</v>
      </c>
      <c r="Z1674" s="1" t="s">
        <v>32</v>
      </c>
      <c r="AA1674" s="1" t="s">
        <v>33</v>
      </c>
      <c r="AB1674" s="36" t="str" cm="1">
        <f t="array" ref="AB1674">_xlfn.IFS(K1674&gt;650,"LOW",K1674&gt;=550,"MEDIUM",K1674&lt;550,"HIGH")</f>
        <v>HIGH</v>
      </c>
    </row>
    <row r="1675" spans="3:28" x14ac:dyDescent="0.3">
      <c r="C1675" s="35" t="s">
        <v>2765</v>
      </c>
      <c r="D1675" s="1" t="s">
        <v>794</v>
      </c>
      <c r="E1675" s="1">
        <v>38</v>
      </c>
      <c r="F1675" s="1" t="s">
        <v>44</v>
      </c>
      <c r="G1675" s="1" t="s">
        <v>27</v>
      </c>
      <c r="H1675" s="1" t="s">
        <v>61</v>
      </c>
      <c r="I1675" s="1" t="s">
        <v>57</v>
      </c>
      <c r="J1675" s="7">
        <v>125290</v>
      </c>
      <c r="K1675" s="1">
        <v>388</v>
      </c>
      <c r="L1675" s="7">
        <v>10415</v>
      </c>
      <c r="M1675" s="1">
        <v>60</v>
      </c>
      <c r="N1675" s="6">
        <v>8.1000000000000003E-2</v>
      </c>
      <c r="O1675" s="1" t="s">
        <v>63</v>
      </c>
      <c r="P1675" s="1" t="s">
        <v>50</v>
      </c>
      <c r="Q1675" s="1">
        <v>8</v>
      </c>
      <c r="R1675" s="1">
        <v>0</v>
      </c>
      <c r="S1675" s="1" t="s">
        <v>31</v>
      </c>
      <c r="T1675" s="1" t="s">
        <v>31</v>
      </c>
      <c r="U1675" s="1">
        <v>4</v>
      </c>
      <c r="V1675" s="1">
        <v>177386</v>
      </c>
      <c r="W1675" s="7">
        <v>955.83</v>
      </c>
      <c r="X1675" s="1">
        <v>0.18</v>
      </c>
      <c r="Y1675" s="4">
        <v>45368</v>
      </c>
      <c r="Z1675" s="1" t="s">
        <v>32</v>
      </c>
      <c r="AA1675" s="1" t="s">
        <v>31</v>
      </c>
      <c r="AB1675" s="36" t="str" cm="1">
        <f t="array" ref="AB1675">_xlfn.IFS(K1675&gt;650,"LOW",K1675&gt;=550,"MEDIUM",K1675&lt;550,"HIGH")</f>
        <v>HIGH</v>
      </c>
    </row>
    <row r="1676" spans="3:28" x14ac:dyDescent="0.3">
      <c r="C1676" s="35" t="s">
        <v>3125</v>
      </c>
      <c r="D1676" s="1" t="s">
        <v>1150</v>
      </c>
      <c r="E1676" s="1">
        <v>22</v>
      </c>
      <c r="F1676" s="1" t="s">
        <v>26</v>
      </c>
      <c r="G1676" s="1" t="s">
        <v>35</v>
      </c>
      <c r="H1676" s="1" t="s">
        <v>54</v>
      </c>
      <c r="I1676" s="1" t="s">
        <v>40</v>
      </c>
      <c r="J1676" s="7">
        <v>109367</v>
      </c>
      <c r="K1676" s="1">
        <v>388</v>
      </c>
      <c r="L1676" s="7">
        <v>22033</v>
      </c>
      <c r="M1676" s="1">
        <v>48</v>
      </c>
      <c r="N1676" s="6">
        <v>0.13730000000000001</v>
      </c>
      <c r="O1676" s="1" t="s">
        <v>41</v>
      </c>
      <c r="P1676" s="1" t="s">
        <v>30</v>
      </c>
      <c r="Q1676" s="1">
        <v>11</v>
      </c>
      <c r="R1676" s="1">
        <v>1</v>
      </c>
      <c r="S1676" s="1" t="s">
        <v>33</v>
      </c>
      <c r="T1676" s="1" t="s">
        <v>33</v>
      </c>
      <c r="U1676" s="1">
        <v>1</v>
      </c>
      <c r="V1676" s="1">
        <v>152542</v>
      </c>
      <c r="W1676" s="7">
        <v>1585.34</v>
      </c>
      <c r="X1676" s="1">
        <v>0.5</v>
      </c>
      <c r="Y1676" s="4">
        <v>44351</v>
      </c>
      <c r="Z1676" s="1" t="s">
        <v>38</v>
      </c>
      <c r="AA1676" s="1" t="s">
        <v>33</v>
      </c>
      <c r="AB1676" s="36" t="str" cm="1">
        <f t="array" ref="AB1676">_xlfn.IFS(K1676&gt;650,"LOW",K1676&gt;=550,"MEDIUM",K1676&lt;550,"HIGH")</f>
        <v>HIGH</v>
      </c>
    </row>
    <row r="1677" spans="3:28" x14ac:dyDescent="0.3">
      <c r="C1677" s="35" t="s">
        <v>3248</v>
      </c>
      <c r="D1677" s="1" t="s">
        <v>1271</v>
      </c>
      <c r="E1677" s="1">
        <v>42</v>
      </c>
      <c r="F1677" s="1" t="s">
        <v>44</v>
      </c>
      <c r="G1677" s="1" t="s">
        <v>27</v>
      </c>
      <c r="H1677" s="1" t="s">
        <v>28</v>
      </c>
      <c r="I1677" s="1" t="s">
        <v>40</v>
      </c>
      <c r="J1677" s="7">
        <v>56021</v>
      </c>
      <c r="K1677" s="1">
        <v>388</v>
      </c>
      <c r="L1677" s="7">
        <v>24434</v>
      </c>
      <c r="M1677" s="1">
        <v>60</v>
      </c>
      <c r="N1677" s="6">
        <v>6.5099999999999991E-2</v>
      </c>
      <c r="O1677" s="1" t="s">
        <v>63</v>
      </c>
      <c r="P1677" s="1" t="s">
        <v>30</v>
      </c>
      <c r="Q1677" s="1">
        <v>11</v>
      </c>
      <c r="R1677" s="1">
        <v>4</v>
      </c>
      <c r="S1677" s="1" t="s">
        <v>33</v>
      </c>
      <c r="T1677" s="1" t="s">
        <v>33</v>
      </c>
      <c r="U1677" s="1">
        <v>3</v>
      </c>
      <c r="V1677" s="1">
        <v>25099</v>
      </c>
      <c r="W1677" s="7">
        <v>198.04</v>
      </c>
      <c r="X1677" s="1">
        <v>0.79</v>
      </c>
      <c r="Y1677" s="4">
        <v>44264</v>
      </c>
      <c r="Z1677" s="1" t="s">
        <v>38</v>
      </c>
      <c r="AA1677" s="1" t="s">
        <v>33</v>
      </c>
      <c r="AB1677" s="36" t="str" cm="1">
        <f t="array" ref="AB1677">_xlfn.IFS(K1677&gt;650,"LOW",K1677&gt;=550,"MEDIUM",K1677&lt;550,"HIGH")</f>
        <v>HIGH</v>
      </c>
    </row>
    <row r="1678" spans="3:28" x14ac:dyDescent="0.3">
      <c r="C1678" s="35" t="s">
        <v>3774</v>
      </c>
      <c r="D1678" s="1" t="s">
        <v>1781</v>
      </c>
      <c r="E1678" s="1">
        <v>64</v>
      </c>
      <c r="F1678" s="1" t="s">
        <v>44</v>
      </c>
      <c r="G1678" s="1" t="s">
        <v>45</v>
      </c>
      <c r="H1678" s="1" t="s">
        <v>54</v>
      </c>
      <c r="I1678" s="1" t="s">
        <v>40</v>
      </c>
      <c r="J1678" s="7">
        <v>105914</v>
      </c>
      <c r="K1678" s="1">
        <v>388</v>
      </c>
      <c r="L1678" s="7">
        <v>40489</v>
      </c>
      <c r="M1678" s="1">
        <v>60</v>
      </c>
      <c r="N1678" s="6">
        <v>0.17129999999999998</v>
      </c>
      <c r="O1678" s="1" t="s">
        <v>5</v>
      </c>
      <c r="P1678" s="1" t="s">
        <v>30</v>
      </c>
      <c r="Q1678" s="1">
        <v>26</v>
      </c>
      <c r="R1678" s="1">
        <v>2</v>
      </c>
      <c r="S1678" s="1" t="s">
        <v>31</v>
      </c>
      <c r="T1678" s="1" t="s">
        <v>31</v>
      </c>
      <c r="U1678" s="1">
        <v>1</v>
      </c>
      <c r="V1678" s="1">
        <v>149767</v>
      </c>
      <c r="W1678" s="7">
        <v>1540.19</v>
      </c>
      <c r="X1678" s="1">
        <v>0.36</v>
      </c>
      <c r="Y1678" s="4">
        <v>44494</v>
      </c>
      <c r="Z1678" s="1" t="s">
        <v>38</v>
      </c>
      <c r="AA1678" s="1" t="s">
        <v>33</v>
      </c>
      <c r="AB1678" s="36" t="str" cm="1">
        <f t="array" ref="AB1678">_xlfn.IFS(K1678&gt;650,"LOW",K1678&gt;=550,"MEDIUM",K1678&lt;550,"HIGH")</f>
        <v>HIGH</v>
      </c>
    </row>
    <row r="1679" spans="3:28" x14ac:dyDescent="0.3">
      <c r="C1679" s="35" t="s">
        <v>2200</v>
      </c>
      <c r="D1679" s="1" t="s">
        <v>231</v>
      </c>
      <c r="E1679" s="1">
        <v>53</v>
      </c>
      <c r="F1679" s="1" t="s">
        <v>26</v>
      </c>
      <c r="G1679" s="1" t="s">
        <v>45</v>
      </c>
      <c r="H1679" s="1" t="s">
        <v>61</v>
      </c>
      <c r="I1679" s="1" t="s">
        <v>40</v>
      </c>
      <c r="J1679" s="7">
        <v>88653</v>
      </c>
      <c r="K1679" s="1">
        <v>387</v>
      </c>
      <c r="L1679" s="7">
        <v>14410</v>
      </c>
      <c r="M1679" s="1">
        <v>48</v>
      </c>
      <c r="N1679" s="6">
        <v>5.7000000000000002E-2</v>
      </c>
      <c r="O1679" s="1" t="s">
        <v>52</v>
      </c>
      <c r="P1679" s="1" t="s">
        <v>30</v>
      </c>
      <c r="Q1679" s="1">
        <v>4</v>
      </c>
      <c r="R1679" s="1">
        <v>3</v>
      </c>
      <c r="S1679" s="1" t="s">
        <v>31</v>
      </c>
      <c r="T1679" s="1" t="s">
        <v>31</v>
      </c>
      <c r="U1679" s="1">
        <v>0</v>
      </c>
      <c r="V1679" s="1">
        <v>108576</v>
      </c>
      <c r="W1679" s="7">
        <v>228.64</v>
      </c>
      <c r="X1679" s="1">
        <v>0.56000000000000005</v>
      </c>
      <c r="Y1679" s="4">
        <v>44362</v>
      </c>
      <c r="Z1679" s="1" t="s">
        <v>38</v>
      </c>
      <c r="AA1679" s="1" t="s">
        <v>33</v>
      </c>
      <c r="AB1679" s="36" t="str" cm="1">
        <f t="array" ref="AB1679">_xlfn.IFS(K1679&gt;650,"LOW",K1679&gt;=550,"MEDIUM",K1679&lt;550,"HIGH")</f>
        <v>HIGH</v>
      </c>
    </row>
    <row r="1680" spans="3:28" x14ac:dyDescent="0.3">
      <c r="C1680" s="35" t="s">
        <v>2485</v>
      </c>
      <c r="D1680" s="1" t="s">
        <v>515</v>
      </c>
      <c r="E1680" s="1">
        <v>48</v>
      </c>
      <c r="F1680" s="1" t="s">
        <v>26</v>
      </c>
      <c r="G1680" s="1" t="s">
        <v>56</v>
      </c>
      <c r="H1680" s="1" t="s">
        <v>36</v>
      </c>
      <c r="I1680" s="1" t="s">
        <v>57</v>
      </c>
      <c r="J1680" s="7">
        <v>45251</v>
      </c>
      <c r="K1680" s="1">
        <v>387</v>
      </c>
      <c r="L1680" s="7">
        <v>44371</v>
      </c>
      <c r="M1680" s="1">
        <v>48</v>
      </c>
      <c r="N1680" s="6">
        <v>0.18870000000000001</v>
      </c>
      <c r="O1680" s="1" t="s">
        <v>63</v>
      </c>
      <c r="P1680" s="1" t="s">
        <v>30</v>
      </c>
      <c r="Q1680" s="1">
        <v>12</v>
      </c>
      <c r="R1680" s="1">
        <v>0</v>
      </c>
      <c r="S1680" s="1" t="s">
        <v>33</v>
      </c>
      <c r="T1680" s="1" t="s">
        <v>31</v>
      </c>
      <c r="U1680" s="1">
        <v>3</v>
      </c>
      <c r="V1680" s="1">
        <v>42973</v>
      </c>
      <c r="W1680" s="7">
        <v>805.74</v>
      </c>
      <c r="X1680" s="1">
        <v>0.71</v>
      </c>
      <c r="Y1680" s="4">
        <v>45704</v>
      </c>
      <c r="Z1680" s="1" t="s">
        <v>32</v>
      </c>
      <c r="AA1680" s="1" t="s">
        <v>33</v>
      </c>
      <c r="AB1680" s="36" t="str" cm="1">
        <f t="array" ref="AB1680">_xlfn.IFS(K1680&gt;650,"LOW",K1680&gt;=550,"MEDIUM",K1680&lt;550,"HIGH")</f>
        <v>HIGH</v>
      </c>
    </row>
    <row r="1681" spans="3:28" x14ac:dyDescent="0.3">
      <c r="C1681" s="35" t="s">
        <v>2529</v>
      </c>
      <c r="D1681" s="1" t="s">
        <v>559</v>
      </c>
      <c r="E1681" s="1">
        <v>57</v>
      </c>
      <c r="F1681" s="1" t="s">
        <v>44</v>
      </c>
      <c r="G1681" s="1" t="s">
        <v>35</v>
      </c>
      <c r="H1681" s="1" t="s">
        <v>61</v>
      </c>
      <c r="I1681" s="1" t="s">
        <v>29</v>
      </c>
      <c r="J1681" s="7">
        <v>44363</v>
      </c>
      <c r="K1681" s="1">
        <v>387</v>
      </c>
      <c r="L1681" s="7">
        <v>10032</v>
      </c>
      <c r="M1681" s="1">
        <v>12</v>
      </c>
      <c r="N1681" s="6">
        <v>5.96E-2</v>
      </c>
      <c r="O1681" s="1" t="s">
        <v>37</v>
      </c>
      <c r="P1681" s="1" t="s">
        <v>47</v>
      </c>
      <c r="Q1681" s="1">
        <v>7</v>
      </c>
      <c r="R1681" s="1">
        <v>0</v>
      </c>
      <c r="S1681" s="1" t="s">
        <v>33</v>
      </c>
      <c r="T1681" s="1" t="s">
        <v>31</v>
      </c>
      <c r="U1681" s="1">
        <v>1</v>
      </c>
      <c r="V1681" s="1">
        <v>58612</v>
      </c>
      <c r="W1681" s="7">
        <v>912.89</v>
      </c>
      <c r="X1681" s="1">
        <v>0.34</v>
      </c>
      <c r="Y1681" s="4">
        <v>44054</v>
      </c>
      <c r="Z1681" s="1" t="s">
        <v>38</v>
      </c>
      <c r="AA1681" s="1" t="s">
        <v>33</v>
      </c>
      <c r="AB1681" s="36" t="str" cm="1">
        <f t="array" ref="AB1681">_xlfn.IFS(K1681&gt;650,"LOW",K1681&gt;=550,"MEDIUM",K1681&lt;550,"HIGH")</f>
        <v>HIGH</v>
      </c>
    </row>
    <row r="1682" spans="3:28" x14ac:dyDescent="0.3">
      <c r="C1682" s="35" t="s">
        <v>2897</v>
      </c>
      <c r="D1682" s="1" t="s">
        <v>925</v>
      </c>
      <c r="E1682" s="1">
        <v>26</v>
      </c>
      <c r="F1682" s="1" t="s">
        <v>44</v>
      </c>
      <c r="G1682" s="1" t="s">
        <v>27</v>
      </c>
      <c r="H1682" s="1" t="s">
        <v>54</v>
      </c>
      <c r="I1682" s="1" t="s">
        <v>59</v>
      </c>
      <c r="J1682" s="7">
        <v>90246</v>
      </c>
      <c r="K1682" s="1">
        <v>387</v>
      </c>
      <c r="L1682" s="7">
        <v>40842</v>
      </c>
      <c r="M1682" s="1">
        <v>24</v>
      </c>
      <c r="N1682" s="6">
        <v>0.1449</v>
      </c>
      <c r="O1682" s="1" t="s">
        <v>63</v>
      </c>
      <c r="P1682" s="1" t="s">
        <v>50</v>
      </c>
      <c r="Q1682" s="1">
        <v>15</v>
      </c>
      <c r="R1682" s="1">
        <v>2</v>
      </c>
      <c r="S1682" s="1" t="s">
        <v>31</v>
      </c>
      <c r="T1682" s="1" t="s">
        <v>33</v>
      </c>
      <c r="U1682" s="1">
        <v>0</v>
      </c>
      <c r="V1682" s="1">
        <v>11920</v>
      </c>
      <c r="W1682" s="7">
        <v>1917.98</v>
      </c>
      <c r="X1682" s="1">
        <v>0.44</v>
      </c>
      <c r="Y1682" s="4">
        <v>45634</v>
      </c>
      <c r="Z1682" s="1" t="s">
        <v>32</v>
      </c>
      <c r="AA1682" s="1" t="s">
        <v>33</v>
      </c>
      <c r="AB1682" s="36" t="str" cm="1">
        <f t="array" ref="AB1682">_xlfn.IFS(K1682&gt;650,"LOW",K1682&gt;=550,"MEDIUM",K1682&lt;550,"HIGH")</f>
        <v>HIGH</v>
      </c>
    </row>
    <row r="1683" spans="3:28" x14ac:dyDescent="0.3">
      <c r="C1683" s="35" t="s">
        <v>2898</v>
      </c>
      <c r="D1683" s="1" t="s">
        <v>926</v>
      </c>
      <c r="E1683" s="1">
        <v>24</v>
      </c>
      <c r="F1683" s="1" t="s">
        <v>26</v>
      </c>
      <c r="G1683" s="1" t="s">
        <v>56</v>
      </c>
      <c r="H1683" s="1" t="s">
        <v>28</v>
      </c>
      <c r="I1683" s="1" t="s">
        <v>40</v>
      </c>
      <c r="J1683" s="7">
        <v>85864</v>
      </c>
      <c r="K1683" s="1">
        <v>387</v>
      </c>
      <c r="L1683" s="7">
        <v>4996</v>
      </c>
      <c r="M1683" s="1">
        <v>24</v>
      </c>
      <c r="N1683" s="6">
        <v>8.6300000000000002E-2</v>
      </c>
      <c r="O1683" s="1" t="s">
        <v>52</v>
      </c>
      <c r="P1683" s="1" t="s">
        <v>47</v>
      </c>
      <c r="Q1683" s="1">
        <v>6</v>
      </c>
      <c r="R1683" s="1">
        <v>1</v>
      </c>
      <c r="S1683" s="1" t="s">
        <v>31</v>
      </c>
      <c r="T1683" s="1" t="s">
        <v>33</v>
      </c>
      <c r="U1683" s="1">
        <v>2</v>
      </c>
      <c r="V1683" s="1">
        <v>80453</v>
      </c>
      <c r="W1683" s="7">
        <v>1315.68</v>
      </c>
      <c r="X1683" s="1">
        <v>0.73</v>
      </c>
      <c r="Y1683" s="4">
        <v>45703</v>
      </c>
      <c r="Z1683" s="1" t="s">
        <v>38</v>
      </c>
      <c r="AA1683" s="1" t="s">
        <v>33</v>
      </c>
      <c r="AB1683" s="36" t="str" cm="1">
        <f t="array" ref="AB1683">_xlfn.IFS(K1683&gt;650,"LOW",K1683&gt;=550,"MEDIUM",K1683&lt;550,"HIGH")</f>
        <v>HIGH</v>
      </c>
    </row>
    <row r="1684" spans="3:28" x14ac:dyDescent="0.3">
      <c r="C1684" s="35" t="s">
        <v>3624</v>
      </c>
      <c r="D1684" s="1" t="s">
        <v>1636</v>
      </c>
      <c r="E1684" s="1">
        <v>42</v>
      </c>
      <c r="F1684" s="1" t="s">
        <v>26</v>
      </c>
      <c r="G1684" s="1" t="s">
        <v>56</v>
      </c>
      <c r="H1684" s="1" t="s">
        <v>36</v>
      </c>
      <c r="I1684" s="1" t="s">
        <v>59</v>
      </c>
      <c r="J1684" s="7">
        <v>138920</v>
      </c>
      <c r="K1684" s="1">
        <v>387</v>
      </c>
      <c r="L1684" s="7">
        <v>26838</v>
      </c>
      <c r="M1684" s="1">
        <v>24</v>
      </c>
      <c r="N1684" s="6">
        <v>6.7699999999999996E-2</v>
      </c>
      <c r="O1684" s="1" t="s">
        <v>46</v>
      </c>
      <c r="P1684" s="1" t="s">
        <v>30</v>
      </c>
      <c r="Q1684" s="1">
        <v>6</v>
      </c>
      <c r="R1684" s="1">
        <v>2</v>
      </c>
      <c r="S1684" s="1" t="s">
        <v>31</v>
      </c>
      <c r="T1684" s="1" t="s">
        <v>33</v>
      </c>
      <c r="U1684" s="1">
        <v>0</v>
      </c>
      <c r="V1684" s="1">
        <v>166784</v>
      </c>
      <c r="W1684" s="7">
        <v>1373</v>
      </c>
      <c r="X1684" s="1">
        <v>0.55000000000000004</v>
      </c>
      <c r="Y1684" s="4">
        <v>44573</v>
      </c>
      <c r="Z1684" s="1" t="s">
        <v>38</v>
      </c>
      <c r="AA1684" s="1" t="s">
        <v>33</v>
      </c>
      <c r="AB1684" s="36" t="str" cm="1">
        <f t="array" ref="AB1684">_xlfn.IFS(K1684&gt;650,"LOW",K1684&gt;=550,"MEDIUM",K1684&lt;550,"HIGH")</f>
        <v>HIGH</v>
      </c>
    </row>
    <row r="1685" spans="3:28" x14ac:dyDescent="0.3">
      <c r="C1685" s="35" t="s">
        <v>3089</v>
      </c>
      <c r="D1685" s="1" t="s">
        <v>1115</v>
      </c>
      <c r="E1685" s="1">
        <v>56</v>
      </c>
      <c r="F1685" s="1" t="s">
        <v>26</v>
      </c>
      <c r="G1685" s="1" t="s">
        <v>35</v>
      </c>
      <c r="H1685" s="1" t="s">
        <v>61</v>
      </c>
      <c r="I1685" s="1" t="s">
        <v>29</v>
      </c>
      <c r="J1685" s="7">
        <v>75311</v>
      </c>
      <c r="K1685" s="1">
        <v>386</v>
      </c>
      <c r="L1685" s="7">
        <v>37282</v>
      </c>
      <c r="M1685" s="1">
        <v>48</v>
      </c>
      <c r="N1685" s="6">
        <v>0.1351</v>
      </c>
      <c r="O1685" s="1" t="s">
        <v>52</v>
      </c>
      <c r="P1685" s="1" t="s">
        <v>50</v>
      </c>
      <c r="Q1685" s="1">
        <v>27</v>
      </c>
      <c r="R1685" s="1">
        <v>3</v>
      </c>
      <c r="S1685" s="1" t="s">
        <v>31</v>
      </c>
      <c r="T1685" s="1" t="s">
        <v>33</v>
      </c>
      <c r="U1685" s="1">
        <v>1</v>
      </c>
      <c r="V1685" s="1">
        <v>188542</v>
      </c>
      <c r="W1685" s="7">
        <v>1692.26</v>
      </c>
      <c r="X1685" s="1">
        <v>0.89</v>
      </c>
      <c r="Y1685" s="4">
        <v>45163</v>
      </c>
      <c r="Z1685" s="1" t="s">
        <v>38</v>
      </c>
      <c r="AA1685" s="1" t="s">
        <v>33</v>
      </c>
      <c r="AB1685" s="36" t="str" cm="1">
        <f t="array" ref="AB1685">_xlfn.IFS(K1685&gt;650,"LOW",K1685&gt;=550,"MEDIUM",K1685&lt;550,"HIGH")</f>
        <v>HIGH</v>
      </c>
    </row>
    <row r="1686" spans="3:28" x14ac:dyDescent="0.3">
      <c r="C1686" s="35" t="s">
        <v>3130</v>
      </c>
      <c r="D1686" s="1" t="s">
        <v>1155</v>
      </c>
      <c r="E1686" s="1">
        <v>47</v>
      </c>
      <c r="F1686" s="1" t="s">
        <v>44</v>
      </c>
      <c r="G1686" s="1" t="s">
        <v>27</v>
      </c>
      <c r="H1686" s="1" t="s">
        <v>28</v>
      </c>
      <c r="I1686" s="1" t="s">
        <v>40</v>
      </c>
      <c r="J1686" s="7">
        <v>49187</v>
      </c>
      <c r="K1686" s="1">
        <v>386</v>
      </c>
      <c r="L1686" s="7">
        <v>29490</v>
      </c>
      <c r="M1686" s="1">
        <v>24</v>
      </c>
      <c r="N1686" s="6">
        <v>0.14319999999999999</v>
      </c>
      <c r="O1686" s="1" t="s">
        <v>37</v>
      </c>
      <c r="P1686" s="1" t="s">
        <v>47</v>
      </c>
      <c r="Q1686" s="1">
        <v>17</v>
      </c>
      <c r="R1686" s="1">
        <v>4</v>
      </c>
      <c r="S1686" s="1" t="s">
        <v>31</v>
      </c>
      <c r="T1686" s="1" t="s">
        <v>33</v>
      </c>
      <c r="U1686" s="1">
        <v>2</v>
      </c>
      <c r="V1686" s="1">
        <v>145479</v>
      </c>
      <c r="W1686" s="7">
        <v>670.49</v>
      </c>
      <c r="X1686" s="1">
        <v>0.76</v>
      </c>
      <c r="Y1686" s="4">
        <v>44401</v>
      </c>
      <c r="Z1686" s="1" t="s">
        <v>38</v>
      </c>
      <c r="AA1686" s="1" t="s">
        <v>33</v>
      </c>
      <c r="AB1686" s="36" t="str" cm="1">
        <f t="array" ref="AB1686">_xlfn.IFS(K1686&gt;650,"LOW",K1686&gt;=550,"MEDIUM",K1686&lt;550,"HIGH")</f>
        <v>HIGH</v>
      </c>
    </row>
    <row r="1687" spans="3:28" x14ac:dyDescent="0.3">
      <c r="C1687" s="35" t="s">
        <v>3369</v>
      </c>
      <c r="D1687" s="1" t="s">
        <v>1391</v>
      </c>
      <c r="E1687" s="1">
        <v>36</v>
      </c>
      <c r="F1687" s="1" t="s">
        <v>44</v>
      </c>
      <c r="G1687" s="1" t="s">
        <v>35</v>
      </c>
      <c r="H1687" s="1" t="s">
        <v>54</v>
      </c>
      <c r="I1687" s="1" t="s">
        <v>57</v>
      </c>
      <c r="J1687" s="7">
        <v>94099</v>
      </c>
      <c r="K1687" s="1">
        <v>386</v>
      </c>
      <c r="L1687" s="7">
        <v>28738</v>
      </c>
      <c r="M1687" s="1">
        <v>60</v>
      </c>
      <c r="N1687" s="6">
        <v>0.1527</v>
      </c>
      <c r="O1687" s="1" t="s">
        <v>46</v>
      </c>
      <c r="P1687" s="1" t="s">
        <v>50</v>
      </c>
      <c r="Q1687" s="1">
        <v>16</v>
      </c>
      <c r="R1687" s="1">
        <v>0</v>
      </c>
      <c r="S1687" s="1" t="s">
        <v>31</v>
      </c>
      <c r="T1687" s="1" t="s">
        <v>33</v>
      </c>
      <c r="U1687" s="1">
        <v>3</v>
      </c>
      <c r="V1687" s="1">
        <v>193419</v>
      </c>
      <c r="W1687" s="7">
        <v>416.62</v>
      </c>
      <c r="X1687" s="1">
        <v>0.77</v>
      </c>
      <c r="Y1687" s="4">
        <v>45144</v>
      </c>
      <c r="Z1687" s="1" t="s">
        <v>38</v>
      </c>
      <c r="AA1687" s="1" t="s">
        <v>33</v>
      </c>
      <c r="AB1687" s="36" t="str" cm="1">
        <f t="array" ref="AB1687">_xlfn.IFS(K1687&gt;650,"LOW",K1687&gt;=550,"MEDIUM",K1687&lt;550,"HIGH")</f>
        <v>HIGH</v>
      </c>
    </row>
    <row r="1688" spans="3:28" x14ac:dyDescent="0.3">
      <c r="C1688" s="35" t="s">
        <v>3694</v>
      </c>
      <c r="D1688" s="1" t="s">
        <v>1705</v>
      </c>
      <c r="E1688" s="1">
        <v>45</v>
      </c>
      <c r="F1688" s="1" t="s">
        <v>44</v>
      </c>
      <c r="G1688" s="1" t="s">
        <v>27</v>
      </c>
      <c r="H1688" s="1" t="s">
        <v>28</v>
      </c>
      <c r="I1688" s="1" t="s">
        <v>59</v>
      </c>
      <c r="J1688" s="7">
        <v>20968</v>
      </c>
      <c r="K1688" s="1">
        <v>386</v>
      </c>
      <c r="L1688" s="7">
        <v>13877</v>
      </c>
      <c r="M1688" s="1">
        <v>24</v>
      </c>
      <c r="N1688" s="6">
        <v>8.6899999999999991E-2</v>
      </c>
      <c r="O1688" s="1" t="s">
        <v>52</v>
      </c>
      <c r="P1688" s="1" t="s">
        <v>50</v>
      </c>
      <c r="Q1688" s="1">
        <v>10</v>
      </c>
      <c r="R1688" s="1">
        <v>4</v>
      </c>
      <c r="S1688" s="1" t="s">
        <v>31</v>
      </c>
      <c r="T1688" s="1" t="s">
        <v>31</v>
      </c>
      <c r="U1688" s="1">
        <v>3</v>
      </c>
      <c r="V1688" s="1">
        <v>76034</v>
      </c>
      <c r="W1688" s="7">
        <v>1420.57</v>
      </c>
      <c r="X1688" s="1">
        <v>0.35</v>
      </c>
      <c r="Y1688" s="4">
        <v>45343</v>
      </c>
      <c r="Z1688" s="1" t="s">
        <v>38</v>
      </c>
      <c r="AA1688" s="1" t="s">
        <v>33</v>
      </c>
      <c r="AB1688" s="36" t="str" cm="1">
        <f t="array" ref="AB1688">_xlfn.IFS(K1688&gt;650,"LOW",K1688&gt;=550,"MEDIUM",K1688&lt;550,"HIGH")</f>
        <v>HIGH</v>
      </c>
    </row>
    <row r="1689" spans="3:28" x14ac:dyDescent="0.3">
      <c r="C1689" s="35" t="s">
        <v>2710</v>
      </c>
      <c r="D1689" s="1" t="s">
        <v>740</v>
      </c>
      <c r="E1689" s="1">
        <v>61</v>
      </c>
      <c r="F1689" s="1" t="s">
        <v>26</v>
      </c>
      <c r="G1689" s="1" t="s">
        <v>35</v>
      </c>
      <c r="H1689" s="1" t="s">
        <v>28</v>
      </c>
      <c r="I1689" s="1" t="s">
        <v>59</v>
      </c>
      <c r="J1689" s="7">
        <v>34621</v>
      </c>
      <c r="K1689" s="1">
        <v>385</v>
      </c>
      <c r="L1689" s="7">
        <v>48021</v>
      </c>
      <c r="M1689" s="1">
        <v>60</v>
      </c>
      <c r="N1689" s="6">
        <v>0.1215</v>
      </c>
      <c r="O1689" s="1" t="s">
        <v>46</v>
      </c>
      <c r="P1689" s="1" t="s">
        <v>50</v>
      </c>
      <c r="Q1689" s="1">
        <v>8</v>
      </c>
      <c r="R1689" s="1">
        <v>4</v>
      </c>
      <c r="S1689" s="1" t="s">
        <v>33</v>
      </c>
      <c r="T1689" s="1" t="s">
        <v>33</v>
      </c>
      <c r="U1689" s="1">
        <v>2</v>
      </c>
      <c r="V1689" s="1">
        <v>156745</v>
      </c>
      <c r="W1689" s="7">
        <v>339.91</v>
      </c>
      <c r="X1689" s="1">
        <v>0.72</v>
      </c>
      <c r="Y1689" s="4">
        <v>45364</v>
      </c>
      <c r="Z1689" s="1" t="s">
        <v>38</v>
      </c>
      <c r="AA1689" s="1" t="s">
        <v>31</v>
      </c>
      <c r="AB1689" s="36" t="str" cm="1">
        <f t="array" ref="AB1689">_xlfn.IFS(K1689&gt;650,"LOW",K1689&gt;=550,"MEDIUM",K1689&lt;550,"HIGH")</f>
        <v>HIGH</v>
      </c>
    </row>
    <row r="1690" spans="3:28" x14ac:dyDescent="0.3">
      <c r="C1690" s="35" t="s">
        <v>3327</v>
      </c>
      <c r="D1690" s="1" t="s">
        <v>1350</v>
      </c>
      <c r="E1690" s="1">
        <v>63</v>
      </c>
      <c r="F1690" s="1" t="s">
        <v>26</v>
      </c>
      <c r="G1690" s="1" t="s">
        <v>56</v>
      </c>
      <c r="H1690" s="1" t="s">
        <v>36</v>
      </c>
      <c r="I1690" s="1" t="s">
        <v>59</v>
      </c>
      <c r="J1690" s="7">
        <v>50297</v>
      </c>
      <c r="K1690" s="1">
        <v>385</v>
      </c>
      <c r="L1690" s="7">
        <v>5597</v>
      </c>
      <c r="M1690" s="1">
        <v>24</v>
      </c>
      <c r="N1690" s="6">
        <v>8.4100000000000008E-2</v>
      </c>
      <c r="O1690" s="1" t="s">
        <v>37</v>
      </c>
      <c r="P1690" s="1" t="s">
        <v>30</v>
      </c>
      <c r="Q1690" s="1">
        <v>7</v>
      </c>
      <c r="R1690" s="1">
        <v>3</v>
      </c>
      <c r="S1690" s="1" t="s">
        <v>33</v>
      </c>
      <c r="T1690" s="1" t="s">
        <v>33</v>
      </c>
      <c r="U1690" s="1">
        <v>2</v>
      </c>
      <c r="V1690" s="1">
        <v>32035</v>
      </c>
      <c r="W1690" s="7">
        <v>1960.93</v>
      </c>
      <c r="X1690" s="1">
        <v>0.86</v>
      </c>
      <c r="Y1690" s="4">
        <v>44589</v>
      </c>
      <c r="Z1690" s="1" t="s">
        <v>32</v>
      </c>
      <c r="AA1690" s="1" t="s">
        <v>31</v>
      </c>
      <c r="AB1690" s="36" t="str" cm="1">
        <f t="array" ref="AB1690">_xlfn.IFS(K1690&gt;650,"LOW",K1690&gt;=550,"MEDIUM",K1690&lt;550,"HIGH")</f>
        <v>HIGH</v>
      </c>
    </row>
    <row r="1691" spans="3:28" x14ac:dyDescent="0.3">
      <c r="C1691" s="35" t="s">
        <v>3386</v>
      </c>
      <c r="D1691" s="1" t="s">
        <v>1406</v>
      </c>
      <c r="E1691" s="1">
        <v>46</v>
      </c>
      <c r="F1691" s="1" t="s">
        <v>44</v>
      </c>
      <c r="G1691" s="1" t="s">
        <v>35</v>
      </c>
      <c r="H1691" s="1" t="s">
        <v>36</v>
      </c>
      <c r="I1691" s="1" t="s">
        <v>40</v>
      </c>
      <c r="J1691" s="7">
        <v>66737</v>
      </c>
      <c r="K1691" s="1">
        <v>385</v>
      </c>
      <c r="L1691" s="7">
        <v>43842</v>
      </c>
      <c r="M1691" s="1">
        <v>60</v>
      </c>
      <c r="N1691" s="6">
        <v>6.6600000000000006E-2</v>
      </c>
      <c r="O1691" s="1" t="s">
        <v>46</v>
      </c>
      <c r="P1691" s="1" t="s">
        <v>50</v>
      </c>
      <c r="Q1691" s="1">
        <v>28</v>
      </c>
      <c r="R1691" s="1">
        <v>4</v>
      </c>
      <c r="S1691" s="1" t="s">
        <v>31</v>
      </c>
      <c r="T1691" s="1" t="s">
        <v>33</v>
      </c>
      <c r="U1691" s="1">
        <v>1</v>
      </c>
      <c r="V1691" s="1">
        <v>131185</v>
      </c>
      <c r="W1691" s="7">
        <v>1598.52</v>
      </c>
      <c r="X1691" s="1">
        <v>0.39</v>
      </c>
      <c r="Y1691" s="4">
        <v>44293</v>
      </c>
      <c r="Z1691" s="1" t="s">
        <v>38</v>
      </c>
      <c r="AA1691" s="1" t="s">
        <v>31</v>
      </c>
      <c r="AB1691" s="36" t="str" cm="1">
        <f t="array" ref="AB1691">_xlfn.IFS(K1691&gt;650,"LOW",K1691&gt;=550,"MEDIUM",K1691&lt;550,"HIGH")</f>
        <v>HIGH</v>
      </c>
    </row>
    <row r="1692" spans="3:28" x14ac:dyDescent="0.3">
      <c r="C1692" s="35" t="s">
        <v>3437</v>
      </c>
      <c r="D1692" s="1" t="s">
        <v>1456</v>
      </c>
      <c r="E1692" s="1">
        <v>33</v>
      </c>
      <c r="F1692" s="1" t="s">
        <v>26</v>
      </c>
      <c r="G1692" s="1" t="s">
        <v>45</v>
      </c>
      <c r="H1692" s="1" t="s">
        <v>54</v>
      </c>
      <c r="I1692" s="1" t="s">
        <v>29</v>
      </c>
      <c r="J1692" s="7">
        <v>55863</v>
      </c>
      <c r="K1692" s="1">
        <v>385</v>
      </c>
      <c r="L1692" s="7">
        <v>33596</v>
      </c>
      <c r="M1692" s="1">
        <v>60</v>
      </c>
      <c r="N1692" s="6">
        <v>0.11460000000000001</v>
      </c>
      <c r="O1692" s="1" t="s">
        <v>37</v>
      </c>
      <c r="P1692" s="1" t="s">
        <v>30</v>
      </c>
      <c r="Q1692" s="1">
        <v>7</v>
      </c>
      <c r="R1692" s="1">
        <v>1</v>
      </c>
      <c r="S1692" s="1" t="s">
        <v>31</v>
      </c>
      <c r="T1692" s="1" t="s">
        <v>31</v>
      </c>
      <c r="U1692" s="1">
        <v>4</v>
      </c>
      <c r="V1692" s="1">
        <v>52600</v>
      </c>
      <c r="W1692" s="7">
        <v>1910.7</v>
      </c>
      <c r="X1692" s="1">
        <v>0.33</v>
      </c>
      <c r="Y1692" s="4">
        <v>44814</v>
      </c>
      <c r="Z1692" s="1" t="s">
        <v>38</v>
      </c>
      <c r="AA1692" s="1" t="s">
        <v>33</v>
      </c>
      <c r="AB1692" s="36" t="str" cm="1">
        <f t="array" ref="AB1692">_xlfn.IFS(K1692&gt;650,"LOW",K1692&gt;=550,"MEDIUM",K1692&lt;550,"HIGH")</f>
        <v>HIGH</v>
      </c>
    </row>
    <row r="1693" spans="3:28" x14ac:dyDescent="0.3">
      <c r="C1693" s="35" t="s">
        <v>3678</v>
      </c>
      <c r="D1693" s="1" t="s">
        <v>1690</v>
      </c>
      <c r="E1693" s="1">
        <v>25</v>
      </c>
      <c r="F1693" s="1" t="s">
        <v>44</v>
      </c>
      <c r="G1693" s="1" t="s">
        <v>45</v>
      </c>
      <c r="H1693" s="1" t="s">
        <v>28</v>
      </c>
      <c r="I1693" s="1" t="s">
        <v>59</v>
      </c>
      <c r="J1693" s="7">
        <v>53172</v>
      </c>
      <c r="K1693" s="1">
        <v>385</v>
      </c>
      <c r="L1693" s="7">
        <v>30531</v>
      </c>
      <c r="M1693" s="1">
        <v>60</v>
      </c>
      <c r="N1693" s="6">
        <v>0.19640000000000002</v>
      </c>
      <c r="O1693" s="1" t="s">
        <v>5</v>
      </c>
      <c r="P1693" s="1" t="s">
        <v>47</v>
      </c>
      <c r="Q1693" s="1">
        <v>2</v>
      </c>
      <c r="R1693" s="1">
        <v>4</v>
      </c>
      <c r="S1693" s="1" t="s">
        <v>33</v>
      </c>
      <c r="T1693" s="1" t="s">
        <v>31</v>
      </c>
      <c r="U1693" s="1">
        <v>4</v>
      </c>
      <c r="V1693" s="1">
        <v>183835</v>
      </c>
      <c r="W1693" s="7">
        <v>1386.53</v>
      </c>
      <c r="X1693" s="1">
        <v>0.32</v>
      </c>
      <c r="Y1693" s="4">
        <v>45200</v>
      </c>
      <c r="Z1693" s="1" t="s">
        <v>32</v>
      </c>
      <c r="AA1693" s="1" t="s">
        <v>33</v>
      </c>
      <c r="AB1693" s="36" t="str" cm="1">
        <f t="array" ref="AB1693">_xlfn.IFS(K1693&gt;650,"LOW",K1693&gt;=550,"MEDIUM",K1693&lt;550,"HIGH")</f>
        <v>HIGH</v>
      </c>
    </row>
    <row r="1694" spans="3:28" x14ac:dyDescent="0.3">
      <c r="C1694" s="35" t="s">
        <v>3857</v>
      </c>
      <c r="D1694" s="1" t="s">
        <v>1863</v>
      </c>
      <c r="E1694" s="1">
        <v>23</v>
      </c>
      <c r="F1694" s="1" t="s">
        <v>44</v>
      </c>
      <c r="G1694" s="1" t="s">
        <v>35</v>
      </c>
      <c r="H1694" s="1" t="s">
        <v>28</v>
      </c>
      <c r="I1694" s="1" t="s">
        <v>29</v>
      </c>
      <c r="J1694" s="7">
        <v>35540</v>
      </c>
      <c r="K1694" s="1">
        <v>385</v>
      </c>
      <c r="L1694" s="7">
        <v>21514</v>
      </c>
      <c r="M1694" s="1">
        <v>12</v>
      </c>
      <c r="N1694" s="6">
        <v>8.5800000000000001E-2</v>
      </c>
      <c r="O1694" s="1" t="s">
        <v>41</v>
      </c>
      <c r="P1694" s="1" t="s">
        <v>47</v>
      </c>
      <c r="Q1694" s="1">
        <v>17</v>
      </c>
      <c r="R1694" s="1">
        <v>0</v>
      </c>
      <c r="S1694" s="1" t="s">
        <v>33</v>
      </c>
      <c r="T1694" s="1" t="s">
        <v>31</v>
      </c>
      <c r="U1694" s="1">
        <v>0</v>
      </c>
      <c r="V1694" s="1">
        <v>16734</v>
      </c>
      <c r="W1694" s="7">
        <v>682.06</v>
      </c>
      <c r="X1694" s="1">
        <v>0.22</v>
      </c>
      <c r="Y1694" s="4">
        <v>44787</v>
      </c>
      <c r="Z1694" s="1" t="s">
        <v>32</v>
      </c>
      <c r="AA1694" s="1" t="s">
        <v>33</v>
      </c>
      <c r="AB1694" s="36" t="str" cm="1">
        <f t="array" ref="AB1694">_xlfn.IFS(K1694&gt;650,"LOW",K1694&gt;=550,"MEDIUM",K1694&lt;550,"HIGH")</f>
        <v>HIGH</v>
      </c>
    </row>
    <row r="1695" spans="3:28" x14ac:dyDescent="0.3">
      <c r="C1695" s="35" t="s">
        <v>3868</v>
      </c>
      <c r="D1695" s="1" t="s">
        <v>1874</v>
      </c>
      <c r="E1695" s="1">
        <v>43</v>
      </c>
      <c r="F1695" s="1" t="s">
        <v>26</v>
      </c>
      <c r="G1695" s="1" t="s">
        <v>56</v>
      </c>
      <c r="H1695" s="1" t="s">
        <v>36</v>
      </c>
      <c r="I1695" s="1" t="s">
        <v>40</v>
      </c>
      <c r="J1695" s="7">
        <v>42606</v>
      </c>
      <c r="K1695" s="1">
        <v>385</v>
      </c>
      <c r="L1695" s="7">
        <v>41910</v>
      </c>
      <c r="M1695" s="1">
        <v>36</v>
      </c>
      <c r="N1695" s="6">
        <v>7.1900000000000006E-2</v>
      </c>
      <c r="O1695" s="1" t="s">
        <v>46</v>
      </c>
      <c r="P1695" s="1" t="s">
        <v>47</v>
      </c>
      <c r="Q1695" s="1">
        <v>17</v>
      </c>
      <c r="R1695" s="1">
        <v>1</v>
      </c>
      <c r="S1695" s="1" t="s">
        <v>31</v>
      </c>
      <c r="T1695" s="1" t="s">
        <v>33</v>
      </c>
      <c r="U1695" s="1">
        <v>4</v>
      </c>
      <c r="V1695" s="1">
        <v>27132</v>
      </c>
      <c r="W1695" s="7">
        <v>525.83000000000004</v>
      </c>
      <c r="X1695" s="1">
        <v>0.68</v>
      </c>
      <c r="Y1695" s="4">
        <v>44623</v>
      </c>
      <c r="Z1695" s="1" t="s">
        <v>32</v>
      </c>
      <c r="AA1695" s="1" t="s">
        <v>31</v>
      </c>
      <c r="AB1695" s="36" t="str" cm="1">
        <f t="array" ref="AB1695">_xlfn.IFS(K1695&gt;650,"LOW",K1695&gt;=550,"MEDIUM",K1695&lt;550,"HIGH")</f>
        <v>HIGH</v>
      </c>
    </row>
    <row r="1696" spans="3:28" x14ac:dyDescent="0.3">
      <c r="C1696" s="35" t="s">
        <v>2416</v>
      </c>
      <c r="D1696" s="1" t="s">
        <v>446</v>
      </c>
      <c r="E1696" s="1">
        <v>26</v>
      </c>
      <c r="F1696" s="1" t="s">
        <v>26</v>
      </c>
      <c r="G1696" s="1" t="s">
        <v>27</v>
      </c>
      <c r="H1696" s="1" t="s">
        <v>36</v>
      </c>
      <c r="I1696" s="1" t="s">
        <v>59</v>
      </c>
      <c r="J1696" s="7">
        <v>43350</v>
      </c>
      <c r="K1696" s="1">
        <v>384</v>
      </c>
      <c r="L1696" s="7">
        <v>39428</v>
      </c>
      <c r="M1696" s="1">
        <v>36</v>
      </c>
      <c r="N1696" s="6">
        <v>8.2899999999999988E-2</v>
      </c>
      <c r="O1696" s="1" t="s">
        <v>63</v>
      </c>
      <c r="P1696" s="1" t="s">
        <v>30</v>
      </c>
      <c r="Q1696" s="1">
        <v>17</v>
      </c>
      <c r="R1696" s="1">
        <v>1</v>
      </c>
      <c r="S1696" s="1" t="s">
        <v>31</v>
      </c>
      <c r="T1696" s="1" t="s">
        <v>33</v>
      </c>
      <c r="U1696" s="1">
        <v>2</v>
      </c>
      <c r="V1696" s="1">
        <v>140559</v>
      </c>
      <c r="W1696" s="7">
        <v>148.46</v>
      </c>
      <c r="X1696" s="1">
        <v>0.45</v>
      </c>
      <c r="Y1696" s="4">
        <v>45846</v>
      </c>
      <c r="Z1696" s="1" t="s">
        <v>38</v>
      </c>
      <c r="AA1696" s="1" t="s">
        <v>33</v>
      </c>
      <c r="AB1696" s="36" t="str" cm="1">
        <f t="array" ref="AB1696">_xlfn.IFS(K1696&gt;650,"LOW",K1696&gt;=550,"MEDIUM",K1696&lt;550,"HIGH")</f>
        <v>HIGH</v>
      </c>
    </row>
    <row r="1697" spans="3:28" x14ac:dyDescent="0.3">
      <c r="C1697" s="35" t="s">
        <v>3111</v>
      </c>
      <c r="D1697" s="1" t="s">
        <v>1136</v>
      </c>
      <c r="E1697" s="1">
        <v>21</v>
      </c>
      <c r="F1697" s="1" t="s">
        <v>44</v>
      </c>
      <c r="G1697" s="1" t="s">
        <v>45</v>
      </c>
      <c r="H1697" s="1" t="s">
        <v>54</v>
      </c>
      <c r="I1697" s="1" t="s">
        <v>59</v>
      </c>
      <c r="J1697" s="7">
        <v>148588</v>
      </c>
      <c r="K1697" s="1">
        <v>384</v>
      </c>
      <c r="L1697" s="7">
        <v>3921</v>
      </c>
      <c r="M1697" s="1">
        <v>48</v>
      </c>
      <c r="N1697" s="6">
        <v>0.13189999999999999</v>
      </c>
      <c r="O1697" s="1" t="s">
        <v>37</v>
      </c>
      <c r="P1697" s="1" t="s">
        <v>47</v>
      </c>
      <c r="Q1697" s="1">
        <v>2</v>
      </c>
      <c r="R1697" s="1">
        <v>3</v>
      </c>
      <c r="S1697" s="1" t="s">
        <v>31</v>
      </c>
      <c r="T1697" s="1" t="s">
        <v>33</v>
      </c>
      <c r="U1697" s="1">
        <v>2</v>
      </c>
      <c r="V1697" s="1">
        <v>189958</v>
      </c>
      <c r="W1697" s="7">
        <v>939.27</v>
      </c>
      <c r="X1697" s="1">
        <v>0.61</v>
      </c>
      <c r="Y1697" s="4">
        <v>45546</v>
      </c>
      <c r="Z1697" s="1" t="s">
        <v>32</v>
      </c>
      <c r="AA1697" s="1" t="s">
        <v>31</v>
      </c>
      <c r="AB1697" s="36" t="str" cm="1">
        <f t="array" ref="AB1697">_xlfn.IFS(K1697&gt;650,"LOW",K1697&gt;=550,"MEDIUM",K1697&lt;550,"HIGH")</f>
        <v>HIGH</v>
      </c>
    </row>
    <row r="1698" spans="3:28" x14ac:dyDescent="0.3">
      <c r="C1698" s="35" t="s">
        <v>3912</v>
      </c>
      <c r="D1698" s="1" t="s">
        <v>1916</v>
      </c>
      <c r="E1698" s="1">
        <v>28</v>
      </c>
      <c r="F1698" s="1" t="s">
        <v>26</v>
      </c>
      <c r="G1698" s="1" t="s">
        <v>56</v>
      </c>
      <c r="H1698" s="1" t="s">
        <v>28</v>
      </c>
      <c r="I1698" s="1" t="s">
        <v>59</v>
      </c>
      <c r="J1698" s="7">
        <v>20132</v>
      </c>
      <c r="K1698" s="1">
        <v>384</v>
      </c>
      <c r="L1698" s="7">
        <v>25537</v>
      </c>
      <c r="M1698" s="1">
        <v>48</v>
      </c>
      <c r="N1698" s="6">
        <v>0.1898</v>
      </c>
      <c r="O1698" s="1" t="s">
        <v>41</v>
      </c>
      <c r="P1698" s="1" t="s">
        <v>50</v>
      </c>
      <c r="Q1698" s="1">
        <v>26</v>
      </c>
      <c r="R1698" s="1">
        <v>2</v>
      </c>
      <c r="S1698" s="1" t="s">
        <v>31</v>
      </c>
      <c r="T1698" s="1" t="s">
        <v>33</v>
      </c>
      <c r="U1698" s="1">
        <v>4</v>
      </c>
      <c r="V1698" s="1">
        <v>135157</v>
      </c>
      <c r="W1698" s="7">
        <v>851.99</v>
      </c>
      <c r="X1698" s="1">
        <v>0.12</v>
      </c>
      <c r="Y1698" s="4">
        <v>45617</v>
      </c>
      <c r="Z1698" s="1" t="s">
        <v>38</v>
      </c>
      <c r="AA1698" s="1" t="s">
        <v>33</v>
      </c>
      <c r="AB1698" s="36" t="str" cm="1">
        <f t="array" ref="AB1698">_xlfn.IFS(K1698&gt;650,"LOW",K1698&gt;=550,"MEDIUM",K1698&lt;550,"HIGH")</f>
        <v>HIGH</v>
      </c>
    </row>
    <row r="1699" spans="3:28" x14ac:dyDescent="0.3">
      <c r="C1699" s="35" t="s">
        <v>2188</v>
      </c>
      <c r="D1699" s="1" t="s">
        <v>219</v>
      </c>
      <c r="E1699" s="1">
        <v>53</v>
      </c>
      <c r="F1699" s="1" t="s">
        <v>44</v>
      </c>
      <c r="G1699" s="1" t="s">
        <v>45</v>
      </c>
      <c r="H1699" s="1" t="s">
        <v>54</v>
      </c>
      <c r="I1699" s="1" t="s">
        <v>57</v>
      </c>
      <c r="J1699" s="7">
        <v>55187</v>
      </c>
      <c r="K1699" s="1">
        <v>383</v>
      </c>
      <c r="L1699" s="7">
        <v>4196</v>
      </c>
      <c r="M1699" s="1">
        <v>24</v>
      </c>
      <c r="N1699" s="6">
        <v>0.17629999999999998</v>
      </c>
      <c r="O1699" s="1" t="s">
        <v>37</v>
      </c>
      <c r="P1699" s="1" t="s">
        <v>30</v>
      </c>
      <c r="Q1699" s="1">
        <v>21</v>
      </c>
      <c r="R1699" s="1">
        <v>4</v>
      </c>
      <c r="S1699" s="1" t="s">
        <v>31</v>
      </c>
      <c r="T1699" s="1" t="s">
        <v>31</v>
      </c>
      <c r="U1699" s="1">
        <v>3</v>
      </c>
      <c r="V1699" s="1">
        <v>11179</v>
      </c>
      <c r="W1699" s="7">
        <v>1636.4</v>
      </c>
      <c r="X1699" s="1">
        <v>0.8</v>
      </c>
      <c r="Y1699" s="4">
        <v>45362</v>
      </c>
      <c r="Z1699" s="1" t="s">
        <v>32</v>
      </c>
      <c r="AA1699" s="1" t="s">
        <v>33</v>
      </c>
      <c r="AB1699" s="36" t="str" cm="1">
        <f t="array" ref="AB1699">_xlfn.IFS(K1699&gt;650,"LOW",K1699&gt;=550,"MEDIUM",K1699&lt;550,"HIGH")</f>
        <v>HIGH</v>
      </c>
    </row>
    <row r="1700" spans="3:28" x14ac:dyDescent="0.3">
      <c r="C1700" s="35" t="s">
        <v>2494</v>
      </c>
      <c r="D1700" s="1" t="s">
        <v>524</v>
      </c>
      <c r="E1700" s="1">
        <v>63</v>
      </c>
      <c r="F1700" s="1" t="s">
        <v>26</v>
      </c>
      <c r="G1700" s="1" t="s">
        <v>35</v>
      </c>
      <c r="H1700" s="1" t="s">
        <v>61</v>
      </c>
      <c r="I1700" s="1" t="s">
        <v>59</v>
      </c>
      <c r="J1700" s="7">
        <v>60733</v>
      </c>
      <c r="K1700" s="1">
        <v>383</v>
      </c>
      <c r="L1700" s="7">
        <v>36814</v>
      </c>
      <c r="M1700" s="1">
        <v>60</v>
      </c>
      <c r="N1700" s="6">
        <v>0.16889999999999999</v>
      </c>
      <c r="O1700" s="1" t="s">
        <v>46</v>
      </c>
      <c r="P1700" s="1" t="s">
        <v>47</v>
      </c>
      <c r="Q1700" s="1">
        <v>21</v>
      </c>
      <c r="R1700" s="1">
        <v>2</v>
      </c>
      <c r="S1700" s="1" t="s">
        <v>31</v>
      </c>
      <c r="T1700" s="1" t="s">
        <v>33</v>
      </c>
      <c r="U1700" s="1">
        <v>1</v>
      </c>
      <c r="V1700" s="1">
        <v>149642</v>
      </c>
      <c r="W1700" s="7">
        <v>676.86</v>
      </c>
      <c r="X1700" s="1">
        <v>0.61</v>
      </c>
      <c r="Y1700" s="4">
        <v>44455</v>
      </c>
      <c r="Z1700" s="1" t="s">
        <v>38</v>
      </c>
      <c r="AA1700" s="1" t="s">
        <v>31</v>
      </c>
      <c r="AB1700" s="36" t="str" cm="1">
        <f t="array" ref="AB1700">_xlfn.IFS(K1700&gt;650,"LOW",K1700&gt;=550,"MEDIUM",K1700&lt;550,"HIGH")</f>
        <v>HIGH</v>
      </c>
    </row>
    <row r="1701" spans="3:28" x14ac:dyDescent="0.3">
      <c r="C1701" s="35" t="s">
        <v>3128</v>
      </c>
      <c r="D1701" s="1" t="s">
        <v>1153</v>
      </c>
      <c r="E1701" s="1">
        <v>47</v>
      </c>
      <c r="F1701" s="1" t="s">
        <v>26</v>
      </c>
      <c r="G1701" s="1" t="s">
        <v>35</v>
      </c>
      <c r="H1701" s="1" t="s">
        <v>28</v>
      </c>
      <c r="I1701" s="1" t="s">
        <v>57</v>
      </c>
      <c r="J1701" s="7">
        <v>40625</v>
      </c>
      <c r="K1701" s="1">
        <v>383</v>
      </c>
      <c r="L1701" s="7">
        <v>26772</v>
      </c>
      <c r="M1701" s="1">
        <v>24</v>
      </c>
      <c r="N1701" s="6">
        <v>0.155</v>
      </c>
      <c r="O1701" s="1" t="s">
        <v>46</v>
      </c>
      <c r="P1701" s="1" t="s">
        <v>50</v>
      </c>
      <c r="Q1701" s="1">
        <v>15</v>
      </c>
      <c r="R1701" s="1">
        <v>3</v>
      </c>
      <c r="S1701" s="1" t="s">
        <v>31</v>
      </c>
      <c r="T1701" s="1" t="s">
        <v>31</v>
      </c>
      <c r="U1701" s="1">
        <v>4</v>
      </c>
      <c r="V1701" s="1">
        <v>141376</v>
      </c>
      <c r="W1701" s="7">
        <v>834.28</v>
      </c>
      <c r="X1701" s="1">
        <v>0.61</v>
      </c>
      <c r="Y1701" s="4">
        <v>45240</v>
      </c>
      <c r="Z1701" s="1" t="s">
        <v>32</v>
      </c>
      <c r="AA1701" s="1" t="s">
        <v>33</v>
      </c>
      <c r="AB1701" s="36" t="str" cm="1">
        <f t="array" ref="AB1701">_xlfn.IFS(K1701&gt;650,"LOW",K1701&gt;=550,"MEDIUM",K1701&lt;550,"HIGH")</f>
        <v>HIGH</v>
      </c>
    </row>
    <row r="1702" spans="3:28" x14ac:dyDescent="0.3">
      <c r="C1702" s="35" t="s">
        <v>3293</v>
      </c>
      <c r="D1702" s="1" t="s">
        <v>1316</v>
      </c>
      <c r="E1702" s="1">
        <v>26</v>
      </c>
      <c r="F1702" s="1" t="s">
        <v>26</v>
      </c>
      <c r="G1702" s="1" t="s">
        <v>56</v>
      </c>
      <c r="H1702" s="1" t="s">
        <v>28</v>
      </c>
      <c r="I1702" s="1" t="s">
        <v>59</v>
      </c>
      <c r="J1702" s="7">
        <v>72066</v>
      </c>
      <c r="K1702" s="1">
        <v>383</v>
      </c>
      <c r="L1702" s="7">
        <v>39413</v>
      </c>
      <c r="M1702" s="1">
        <v>60</v>
      </c>
      <c r="N1702" s="6">
        <v>0.18859999999999999</v>
      </c>
      <c r="O1702" s="1" t="s">
        <v>5</v>
      </c>
      <c r="P1702" s="1" t="s">
        <v>50</v>
      </c>
      <c r="Q1702" s="1">
        <v>19</v>
      </c>
      <c r="R1702" s="1">
        <v>1</v>
      </c>
      <c r="S1702" s="1" t="s">
        <v>31</v>
      </c>
      <c r="T1702" s="1" t="s">
        <v>33</v>
      </c>
      <c r="U1702" s="1">
        <v>1</v>
      </c>
      <c r="V1702" s="1">
        <v>1459</v>
      </c>
      <c r="W1702" s="7">
        <v>1210.57</v>
      </c>
      <c r="X1702" s="1">
        <v>0.52</v>
      </c>
      <c r="Y1702" s="4">
        <v>44644</v>
      </c>
      <c r="Z1702" s="1" t="s">
        <v>32</v>
      </c>
      <c r="AA1702" s="1" t="s">
        <v>33</v>
      </c>
      <c r="AB1702" s="36" t="str" cm="1">
        <f t="array" ref="AB1702">_xlfn.IFS(K1702&gt;650,"LOW",K1702&gt;=550,"MEDIUM",K1702&lt;550,"HIGH")</f>
        <v>HIGH</v>
      </c>
    </row>
    <row r="1703" spans="3:28" x14ac:dyDescent="0.3">
      <c r="C1703" s="35" t="s">
        <v>2556</v>
      </c>
      <c r="D1703" s="1" t="s">
        <v>586</v>
      </c>
      <c r="E1703" s="1">
        <v>32</v>
      </c>
      <c r="F1703" s="1" t="s">
        <v>26</v>
      </c>
      <c r="G1703" s="1" t="s">
        <v>56</v>
      </c>
      <c r="H1703" s="1" t="s">
        <v>28</v>
      </c>
      <c r="I1703" s="1" t="s">
        <v>57</v>
      </c>
      <c r="J1703" s="7">
        <v>31110</v>
      </c>
      <c r="K1703" s="1">
        <v>382</v>
      </c>
      <c r="L1703" s="7">
        <v>46530</v>
      </c>
      <c r="M1703" s="1">
        <v>48</v>
      </c>
      <c r="N1703" s="6">
        <v>0.16020000000000001</v>
      </c>
      <c r="O1703" s="1" t="s">
        <v>46</v>
      </c>
      <c r="P1703" s="1" t="s">
        <v>47</v>
      </c>
      <c r="Q1703" s="1">
        <v>1</v>
      </c>
      <c r="R1703" s="1">
        <v>0</v>
      </c>
      <c r="S1703" s="1" t="s">
        <v>31</v>
      </c>
      <c r="T1703" s="1" t="s">
        <v>33</v>
      </c>
      <c r="U1703" s="1">
        <v>2</v>
      </c>
      <c r="V1703" s="1">
        <v>64397</v>
      </c>
      <c r="W1703" s="7">
        <v>1923.36</v>
      </c>
      <c r="X1703" s="1">
        <v>0.86</v>
      </c>
      <c r="Y1703" s="4">
        <v>44520</v>
      </c>
      <c r="Z1703" s="1" t="s">
        <v>38</v>
      </c>
      <c r="AA1703" s="1" t="s">
        <v>33</v>
      </c>
      <c r="AB1703" s="36" t="str" cm="1">
        <f t="array" ref="AB1703">_xlfn.IFS(K1703&gt;650,"LOW",K1703&gt;=550,"MEDIUM",K1703&lt;550,"HIGH")</f>
        <v>HIGH</v>
      </c>
    </row>
    <row r="1704" spans="3:28" x14ac:dyDescent="0.3">
      <c r="C1704" s="35" t="s">
        <v>2725</v>
      </c>
      <c r="D1704" s="1" t="s">
        <v>755</v>
      </c>
      <c r="E1704" s="1">
        <v>30</v>
      </c>
      <c r="F1704" s="1" t="s">
        <v>26</v>
      </c>
      <c r="G1704" s="1" t="s">
        <v>27</v>
      </c>
      <c r="H1704" s="1" t="s">
        <v>61</v>
      </c>
      <c r="I1704" s="1" t="s">
        <v>40</v>
      </c>
      <c r="J1704" s="7">
        <v>37194</v>
      </c>
      <c r="K1704" s="1">
        <v>382</v>
      </c>
      <c r="L1704" s="7">
        <v>10243</v>
      </c>
      <c r="M1704" s="1">
        <v>60</v>
      </c>
      <c r="N1704" s="6">
        <v>8.7899999999999992E-2</v>
      </c>
      <c r="O1704" s="1" t="s">
        <v>63</v>
      </c>
      <c r="P1704" s="1" t="s">
        <v>50</v>
      </c>
      <c r="Q1704" s="1">
        <v>28</v>
      </c>
      <c r="R1704" s="1">
        <v>0</v>
      </c>
      <c r="S1704" s="1" t="s">
        <v>31</v>
      </c>
      <c r="T1704" s="1" t="s">
        <v>31</v>
      </c>
      <c r="U1704" s="1">
        <v>2</v>
      </c>
      <c r="V1704" s="1">
        <v>69191</v>
      </c>
      <c r="W1704" s="7">
        <v>195.91</v>
      </c>
      <c r="X1704" s="1">
        <v>0.65</v>
      </c>
      <c r="Y1704" s="4">
        <v>45332</v>
      </c>
      <c r="Z1704" s="1" t="s">
        <v>32</v>
      </c>
      <c r="AA1704" s="1" t="s">
        <v>33</v>
      </c>
      <c r="AB1704" s="36" t="str" cm="1">
        <f t="array" ref="AB1704">_xlfn.IFS(K1704&gt;650,"LOW",K1704&gt;=550,"MEDIUM",K1704&lt;550,"HIGH")</f>
        <v>HIGH</v>
      </c>
    </row>
    <row r="1705" spans="3:28" x14ac:dyDescent="0.3">
      <c r="C1705" s="35" t="s">
        <v>3805</v>
      </c>
      <c r="D1705" s="1" t="s">
        <v>1811</v>
      </c>
      <c r="E1705" s="1">
        <v>32</v>
      </c>
      <c r="F1705" s="1" t="s">
        <v>26</v>
      </c>
      <c r="G1705" s="1" t="s">
        <v>56</v>
      </c>
      <c r="H1705" s="1" t="s">
        <v>61</v>
      </c>
      <c r="I1705" s="1" t="s">
        <v>57</v>
      </c>
      <c r="J1705" s="7">
        <v>88906</v>
      </c>
      <c r="K1705" s="1">
        <v>382</v>
      </c>
      <c r="L1705" s="7">
        <v>40255</v>
      </c>
      <c r="M1705" s="1">
        <v>12</v>
      </c>
      <c r="N1705" s="6">
        <v>0.13819999999999999</v>
      </c>
      <c r="O1705" s="1" t="s">
        <v>46</v>
      </c>
      <c r="P1705" s="1" t="s">
        <v>30</v>
      </c>
      <c r="Q1705" s="1">
        <v>10</v>
      </c>
      <c r="R1705" s="1">
        <v>3</v>
      </c>
      <c r="S1705" s="1" t="s">
        <v>33</v>
      </c>
      <c r="T1705" s="1" t="s">
        <v>33</v>
      </c>
      <c r="U1705" s="1">
        <v>4</v>
      </c>
      <c r="V1705" s="1">
        <v>20598</v>
      </c>
      <c r="W1705" s="7">
        <v>643.59</v>
      </c>
      <c r="X1705" s="1">
        <v>0.2</v>
      </c>
      <c r="Y1705" s="4">
        <v>45435</v>
      </c>
      <c r="Z1705" s="1" t="s">
        <v>38</v>
      </c>
      <c r="AA1705" s="1" t="s">
        <v>31</v>
      </c>
      <c r="AB1705" s="36" t="str" cm="1">
        <f t="array" ref="AB1705">_xlfn.IFS(K1705&gt;650,"LOW",K1705&gt;=550,"MEDIUM",K1705&lt;550,"HIGH")</f>
        <v>HIGH</v>
      </c>
    </row>
    <row r="1706" spans="3:28" x14ac:dyDescent="0.3">
      <c r="C1706" s="35" t="s">
        <v>2204</v>
      </c>
      <c r="D1706" s="1" t="s">
        <v>235</v>
      </c>
      <c r="E1706" s="1">
        <v>35</v>
      </c>
      <c r="F1706" s="1" t="s">
        <v>26</v>
      </c>
      <c r="G1706" s="1" t="s">
        <v>56</v>
      </c>
      <c r="H1706" s="1" t="s">
        <v>61</v>
      </c>
      <c r="I1706" s="1" t="s">
        <v>57</v>
      </c>
      <c r="J1706" s="7">
        <v>24042</v>
      </c>
      <c r="K1706" s="1">
        <v>381</v>
      </c>
      <c r="L1706" s="7">
        <v>46516</v>
      </c>
      <c r="M1706" s="1">
        <v>12</v>
      </c>
      <c r="N1706" s="6">
        <v>7.8200000000000006E-2</v>
      </c>
      <c r="O1706" s="1" t="s">
        <v>52</v>
      </c>
      <c r="P1706" s="1" t="s">
        <v>47</v>
      </c>
      <c r="Q1706" s="1">
        <v>9</v>
      </c>
      <c r="R1706" s="1">
        <v>0</v>
      </c>
      <c r="S1706" s="1" t="s">
        <v>33</v>
      </c>
      <c r="T1706" s="1" t="s">
        <v>33</v>
      </c>
      <c r="U1706" s="1">
        <v>2</v>
      </c>
      <c r="V1706" s="1">
        <v>71352</v>
      </c>
      <c r="W1706" s="7">
        <v>354.49</v>
      </c>
      <c r="X1706" s="1">
        <v>0.57999999999999996</v>
      </c>
      <c r="Y1706" s="4">
        <v>44961</v>
      </c>
      <c r="Z1706" s="1" t="s">
        <v>32</v>
      </c>
      <c r="AA1706" s="1" t="s">
        <v>33</v>
      </c>
      <c r="AB1706" s="36" t="str" cm="1">
        <f t="array" ref="AB1706">_xlfn.IFS(K1706&gt;650,"LOW",K1706&gt;=550,"MEDIUM",K1706&lt;550,"HIGH")</f>
        <v>HIGH</v>
      </c>
    </row>
    <row r="1707" spans="3:28" x14ac:dyDescent="0.3">
      <c r="C1707" s="35" t="s">
        <v>2273</v>
      </c>
      <c r="D1707" s="1" t="s">
        <v>304</v>
      </c>
      <c r="E1707" s="1">
        <v>46</v>
      </c>
      <c r="F1707" s="1" t="s">
        <v>44</v>
      </c>
      <c r="G1707" s="1" t="s">
        <v>27</v>
      </c>
      <c r="H1707" s="1" t="s">
        <v>28</v>
      </c>
      <c r="I1707" s="1" t="s">
        <v>29</v>
      </c>
      <c r="J1707" s="7">
        <v>50766</v>
      </c>
      <c r="K1707" s="1">
        <v>381</v>
      </c>
      <c r="L1707" s="7">
        <v>28268</v>
      </c>
      <c r="M1707" s="1">
        <v>48</v>
      </c>
      <c r="N1707" s="6">
        <v>0.1542</v>
      </c>
      <c r="O1707" s="1" t="s">
        <v>5</v>
      </c>
      <c r="P1707" s="1" t="s">
        <v>30</v>
      </c>
      <c r="Q1707" s="1">
        <v>4</v>
      </c>
      <c r="R1707" s="1">
        <v>3</v>
      </c>
      <c r="S1707" s="1" t="s">
        <v>33</v>
      </c>
      <c r="T1707" s="1" t="s">
        <v>31</v>
      </c>
      <c r="U1707" s="1">
        <v>1</v>
      </c>
      <c r="V1707" s="1">
        <v>137715</v>
      </c>
      <c r="W1707" s="7">
        <v>1157.26</v>
      </c>
      <c r="X1707" s="1">
        <v>0.83</v>
      </c>
      <c r="Y1707" s="4">
        <v>44413</v>
      </c>
      <c r="Z1707" s="1" t="s">
        <v>38</v>
      </c>
      <c r="AA1707" s="1" t="s">
        <v>33</v>
      </c>
      <c r="AB1707" s="36" t="str" cm="1">
        <f t="array" ref="AB1707">_xlfn.IFS(K1707&gt;650,"LOW",K1707&gt;=550,"MEDIUM",K1707&lt;550,"HIGH")</f>
        <v>HIGH</v>
      </c>
    </row>
    <row r="1708" spans="3:28" x14ac:dyDescent="0.3">
      <c r="C1708" s="35" t="s">
        <v>2754</v>
      </c>
      <c r="D1708" s="1" t="s">
        <v>596</v>
      </c>
      <c r="E1708" s="1">
        <v>35</v>
      </c>
      <c r="F1708" s="1" t="s">
        <v>26</v>
      </c>
      <c r="G1708" s="1" t="s">
        <v>45</v>
      </c>
      <c r="H1708" s="1" t="s">
        <v>28</v>
      </c>
      <c r="I1708" s="1" t="s">
        <v>40</v>
      </c>
      <c r="J1708" s="7">
        <v>29479</v>
      </c>
      <c r="K1708" s="1">
        <v>381</v>
      </c>
      <c r="L1708" s="7">
        <v>16619</v>
      </c>
      <c r="M1708" s="1">
        <v>24</v>
      </c>
      <c r="N1708" s="6">
        <v>0.1137</v>
      </c>
      <c r="O1708" s="1" t="s">
        <v>52</v>
      </c>
      <c r="P1708" s="1" t="s">
        <v>30</v>
      </c>
      <c r="Q1708" s="1">
        <v>16</v>
      </c>
      <c r="R1708" s="1">
        <v>2</v>
      </c>
      <c r="S1708" s="1" t="s">
        <v>31</v>
      </c>
      <c r="T1708" s="1" t="s">
        <v>31</v>
      </c>
      <c r="U1708" s="1">
        <v>3</v>
      </c>
      <c r="V1708" s="1">
        <v>86951</v>
      </c>
      <c r="W1708" s="7">
        <v>666.35</v>
      </c>
      <c r="X1708" s="1">
        <v>0.59</v>
      </c>
      <c r="Y1708" s="4">
        <v>45782</v>
      </c>
      <c r="Z1708" s="1" t="s">
        <v>38</v>
      </c>
      <c r="AA1708" s="1" t="s">
        <v>33</v>
      </c>
      <c r="AB1708" s="36" t="str" cm="1">
        <f t="array" ref="AB1708">_xlfn.IFS(K1708&gt;650,"LOW",K1708&gt;=550,"MEDIUM",K1708&lt;550,"HIGH")</f>
        <v>HIGH</v>
      </c>
    </row>
    <row r="1709" spans="3:28" x14ac:dyDescent="0.3">
      <c r="C1709" s="35" t="s">
        <v>3090</v>
      </c>
      <c r="D1709" s="1" t="s">
        <v>529</v>
      </c>
      <c r="E1709" s="1">
        <v>24</v>
      </c>
      <c r="F1709" s="1" t="s">
        <v>44</v>
      </c>
      <c r="G1709" s="1" t="s">
        <v>27</v>
      </c>
      <c r="H1709" s="1" t="s">
        <v>28</v>
      </c>
      <c r="I1709" s="1" t="s">
        <v>40</v>
      </c>
      <c r="J1709" s="7">
        <v>132113</v>
      </c>
      <c r="K1709" s="1">
        <v>381</v>
      </c>
      <c r="L1709" s="7">
        <v>30529</v>
      </c>
      <c r="M1709" s="1">
        <v>24</v>
      </c>
      <c r="N1709" s="6">
        <v>0.16870000000000002</v>
      </c>
      <c r="O1709" s="1" t="s">
        <v>63</v>
      </c>
      <c r="P1709" s="1" t="s">
        <v>47</v>
      </c>
      <c r="Q1709" s="1">
        <v>2</v>
      </c>
      <c r="R1709" s="1">
        <v>3</v>
      </c>
      <c r="S1709" s="1" t="s">
        <v>31</v>
      </c>
      <c r="T1709" s="1" t="s">
        <v>33</v>
      </c>
      <c r="U1709" s="1">
        <v>3</v>
      </c>
      <c r="V1709" s="1">
        <v>104426</v>
      </c>
      <c r="W1709" s="7">
        <v>1133.71</v>
      </c>
      <c r="X1709" s="1">
        <v>0.92</v>
      </c>
      <c r="Y1709" s="4">
        <v>44821</v>
      </c>
      <c r="Z1709" s="1" t="s">
        <v>32</v>
      </c>
      <c r="AA1709" s="1" t="s">
        <v>33</v>
      </c>
      <c r="AB1709" s="36" t="str" cm="1">
        <f t="array" ref="AB1709">_xlfn.IFS(K1709&gt;650,"LOW",K1709&gt;=550,"MEDIUM",K1709&lt;550,"HIGH")</f>
        <v>HIGH</v>
      </c>
    </row>
    <row r="1710" spans="3:28" x14ac:dyDescent="0.3">
      <c r="C1710" s="35" t="s">
        <v>3653</v>
      </c>
      <c r="D1710" s="1" t="s">
        <v>1665</v>
      </c>
      <c r="E1710" s="1">
        <v>33</v>
      </c>
      <c r="F1710" s="1" t="s">
        <v>26</v>
      </c>
      <c r="G1710" s="1" t="s">
        <v>35</v>
      </c>
      <c r="H1710" s="1" t="s">
        <v>36</v>
      </c>
      <c r="I1710" s="1" t="s">
        <v>59</v>
      </c>
      <c r="J1710" s="7">
        <v>111271</v>
      </c>
      <c r="K1710" s="1">
        <v>381</v>
      </c>
      <c r="L1710" s="7">
        <v>27398</v>
      </c>
      <c r="M1710" s="1">
        <v>24</v>
      </c>
      <c r="N1710" s="6">
        <v>0.19399999999999998</v>
      </c>
      <c r="O1710" s="1" t="s">
        <v>41</v>
      </c>
      <c r="P1710" s="1" t="s">
        <v>50</v>
      </c>
      <c r="Q1710" s="1">
        <v>27</v>
      </c>
      <c r="R1710" s="1">
        <v>1</v>
      </c>
      <c r="S1710" s="1" t="s">
        <v>33</v>
      </c>
      <c r="T1710" s="1" t="s">
        <v>31</v>
      </c>
      <c r="U1710" s="1">
        <v>1</v>
      </c>
      <c r="V1710" s="1">
        <v>154251</v>
      </c>
      <c r="W1710" s="7">
        <v>1688.44</v>
      </c>
      <c r="X1710" s="1">
        <v>0.68</v>
      </c>
      <c r="Y1710" s="4">
        <v>44401</v>
      </c>
      <c r="Z1710" s="1" t="s">
        <v>32</v>
      </c>
      <c r="AA1710" s="1" t="s">
        <v>33</v>
      </c>
      <c r="AB1710" s="36" t="str" cm="1">
        <f t="array" ref="AB1710">_xlfn.IFS(K1710&gt;650,"LOW",K1710&gt;=550,"MEDIUM",K1710&lt;550,"HIGH")</f>
        <v>HIGH</v>
      </c>
    </row>
    <row r="1711" spans="3:28" x14ac:dyDescent="0.3">
      <c r="C1711" s="35" t="s">
        <v>2934</v>
      </c>
      <c r="D1711" s="1" t="s">
        <v>962</v>
      </c>
      <c r="E1711" s="1">
        <v>53</v>
      </c>
      <c r="F1711" s="1" t="s">
        <v>26</v>
      </c>
      <c r="G1711" s="1" t="s">
        <v>56</v>
      </c>
      <c r="H1711" s="1" t="s">
        <v>28</v>
      </c>
      <c r="I1711" s="1" t="s">
        <v>59</v>
      </c>
      <c r="J1711" s="7">
        <v>129198</v>
      </c>
      <c r="K1711" s="1">
        <v>380</v>
      </c>
      <c r="L1711" s="7">
        <v>23578</v>
      </c>
      <c r="M1711" s="1">
        <v>24</v>
      </c>
      <c r="N1711" s="6">
        <v>0.11460000000000001</v>
      </c>
      <c r="O1711" s="1" t="s">
        <v>37</v>
      </c>
      <c r="P1711" s="1" t="s">
        <v>47</v>
      </c>
      <c r="Q1711" s="1">
        <v>6</v>
      </c>
      <c r="R1711" s="1">
        <v>4</v>
      </c>
      <c r="S1711" s="1" t="s">
        <v>33</v>
      </c>
      <c r="T1711" s="1" t="s">
        <v>31</v>
      </c>
      <c r="U1711" s="1">
        <v>0</v>
      </c>
      <c r="V1711" s="1">
        <v>109756</v>
      </c>
      <c r="W1711" s="7">
        <v>390.13</v>
      </c>
      <c r="X1711" s="1">
        <v>0.33</v>
      </c>
      <c r="Y1711" s="4">
        <v>44053</v>
      </c>
      <c r="Z1711" s="1" t="s">
        <v>32</v>
      </c>
      <c r="AA1711" s="1" t="s">
        <v>31</v>
      </c>
      <c r="AB1711" s="36" t="str" cm="1">
        <f t="array" ref="AB1711">_xlfn.IFS(K1711&gt;650,"LOW",K1711&gt;=550,"MEDIUM",K1711&lt;550,"HIGH")</f>
        <v>HIGH</v>
      </c>
    </row>
    <row r="1712" spans="3:28" x14ac:dyDescent="0.3">
      <c r="C1712" s="35" t="s">
        <v>3245</v>
      </c>
      <c r="D1712" s="1" t="s">
        <v>1269</v>
      </c>
      <c r="E1712" s="1">
        <v>54</v>
      </c>
      <c r="F1712" s="1" t="s">
        <v>26</v>
      </c>
      <c r="G1712" s="1" t="s">
        <v>45</v>
      </c>
      <c r="H1712" s="1" t="s">
        <v>54</v>
      </c>
      <c r="I1712" s="1" t="s">
        <v>57</v>
      </c>
      <c r="J1712" s="7">
        <v>29336</v>
      </c>
      <c r="K1712" s="1">
        <v>380</v>
      </c>
      <c r="L1712" s="7">
        <v>39311</v>
      </c>
      <c r="M1712" s="1">
        <v>12</v>
      </c>
      <c r="N1712" s="6">
        <v>0.1666</v>
      </c>
      <c r="O1712" s="1" t="s">
        <v>63</v>
      </c>
      <c r="P1712" s="1" t="s">
        <v>30</v>
      </c>
      <c r="Q1712" s="1">
        <v>11</v>
      </c>
      <c r="R1712" s="1">
        <v>3</v>
      </c>
      <c r="S1712" s="1" t="s">
        <v>31</v>
      </c>
      <c r="T1712" s="1" t="s">
        <v>31</v>
      </c>
      <c r="U1712" s="1">
        <v>3</v>
      </c>
      <c r="V1712" s="1">
        <v>182308</v>
      </c>
      <c r="W1712" s="7">
        <v>356.96</v>
      </c>
      <c r="X1712" s="1">
        <v>0.75</v>
      </c>
      <c r="Y1712" s="4">
        <v>44923</v>
      </c>
      <c r="Z1712" s="1" t="s">
        <v>32</v>
      </c>
      <c r="AA1712" s="1" t="s">
        <v>31</v>
      </c>
      <c r="AB1712" s="36" t="str" cm="1">
        <f t="array" ref="AB1712">_xlfn.IFS(K1712&gt;650,"LOW",K1712&gt;=550,"MEDIUM",K1712&lt;550,"HIGH")</f>
        <v>HIGH</v>
      </c>
    </row>
    <row r="1713" spans="3:28" x14ac:dyDescent="0.3">
      <c r="C1713" s="35" t="s">
        <v>3532</v>
      </c>
      <c r="D1713" s="1" t="s">
        <v>1549</v>
      </c>
      <c r="E1713" s="1">
        <v>44</v>
      </c>
      <c r="F1713" s="1" t="s">
        <v>44</v>
      </c>
      <c r="G1713" s="1" t="s">
        <v>56</v>
      </c>
      <c r="H1713" s="1" t="s">
        <v>54</v>
      </c>
      <c r="I1713" s="1" t="s">
        <v>59</v>
      </c>
      <c r="J1713" s="7">
        <v>88104</v>
      </c>
      <c r="K1713" s="1">
        <v>380</v>
      </c>
      <c r="L1713" s="7">
        <v>43964</v>
      </c>
      <c r="M1713" s="1">
        <v>36</v>
      </c>
      <c r="N1713" s="6">
        <v>0.11380000000000001</v>
      </c>
      <c r="O1713" s="1" t="s">
        <v>63</v>
      </c>
      <c r="P1713" s="1" t="s">
        <v>30</v>
      </c>
      <c r="Q1713" s="1">
        <v>21</v>
      </c>
      <c r="R1713" s="1">
        <v>0</v>
      </c>
      <c r="S1713" s="1" t="s">
        <v>31</v>
      </c>
      <c r="T1713" s="1" t="s">
        <v>33</v>
      </c>
      <c r="U1713" s="1">
        <v>3</v>
      </c>
      <c r="V1713" s="1">
        <v>81059</v>
      </c>
      <c r="W1713" s="7">
        <v>1369.47</v>
      </c>
      <c r="X1713" s="1">
        <v>0.43</v>
      </c>
      <c r="Y1713" s="4">
        <v>45686</v>
      </c>
      <c r="Z1713" s="1" t="s">
        <v>32</v>
      </c>
      <c r="AA1713" s="1" t="s">
        <v>33</v>
      </c>
      <c r="AB1713" s="36" t="str" cm="1">
        <f t="array" ref="AB1713">_xlfn.IFS(K1713&gt;650,"LOW",K1713&gt;=550,"MEDIUM",K1713&lt;550,"HIGH")</f>
        <v>HIGH</v>
      </c>
    </row>
    <row r="1714" spans="3:28" x14ac:dyDescent="0.3">
      <c r="C1714" s="35" t="s">
        <v>3974</v>
      </c>
      <c r="D1714" s="1" t="s">
        <v>1974</v>
      </c>
      <c r="E1714" s="1">
        <v>30</v>
      </c>
      <c r="F1714" s="1" t="s">
        <v>26</v>
      </c>
      <c r="G1714" s="1" t="s">
        <v>27</v>
      </c>
      <c r="H1714" s="1" t="s">
        <v>28</v>
      </c>
      <c r="I1714" s="1" t="s">
        <v>29</v>
      </c>
      <c r="J1714" s="7">
        <v>81245</v>
      </c>
      <c r="K1714" s="1">
        <v>380</v>
      </c>
      <c r="L1714" s="7">
        <v>2848</v>
      </c>
      <c r="M1714" s="1">
        <v>60</v>
      </c>
      <c r="N1714" s="6">
        <v>0.18820000000000001</v>
      </c>
      <c r="O1714" s="1" t="s">
        <v>52</v>
      </c>
      <c r="P1714" s="1" t="s">
        <v>50</v>
      </c>
      <c r="Q1714" s="1">
        <v>8</v>
      </c>
      <c r="R1714" s="1">
        <v>1</v>
      </c>
      <c r="S1714" s="1" t="s">
        <v>31</v>
      </c>
      <c r="T1714" s="1" t="s">
        <v>33</v>
      </c>
      <c r="U1714" s="1">
        <v>3</v>
      </c>
      <c r="V1714" s="1">
        <v>78723</v>
      </c>
      <c r="W1714" s="7">
        <v>1458.35</v>
      </c>
      <c r="X1714" s="1">
        <v>0.91</v>
      </c>
      <c r="Y1714" s="4">
        <v>44291</v>
      </c>
      <c r="Z1714" s="1" t="s">
        <v>32</v>
      </c>
      <c r="AA1714" s="1" t="s">
        <v>31</v>
      </c>
      <c r="AB1714" s="36" t="str" cm="1">
        <f t="array" ref="AB1714">_xlfn.IFS(K1714&gt;650,"LOW",K1714&gt;=550,"MEDIUM",K1714&lt;550,"HIGH")</f>
        <v>HIGH</v>
      </c>
    </row>
    <row r="1715" spans="3:28" x14ac:dyDescent="0.3">
      <c r="C1715" s="35" t="s">
        <v>2043</v>
      </c>
      <c r="D1715" s="1" t="s">
        <v>74</v>
      </c>
      <c r="E1715" s="1">
        <v>41</v>
      </c>
      <c r="F1715" s="1" t="s">
        <v>44</v>
      </c>
      <c r="G1715" s="1" t="s">
        <v>56</v>
      </c>
      <c r="H1715" s="1" t="s">
        <v>36</v>
      </c>
      <c r="I1715" s="1" t="s">
        <v>29</v>
      </c>
      <c r="J1715" s="7">
        <v>140871</v>
      </c>
      <c r="K1715" s="1">
        <v>379</v>
      </c>
      <c r="L1715" s="7">
        <v>3347</v>
      </c>
      <c r="M1715" s="1">
        <v>24</v>
      </c>
      <c r="N1715" s="6">
        <v>0.12330000000000001</v>
      </c>
      <c r="O1715" s="1" t="s">
        <v>52</v>
      </c>
      <c r="P1715" s="1" t="s">
        <v>30</v>
      </c>
      <c r="Q1715" s="1">
        <v>6</v>
      </c>
      <c r="R1715" s="1">
        <v>0</v>
      </c>
      <c r="S1715" s="1" t="s">
        <v>31</v>
      </c>
      <c r="T1715" s="1" t="s">
        <v>31</v>
      </c>
      <c r="U1715" s="1">
        <v>0</v>
      </c>
      <c r="V1715" s="1">
        <v>39644</v>
      </c>
      <c r="W1715" s="7">
        <v>1792.84</v>
      </c>
      <c r="X1715" s="1">
        <v>0.33</v>
      </c>
      <c r="Y1715" s="4">
        <v>45093</v>
      </c>
      <c r="Z1715" s="1" t="s">
        <v>32</v>
      </c>
      <c r="AA1715" s="1" t="s">
        <v>33</v>
      </c>
      <c r="AB1715" s="36" t="str" cm="1">
        <f t="array" ref="AB1715">_xlfn.IFS(K1715&gt;650,"LOW",K1715&gt;=550,"MEDIUM",K1715&lt;550,"HIGH")</f>
        <v>HIGH</v>
      </c>
    </row>
    <row r="1716" spans="3:28" x14ac:dyDescent="0.3">
      <c r="C1716" s="35" t="s">
        <v>2895</v>
      </c>
      <c r="D1716" s="1" t="s">
        <v>923</v>
      </c>
      <c r="E1716" s="1">
        <v>41</v>
      </c>
      <c r="F1716" s="1" t="s">
        <v>44</v>
      </c>
      <c r="G1716" s="1" t="s">
        <v>27</v>
      </c>
      <c r="H1716" s="1" t="s">
        <v>61</v>
      </c>
      <c r="I1716" s="1" t="s">
        <v>40</v>
      </c>
      <c r="J1716" s="7">
        <v>87906</v>
      </c>
      <c r="K1716" s="1">
        <v>379</v>
      </c>
      <c r="L1716" s="7">
        <v>41308</v>
      </c>
      <c r="M1716" s="1">
        <v>12</v>
      </c>
      <c r="N1716" s="6">
        <v>9.4899999999999998E-2</v>
      </c>
      <c r="O1716" s="1" t="s">
        <v>5</v>
      </c>
      <c r="P1716" s="1" t="s">
        <v>47</v>
      </c>
      <c r="Q1716" s="1">
        <v>10</v>
      </c>
      <c r="R1716" s="1">
        <v>4</v>
      </c>
      <c r="S1716" s="1" t="s">
        <v>33</v>
      </c>
      <c r="T1716" s="1" t="s">
        <v>33</v>
      </c>
      <c r="U1716" s="1">
        <v>2</v>
      </c>
      <c r="V1716" s="1">
        <v>107878</v>
      </c>
      <c r="W1716" s="7">
        <v>773.71</v>
      </c>
      <c r="X1716" s="1">
        <v>0.46</v>
      </c>
      <c r="Y1716" s="4">
        <v>45353</v>
      </c>
      <c r="Z1716" s="1" t="s">
        <v>32</v>
      </c>
      <c r="AA1716" s="1" t="s">
        <v>33</v>
      </c>
      <c r="AB1716" s="36" t="str" cm="1">
        <f t="array" ref="AB1716">_xlfn.IFS(K1716&gt;650,"LOW",K1716&gt;=550,"MEDIUM",K1716&lt;550,"HIGH")</f>
        <v>HIGH</v>
      </c>
    </row>
    <row r="1717" spans="3:28" x14ac:dyDescent="0.3">
      <c r="C1717" s="35" t="s">
        <v>2916</v>
      </c>
      <c r="D1717" s="1" t="s">
        <v>944</v>
      </c>
      <c r="E1717" s="1">
        <v>31</v>
      </c>
      <c r="F1717" s="1" t="s">
        <v>44</v>
      </c>
      <c r="G1717" s="1" t="s">
        <v>56</v>
      </c>
      <c r="H1717" s="1" t="s">
        <v>61</v>
      </c>
      <c r="I1717" s="1" t="s">
        <v>40</v>
      </c>
      <c r="J1717" s="7">
        <v>31560</v>
      </c>
      <c r="K1717" s="1">
        <v>379</v>
      </c>
      <c r="L1717" s="7">
        <v>24246</v>
      </c>
      <c r="M1717" s="1">
        <v>12</v>
      </c>
      <c r="N1717" s="6">
        <v>0.14699999999999999</v>
      </c>
      <c r="O1717" s="1" t="s">
        <v>63</v>
      </c>
      <c r="P1717" s="1" t="s">
        <v>47</v>
      </c>
      <c r="Q1717" s="1">
        <v>9</v>
      </c>
      <c r="R1717" s="1">
        <v>3</v>
      </c>
      <c r="S1717" s="1" t="s">
        <v>31</v>
      </c>
      <c r="T1717" s="1" t="s">
        <v>31</v>
      </c>
      <c r="U1717" s="1">
        <v>3</v>
      </c>
      <c r="V1717" s="1">
        <v>78437</v>
      </c>
      <c r="W1717" s="7">
        <v>1381.42</v>
      </c>
      <c r="X1717" s="1">
        <v>0.55000000000000004</v>
      </c>
      <c r="Y1717" s="4">
        <v>45526</v>
      </c>
      <c r="Z1717" s="1" t="s">
        <v>32</v>
      </c>
      <c r="AA1717" s="1" t="s">
        <v>33</v>
      </c>
      <c r="AB1717" s="36" t="str" cm="1">
        <f t="array" ref="AB1717">_xlfn.IFS(K1717&gt;650,"LOW",K1717&gt;=550,"MEDIUM",K1717&lt;550,"HIGH")</f>
        <v>HIGH</v>
      </c>
    </row>
    <row r="1718" spans="3:28" x14ac:dyDescent="0.3">
      <c r="C1718" s="35" t="s">
        <v>2965</v>
      </c>
      <c r="D1718" s="1" t="s">
        <v>993</v>
      </c>
      <c r="E1718" s="1">
        <v>35</v>
      </c>
      <c r="F1718" s="1" t="s">
        <v>26</v>
      </c>
      <c r="G1718" s="1" t="s">
        <v>56</v>
      </c>
      <c r="H1718" s="1" t="s">
        <v>28</v>
      </c>
      <c r="I1718" s="1" t="s">
        <v>40</v>
      </c>
      <c r="J1718" s="7">
        <v>101218</v>
      </c>
      <c r="K1718" s="1">
        <v>379</v>
      </c>
      <c r="L1718" s="7">
        <v>43816</v>
      </c>
      <c r="M1718" s="1">
        <v>24</v>
      </c>
      <c r="N1718" s="6">
        <v>0.1482</v>
      </c>
      <c r="O1718" s="1" t="s">
        <v>63</v>
      </c>
      <c r="P1718" s="1" t="s">
        <v>47</v>
      </c>
      <c r="Q1718" s="1">
        <v>26</v>
      </c>
      <c r="R1718" s="1">
        <v>3</v>
      </c>
      <c r="S1718" s="1" t="s">
        <v>31</v>
      </c>
      <c r="T1718" s="1" t="s">
        <v>31</v>
      </c>
      <c r="U1718" s="1">
        <v>1</v>
      </c>
      <c r="V1718" s="1">
        <v>95009</v>
      </c>
      <c r="W1718" s="7">
        <v>831.18</v>
      </c>
      <c r="X1718" s="1">
        <v>0.56999999999999995</v>
      </c>
      <c r="Y1718" s="4">
        <v>44741</v>
      </c>
      <c r="Z1718" s="1" t="s">
        <v>32</v>
      </c>
      <c r="AA1718" s="1" t="s">
        <v>33</v>
      </c>
      <c r="AB1718" s="36" t="str" cm="1">
        <f t="array" ref="AB1718">_xlfn.IFS(K1718&gt;650,"LOW",K1718&gt;=550,"MEDIUM",K1718&lt;550,"HIGH")</f>
        <v>HIGH</v>
      </c>
    </row>
    <row r="1719" spans="3:28" x14ac:dyDescent="0.3">
      <c r="C1719" s="35" t="s">
        <v>3051</v>
      </c>
      <c r="D1719" s="1" t="s">
        <v>1078</v>
      </c>
      <c r="E1719" s="1">
        <v>44</v>
      </c>
      <c r="F1719" s="1" t="s">
        <v>44</v>
      </c>
      <c r="G1719" s="1" t="s">
        <v>56</v>
      </c>
      <c r="H1719" s="1" t="s">
        <v>36</v>
      </c>
      <c r="I1719" s="1" t="s">
        <v>40</v>
      </c>
      <c r="J1719" s="7">
        <v>107362</v>
      </c>
      <c r="K1719" s="1">
        <v>379</v>
      </c>
      <c r="L1719" s="7">
        <v>21599</v>
      </c>
      <c r="M1719" s="1">
        <v>36</v>
      </c>
      <c r="N1719" s="6">
        <v>7.6799999999999993E-2</v>
      </c>
      <c r="O1719" s="1" t="s">
        <v>41</v>
      </c>
      <c r="P1719" s="1" t="s">
        <v>47</v>
      </c>
      <c r="Q1719" s="1">
        <v>22</v>
      </c>
      <c r="R1719" s="1">
        <v>4</v>
      </c>
      <c r="S1719" s="1" t="s">
        <v>33</v>
      </c>
      <c r="T1719" s="1" t="s">
        <v>33</v>
      </c>
      <c r="U1719" s="1">
        <v>2</v>
      </c>
      <c r="V1719" s="1">
        <v>105849</v>
      </c>
      <c r="W1719" s="7">
        <v>1607.88</v>
      </c>
      <c r="X1719" s="1">
        <v>0.49</v>
      </c>
      <c r="Y1719" s="4">
        <v>44981</v>
      </c>
      <c r="Z1719" s="1" t="s">
        <v>38</v>
      </c>
      <c r="AA1719" s="1" t="s">
        <v>33</v>
      </c>
      <c r="AB1719" s="36" t="str" cm="1">
        <f t="array" ref="AB1719">_xlfn.IFS(K1719&gt;650,"LOW",K1719&gt;=550,"MEDIUM",K1719&lt;550,"HIGH")</f>
        <v>HIGH</v>
      </c>
    </row>
    <row r="1720" spans="3:28" x14ac:dyDescent="0.3">
      <c r="C1720" s="35" t="s">
        <v>3821</v>
      </c>
      <c r="D1720" s="1" t="s">
        <v>1827</v>
      </c>
      <c r="E1720" s="1">
        <v>57</v>
      </c>
      <c r="F1720" s="1" t="s">
        <v>44</v>
      </c>
      <c r="G1720" s="1" t="s">
        <v>35</v>
      </c>
      <c r="H1720" s="1" t="s">
        <v>61</v>
      </c>
      <c r="I1720" s="1" t="s">
        <v>40</v>
      </c>
      <c r="J1720" s="7">
        <v>28789</v>
      </c>
      <c r="K1720" s="1">
        <v>379</v>
      </c>
      <c r="L1720" s="7">
        <v>18522</v>
      </c>
      <c r="M1720" s="1">
        <v>12</v>
      </c>
      <c r="N1720" s="6">
        <v>0.10039999999999999</v>
      </c>
      <c r="O1720" s="1" t="s">
        <v>46</v>
      </c>
      <c r="P1720" s="1" t="s">
        <v>47</v>
      </c>
      <c r="Q1720" s="1">
        <v>29</v>
      </c>
      <c r="R1720" s="1">
        <v>4</v>
      </c>
      <c r="S1720" s="1" t="s">
        <v>33</v>
      </c>
      <c r="T1720" s="1" t="s">
        <v>31</v>
      </c>
      <c r="U1720" s="1">
        <v>0</v>
      </c>
      <c r="V1720" s="1">
        <v>83172</v>
      </c>
      <c r="W1720" s="7">
        <v>1803.35</v>
      </c>
      <c r="X1720" s="1">
        <v>0.37</v>
      </c>
      <c r="Y1720" s="4">
        <v>44139</v>
      </c>
      <c r="Z1720" s="1" t="s">
        <v>32</v>
      </c>
      <c r="AA1720" s="1" t="s">
        <v>31</v>
      </c>
      <c r="AB1720" s="36" t="str" cm="1">
        <f t="array" ref="AB1720">_xlfn.IFS(K1720&gt;650,"LOW",K1720&gt;=550,"MEDIUM",K1720&lt;550,"HIGH")</f>
        <v>HIGH</v>
      </c>
    </row>
    <row r="1721" spans="3:28" x14ac:dyDescent="0.3">
      <c r="C1721" s="35" t="s">
        <v>3836</v>
      </c>
      <c r="D1721" s="1" t="s">
        <v>1842</v>
      </c>
      <c r="E1721" s="1">
        <v>44</v>
      </c>
      <c r="F1721" s="1" t="s">
        <v>26</v>
      </c>
      <c r="G1721" s="1" t="s">
        <v>27</v>
      </c>
      <c r="H1721" s="1" t="s">
        <v>36</v>
      </c>
      <c r="I1721" s="1" t="s">
        <v>59</v>
      </c>
      <c r="J1721" s="7">
        <v>70311</v>
      </c>
      <c r="K1721" s="1">
        <v>379</v>
      </c>
      <c r="L1721" s="7">
        <v>49228</v>
      </c>
      <c r="M1721" s="1">
        <v>36</v>
      </c>
      <c r="N1721" s="6">
        <v>0.10349999999999999</v>
      </c>
      <c r="O1721" s="1" t="s">
        <v>37</v>
      </c>
      <c r="P1721" s="1" t="s">
        <v>47</v>
      </c>
      <c r="Q1721" s="1">
        <v>12</v>
      </c>
      <c r="R1721" s="1">
        <v>2</v>
      </c>
      <c r="S1721" s="1" t="s">
        <v>33</v>
      </c>
      <c r="T1721" s="1" t="s">
        <v>31</v>
      </c>
      <c r="U1721" s="1">
        <v>2</v>
      </c>
      <c r="V1721" s="1">
        <v>187888</v>
      </c>
      <c r="W1721" s="7">
        <v>428.05</v>
      </c>
      <c r="X1721" s="1">
        <v>0.18</v>
      </c>
      <c r="Y1721" s="4">
        <v>45558</v>
      </c>
      <c r="Z1721" s="1" t="s">
        <v>32</v>
      </c>
      <c r="AA1721" s="1" t="s">
        <v>31</v>
      </c>
      <c r="AB1721" s="36" t="str" cm="1">
        <f t="array" ref="AB1721">_xlfn.IFS(K1721&gt;650,"LOW",K1721&gt;=550,"MEDIUM",K1721&lt;550,"HIGH")</f>
        <v>HIGH</v>
      </c>
    </row>
    <row r="1722" spans="3:28" x14ac:dyDescent="0.3">
      <c r="C1722" s="35" t="s">
        <v>2114</v>
      </c>
      <c r="D1722" s="1" t="s">
        <v>145</v>
      </c>
      <c r="E1722" s="1">
        <v>44</v>
      </c>
      <c r="F1722" s="1" t="s">
        <v>44</v>
      </c>
      <c r="G1722" s="1" t="s">
        <v>35</v>
      </c>
      <c r="H1722" s="1" t="s">
        <v>61</v>
      </c>
      <c r="I1722" s="1" t="s">
        <v>57</v>
      </c>
      <c r="J1722" s="7">
        <v>29589</v>
      </c>
      <c r="K1722" s="1">
        <v>378</v>
      </c>
      <c r="L1722" s="7">
        <v>48800</v>
      </c>
      <c r="M1722" s="1">
        <v>24</v>
      </c>
      <c r="N1722" s="6">
        <v>0.16750000000000001</v>
      </c>
      <c r="O1722" s="1" t="s">
        <v>52</v>
      </c>
      <c r="P1722" s="1" t="s">
        <v>30</v>
      </c>
      <c r="Q1722" s="1">
        <v>23</v>
      </c>
      <c r="R1722" s="1">
        <v>2</v>
      </c>
      <c r="S1722" s="1" t="s">
        <v>33</v>
      </c>
      <c r="T1722" s="1" t="s">
        <v>33</v>
      </c>
      <c r="U1722" s="1">
        <v>1</v>
      </c>
      <c r="V1722" s="1">
        <v>183552</v>
      </c>
      <c r="W1722" s="7">
        <v>1203</v>
      </c>
      <c r="X1722" s="1">
        <v>0.51</v>
      </c>
      <c r="Y1722" s="4">
        <v>45745</v>
      </c>
      <c r="Z1722" s="1" t="s">
        <v>38</v>
      </c>
      <c r="AA1722" s="1" t="s">
        <v>33</v>
      </c>
      <c r="AB1722" s="36" t="str" cm="1">
        <f t="array" ref="AB1722">_xlfn.IFS(K1722&gt;650,"LOW",K1722&gt;=550,"MEDIUM",K1722&lt;550,"HIGH")</f>
        <v>HIGH</v>
      </c>
    </row>
    <row r="1723" spans="3:28" x14ac:dyDescent="0.3">
      <c r="C1723" s="35" t="s">
        <v>2152</v>
      </c>
      <c r="D1723" s="1" t="s">
        <v>183</v>
      </c>
      <c r="E1723" s="1">
        <v>29</v>
      </c>
      <c r="F1723" s="1" t="s">
        <v>44</v>
      </c>
      <c r="G1723" s="1" t="s">
        <v>27</v>
      </c>
      <c r="H1723" s="1" t="s">
        <v>61</v>
      </c>
      <c r="I1723" s="1" t="s">
        <v>40</v>
      </c>
      <c r="J1723" s="7">
        <v>23385</v>
      </c>
      <c r="K1723" s="1">
        <v>378</v>
      </c>
      <c r="L1723" s="7">
        <v>22518</v>
      </c>
      <c r="M1723" s="1">
        <v>48</v>
      </c>
      <c r="N1723" s="6">
        <v>0.1067</v>
      </c>
      <c r="O1723" s="1" t="s">
        <v>63</v>
      </c>
      <c r="P1723" s="1" t="s">
        <v>50</v>
      </c>
      <c r="Q1723" s="1">
        <v>18</v>
      </c>
      <c r="R1723" s="1">
        <v>3</v>
      </c>
      <c r="S1723" s="1" t="s">
        <v>33</v>
      </c>
      <c r="T1723" s="1" t="s">
        <v>33</v>
      </c>
      <c r="U1723" s="1">
        <v>3</v>
      </c>
      <c r="V1723" s="1">
        <v>189189</v>
      </c>
      <c r="W1723" s="7">
        <v>521.98</v>
      </c>
      <c r="X1723" s="1">
        <v>0.28000000000000003</v>
      </c>
      <c r="Y1723" s="4">
        <v>45593</v>
      </c>
      <c r="Z1723" s="1" t="s">
        <v>32</v>
      </c>
      <c r="AA1723" s="1" t="s">
        <v>33</v>
      </c>
      <c r="AB1723" s="36" t="str" cm="1">
        <f t="array" ref="AB1723">_xlfn.IFS(K1723&gt;650,"LOW",K1723&gt;=550,"MEDIUM",K1723&lt;550,"HIGH")</f>
        <v>HIGH</v>
      </c>
    </row>
    <row r="1724" spans="3:28" x14ac:dyDescent="0.3">
      <c r="C1724" s="35" t="s">
        <v>2061</v>
      </c>
      <c r="D1724" s="1" t="s">
        <v>92</v>
      </c>
      <c r="E1724" s="1">
        <v>38</v>
      </c>
      <c r="F1724" s="1" t="s">
        <v>44</v>
      </c>
      <c r="G1724" s="1" t="s">
        <v>35</v>
      </c>
      <c r="H1724" s="1" t="s">
        <v>61</v>
      </c>
      <c r="I1724" s="1" t="s">
        <v>57</v>
      </c>
      <c r="J1724" s="7">
        <v>63169</v>
      </c>
      <c r="K1724" s="1">
        <v>376</v>
      </c>
      <c r="L1724" s="7">
        <v>22957</v>
      </c>
      <c r="M1724" s="1">
        <v>24</v>
      </c>
      <c r="N1724" s="6">
        <v>6.1900000000000004E-2</v>
      </c>
      <c r="O1724" s="1" t="s">
        <v>63</v>
      </c>
      <c r="P1724" s="1" t="s">
        <v>30</v>
      </c>
      <c r="Q1724" s="1">
        <v>3</v>
      </c>
      <c r="R1724" s="1">
        <v>4</v>
      </c>
      <c r="S1724" s="1" t="s">
        <v>33</v>
      </c>
      <c r="T1724" s="1" t="s">
        <v>31</v>
      </c>
      <c r="U1724" s="1">
        <v>4</v>
      </c>
      <c r="V1724" s="1">
        <v>22951</v>
      </c>
      <c r="W1724" s="7">
        <v>1296.3499999999999</v>
      </c>
      <c r="X1724" s="1">
        <v>0.48</v>
      </c>
      <c r="Y1724" s="4">
        <v>45698</v>
      </c>
      <c r="Z1724" s="1" t="s">
        <v>32</v>
      </c>
      <c r="AA1724" s="1" t="s">
        <v>31</v>
      </c>
      <c r="AB1724" s="36" t="str" cm="1">
        <f t="array" ref="AB1724">_xlfn.IFS(K1724&gt;650,"LOW",K1724&gt;=550,"MEDIUM",K1724&lt;550,"HIGH")</f>
        <v>HIGH</v>
      </c>
    </row>
    <row r="1725" spans="3:28" x14ac:dyDescent="0.3">
      <c r="C1725" s="35" t="s">
        <v>2480</v>
      </c>
      <c r="D1725" s="1" t="s">
        <v>510</v>
      </c>
      <c r="E1725" s="1">
        <v>24</v>
      </c>
      <c r="F1725" s="1" t="s">
        <v>44</v>
      </c>
      <c r="G1725" s="1" t="s">
        <v>27</v>
      </c>
      <c r="H1725" s="1" t="s">
        <v>28</v>
      </c>
      <c r="I1725" s="1" t="s">
        <v>59</v>
      </c>
      <c r="J1725" s="7">
        <v>32191</v>
      </c>
      <c r="K1725" s="1">
        <v>376</v>
      </c>
      <c r="L1725" s="7">
        <v>7877</v>
      </c>
      <c r="M1725" s="1">
        <v>48</v>
      </c>
      <c r="N1725" s="6">
        <v>0.129</v>
      </c>
      <c r="O1725" s="1" t="s">
        <v>52</v>
      </c>
      <c r="P1725" s="1" t="s">
        <v>47</v>
      </c>
      <c r="Q1725" s="1">
        <v>27</v>
      </c>
      <c r="R1725" s="1">
        <v>1</v>
      </c>
      <c r="S1725" s="1" t="s">
        <v>31</v>
      </c>
      <c r="T1725" s="1" t="s">
        <v>33</v>
      </c>
      <c r="U1725" s="1">
        <v>4</v>
      </c>
      <c r="V1725" s="1">
        <v>26104</v>
      </c>
      <c r="W1725" s="7">
        <v>1246.48</v>
      </c>
      <c r="X1725" s="1">
        <v>0.47</v>
      </c>
      <c r="Y1725" s="4">
        <v>45042</v>
      </c>
      <c r="Z1725" s="1" t="s">
        <v>38</v>
      </c>
      <c r="AA1725" s="1" t="s">
        <v>33</v>
      </c>
      <c r="AB1725" s="36" t="str" cm="1">
        <f t="array" ref="AB1725">_xlfn.IFS(K1725&gt;650,"LOW",K1725&gt;=550,"MEDIUM",K1725&lt;550,"HIGH")</f>
        <v>HIGH</v>
      </c>
    </row>
    <row r="1726" spans="3:28" x14ac:dyDescent="0.3">
      <c r="C1726" s="35" t="s">
        <v>2486</v>
      </c>
      <c r="D1726" s="1" t="s">
        <v>516</v>
      </c>
      <c r="E1726" s="1">
        <v>52</v>
      </c>
      <c r="F1726" s="1" t="s">
        <v>26</v>
      </c>
      <c r="G1726" s="1" t="s">
        <v>35</v>
      </c>
      <c r="H1726" s="1" t="s">
        <v>36</v>
      </c>
      <c r="I1726" s="1" t="s">
        <v>59</v>
      </c>
      <c r="J1726" s="7">
        <v>70975</v>
      </c>
      <c r="K1726" s="1">
        <v>376</v>
      </c>
      <c r="L1726" s="7">
        <v>35875</v>
      </c>
      <c r="M1726" s="1">
        <v>48</v>
      </c>
      <c r="N1726" s="6">
        <v>0.19030000000000002</v>
      </c>
      <c r="O1726" s="1" t="s">
        <v>63</v>
      </c>
      <c r="P1726" s="1" t="s">
        <v>47</v>
      </c>
      <c r="Q1726" s="1">
        <v>5</v>
      </c>
      <c r="R1726" s="1">
        <v>0</v>
      </c>
      <c r="S1726" s="1" t="s">
        <v>33</v>
      </c>
      <c r="T1726" s="1" t="s">
        <v>33</v>
      </c>
      <c r="U1726" s="1">
        <v>4</v>
      </c>
      <c r="V1726" s="1">
        <v>126142</v>
      </c>
      <c r="W1726" s="7">
        <v>1402.65</v>
      </c>
      <c r="X1726" s="1">
        <v>0.38</v>
      </c>
      <c r="Y1726" s="4">
        <v>45422</v>
      </c>
      <c r="Z1726" s="1" t="s">
        <v>38</v>
      </c>
      <c r="AA1726" s="1" t="s">
        <v>33</v>
      </c>
      <c r="AB1726" s="36" t="str" cm="1">
        <f t="array" ref="AB1726">_xlfn.IFS(K1726&gt;650,"LOW",K1726&gt;=550,"MEDIUM",K1726&lt;550,"HIGH")</f>
        <v>HIGH</v>
      </c>
    </row>
    <row r="1727" spans="3:28" x14ac:dyDescent="0.3">
      <c r="C1727" s="35" t="s">
        <v>2487</v>
      </c>
      <c r="D1727" s="1" t="s">
        <v>517</v>
      </c>
      <c r="E1727" s="1">
        <v>47</v>
      </c>
      <c r="F1727" s="1" t="s">
        <v>44</v>
      </c>
      <c r="G1727" s="1" t="s">
        <v>27</v>
      </c>
      <c r="H1727" s="1" t="s">
        <v>54</v>
      </c>
      <c r="I1727" s="1" t="s">
        <v>29</v>
      </c>
      <c r="J1727" s="7">
        <v>25147</v>
      </c>
      <c r="K1727" s="1">
        <v>376</v>
      </c>
      <c r="L1727" s="7">
        <v>45513</v>
      </c>
      <c r="M1727" s="1">
        <v>48</v>
      </c>
      <c r="N1727" s="6">
        <v>0.1048</v>
      </c>
      <c r="O1727" s="1" t="s">
        <v>63</v>
      </c>
      <c r="P1727" s="1" t="s">
        <v>30</v>
      </c>
      <c r="Q1727" s="1">
        <v>9</v>
      </c>
      <c r="R1727" s="1">
        <v>1</v>
      </c>
      <c r="S1727" s="1" t="s">
        <v>31</v>
      </c>
      <c r="T1727" s="1" t="s">
        <v>31</v>
      </c>
      <c r="U1727" s="1">
        <v>2</v>
      </c>
      <c r="V1727" s="1">
        <v>160930</v>
      </c>
      <c r="W1727" s="7">
        <v>708.83</v>
      </c>
      <c r="X1727" s="1">
        <v>0.61</v>
      </c>
      <c r="Y1727" s="4">
        <v>44981</v>
      </c>
      <c r="Z1727" s="1" t="s">
        <v>32</v>
      </c>
      <c r="AA1727" s="1" t="s">
        <v>33</v>
      </c>
      <c r="AB1727" s="36" t="str" cm="1">
        <f t="array" ref="AB1727">_xlfn.IFS(K1727&gt;650,"LOW",K1727&gt;=550,"MEDIUM",K1727&lt;550,"HIGH")</f>
        <v>HIGH</v>
      </c>
    </row>
    <row r="1728" spans="3:28" x14ac:dyDescent="0.3">
      <c r="C1728" s="35" t="s">
        <v>3255</v>
      </c>
      <c r="D1728" s="1" t="s">
        <v>1278</v>
      </c>
      <c r="E1728" s="1">
        <v>52</v>
      </c>
      <c r="F1728" s="1" t="s">
        <v>26</v>
      </c>
      <c r="G1728" s="1" t="s">
        <v>45</v>
      </c>
      <c r="H1728" s="1" t="s">
        <v>28</v>
      </c>
      <c r="I1728" s="1" t="s">
        <v>59</v>
      </c>
      <c r="J1728" s="7">
        <v>109402</v>
      </c>
      <c r="K1728" s="1">
        <v>376</v>
      </c>
      <c r="L1728" s="7">
        <v>34649</v>
      </c>
      <c r="M1728" s="1">
        <v>12</v>
      </c>
      <c r="N1728" s="6">
        <v>0.18109999999999998</v>
      </c>
      <c r="O1728" s="1" t="s">
        <v>46</v>
      </c>
      <c r="P1728" s="1" t="s">
        <v>50</v>
      </c>
      <c r="Q1728" s="1">
        <v>5</v>
      </c>
      <c r="R1728" s="1">
        <v>3</v>
      </c>
      <c r="S1728" s="1" t="s">
        <v>33</v>
      </c>
      <c r="T1728" s="1" t="s">
        <v>31</v>
      </c>
      <c r="U1728" s="1">
        <v>2</v>
      </c>
      <c r="V1728" s="1">
        <v>191195</v>
      </c>
      <c r="W1728" s="7">
        <v>779.67</v>
      </c>
      <c r="X1728" s="1">
        <v>0.77</v>
      </c>
      <c r="Y1728" s="4">
        <v>44675</v>
      </c>
      <c r="Z1728" s="1" t="s">
        <v>38</v>
      </c>
      <c r="AA1728" s="1" t="s">
        <v>33</v>
      </c>
      <c r="AB1728" s="36" t="str" cm="1">
        <f t="array" ref="AB1728">_xlfn.IFS(K1728&gt;650,"LOW",K1728&gt;=550,"MEDIUM",K1728&lt;550,"HIGH")</f>
        <v>HIGH</v>
      </c>
    </row>
    <row r="1729" spans="3:28" x14ac:dyDescent="0.3">
      <c r="C1729" s="35" t="s">
        <v>3268</v>
      </c>
      <c r="D1729" s="1" t="s">
        <v>1291</v>
      </c>
      <c r="E1729" s="1">
        <v>46</v>
      </c>
      <c r="F1729" s="1" t="s">
        <v>44</v>
      </c>
      <c r="G1729" s="1" t="s">
        <v>35</v>
      </c>
      <c r="H1729" s="1" t="s">
        <v>54</v>
      </c>
      <c r="I1729" s="1" t="s">
        <v>59</v>
      </c>
      <c r="J1729" s="7">
        <v>64140</v>
      </c>
      <c r="K1729" s="1">
        <v>376</v>
      </c>
      <c r="L1729" s="7">
        <v>25187</v>
      </c>
      <c r="M1729" s="1">
        <v>60</v>
      </c>
      <c r="N1729" s="6">
        <v>0.13439999999999999</v>
      </c>
      <c r="O1729" s="1" t="s">
        <v>63</v>
      </c>
      <c r="P1729" s="1" t="s">
        <v>47</v>
      </c>
      <c r="Q1729" s="1">
        <v>22</v>
      </c>
      <c r="R1729" s="1">
        <v>0</v>
      </c>
      <c r="S1729" s="1" t="s">
        <v>31</v>
      </c>
      <c r="T1729" s="1" t="s">
        <v>33</v>
      </c>
      <c r="U1729" s="1">
        <v>1</v>
      </c>
      <c r="V1729" s="1">
        <v>61196</v>
      </c>
      <c r="W1729" s="7">
        <v>517.54</v>
      </c>
      <c r="X1729" s="1">
        <v>0.9</v>
      </c>
      <c r="Y1729" s="4">
        <v>44534</v>
      </c>
      <c r="Z1729" s="1" t="s">
        <v>32</v>
      </c>
      <c r="AA1729" s="1" t="s">
        <v>31</v>
      </c>
      <c r="AB1729" s="36" t="str" cm="1">
        <f t="array" ref="AB1729">_xlfn.IFS(K1729&gt;650,"LOW",K1729&gt;=550,"MEDIUM",K1729&lt;550,"HIGH")</f>
        <v>HIGH</v>
      </c>
    </row>
    <row r="1730" spans="3:28" x14ac:dyDescent="0.3">
      <c r="C1730" s="35" t="s">
        <v>3294</v>
      </c>
      <c r="D1730" s="1" t="s">
        <v>1317</v>
      </c>
      <c r="E1730" s="1">
        <v>47</v>
      </c>
      <c r="F1730" s="1" t="s">
        <v>44</v>
      </c>
      <c r="G1730" s="1" t="s">
        <v>35</v>
      </c>
      <c r="H1730" s="1" t="s">
        <v>54</v>
      </c>
      <c r="I1730" s="1" t="s">
        <v>40</v>
      </c>
      <c r="J1730" s="7">
        <v>131850</v>
      </c>
      <c r="K1730" s="1">
        <v>376</v>
      </c>
      <c r="L1730" s="7">
        <v>31279</v>
      </c>
      <c r="M1730" s="1">
        <v>60</v>
      </c>
      <c r="N1730" s="6">
        <v>0.1258</v>
      </c>
      <c r="O1730" s="1" t="s">
        <v>46</v>
      </c>
      <c r="P1730" s="1" t="s">
        <v>47</v>
      </c>
      <c r="Q1730" s="1">
        <v>10</v>
      </c>
      <c r="R1730" s="1">
        <v>3</v>
      </c>
      <c r="S1730" s="1" t="s">
        <v>33</v>
      </c>
      <c r="T1730" s="1" t="s">
        <v>33</v>
      </c>
      <c r="U1730" s="1">
        <v>0</v>
      </c>
      <c r="V1730" s="1">
        <v>144752</v>
      </c>
      <c r="W1730" s="7">
        <v>1904.4</v>
      </c>
      <c r="X1730" s="1">
        <v>0.9</v>
      </c>
      <c r="Y1730" s="4">
        <v>44182</v>
      </c>
      <c r="Z1730" s="1" t="s">
        <v>38</v>
      </c>
      <c r="AA1730" s="1" t="s">
        <v>33</v>
      </c>
      <c r="AB1730" s="36" t="str" cm="1">
        <f t="array" ref="AB1730">_xlfn.IFS(K1730&gt;650,"LOW",K1730&gt;=550,"MEDIUM",K1730&lt;550,"HIGH")</f>
        <v>HIGH</v>
      </c>
    </row>
    <row r="1731" spans="3:28" x14ac:dyDescent="0.3">
      <c r="C1731" s="35" t="s">
        <v>3305</v>
      </c>
      <c r="D1731" s="1" t="s">
        <v>1328</v>
      </c>
      <c r="E1731" s="1">
        <v>63</v>
      </c>
      <c r="F1731" s="1" t="s">
        <v>26</v>
      </c>
      <c r="G1731" s="1" t="s">
        <v>45</v>
      </c>
      <c r="H1731" s="1" t="s">
        <v>61</v>
      </c>
      <c r="I1731" s="1" t="s">
        <v>59</v>
      </c>
      <c r="J1731" s="7">
        <v>102315</v>
      </c>
      <c r="K1731" s="1">
        <v>376</v>
      </c>
      <c r="L1731" s="7">
        <v>19704</v>
      </c>
      <c r="M1731" s="1">
        <v>60</v>
      </c>
      <c r="N1731" s="6">
        <v>0.1226</v>
      </c>
      <c r="O1731" s="1" t="s">
        <v>5</v>
      </c>
      <c r="P1731" s="1" t="s">
        <v>50</v>
      </c>
      <c r="Q1731" s="1">
        <v>26</v>
      </c>
      <c r="R1731" s="1">
        <v>0</v>
      </c>
      <c r="S1731" s="1" t="s">
        <v>31</v>
      </c>
      <c r="T1731" s="1" t="s">
        <v>31</v>
      </c>
      <c r="U1731" s="1">
        <v>4</v>
      </c>
      <c r="V1731" s="1">
        <v>76266</v>
      </c>
      <c r="W1731" s="7">
        <v>1759.6</v>
      </c>
      <c r="X1731" s="1">
        <v>0.73</v>
      </c>
      <c r="Y1731" s="4">
        <v>44805</v>
      </c>
      <c r="Z1731" s="1" t="s">
        <v>32</v>
      </c>
      <c r="AA1731" s="1" t="s">
        <v>31</v>
      </c>
      <c r="AB1731" s="36" t="str" cm="1">
        <f t="array" ref="AB1731">_xlfn.IFS(K1731&gt;650,"LOW",K1731&gt;=550,"MEDIUM",K1731&lt;550,"HIGH")</f>
        <v>HIGH</v>
      </c>
    </row>
    <row r="1732" spans="3:28" x14ac:dyDescent="0.3">
      <c r="C1732" s="35" t="s">
        <v>3708</v>
      </c>
      <c r="D1732" s="1" t="s">
        <v>1718</v>
      </c>
      <c r="E1732" s="1">
        <v>45</v>
      </c>
      <c r="F1732" s="1" t="s">
        <v>44</v>
      </c>
      <c r="G1732" s="1" t="s">
        <v>45</v>
      </c>
      <c r="H1732" s="1" t="s">
        <v>36</v>
      </c>
      <c r="I1732" s="1" t="s">
        <v>40</v>
      </c>
      <c r="J1732" s="7">
        <v>89795</v>
      </c>
      <c r="K1732" s="1">
        <v>376</v>
      </c>
      <c r="L1732" s="7">
        <v>24940</v>
      </c>
      <c r="M1732" s="1">
        <v>60</v>
      </c>
      <c r="N1732" s="6">
        <v>0.18239999999999998</v>
      </c>
      <c r="O1732" s="1" t="s">
        <v>5</v>
      </c>
      <c r="P1732" s="1" t="s">
        <v>47</v>
      </c>
      <c r="Q1732" s="1">
        <v>20</v>
      </c>
      <c r="R1732" s="1">
        <v>4</v>
      </c>
      <c r="S1732" s="1" t="s">
        <v>31</v>
      </c>
      <c r="T1732" s="1" t="s">
        <v>33</v>
      </c>
      <c r="U1732" s="1">
        <v>4</v>
      </c>
      <c r="V1732" s="1">
        <v>60424</v>
      </c>
      <c r="W1732" s="7">
        <v>372.09</v>
      </c>
      <c r="X1732" s="1">
        <v>0.99</v>
      </c>
      <c r="Y1732" s="4">
        <v>45720</v>
      </c>
      <c r="Z1732" s="1" t="s">
        <v>38</v>
      </c>
      <c r="AA1732" s="1" t="s">
        <v>33</v>
      </c>
      <c r="AB1732" s="36" t="str" cm="1">
        <f t="array" ref="AB1732">_xlfn.IFS(K1732&gt;650,"LOW",K1732&gt;=550,"MEDIUM",K1732&lt;550,"HIGH")</f>
        <v>HIGH</v>
      </c>
    </row>
    <row r="1733" spans="3:28" x14ac:dyDescent="0.3">
      <c r="C1733" s="35" t="s">
        <v>4010</v>
      </c>
      <c r="D1733" s="1" t="s">
        <v>2010</v>
      </c>
      <c r="E1733" s="1">
        <v>58</v>
      </c>
      <c r="F1733" s="1" t="s">
        <v>26</v>
      </c>
      <c r="G1733" s="1" t="s">
        <v>35</v>
      </c>
      <c r="H1733" s="1" t="s">
        <v>54</v>
      </c>
      <c r="I1733" s="1" t="s">
        <v>40</v>
      </c>
      <c r="J1733" s="7">
        <v>33201</v>
      </c>
      <c r="K1733" s="1">
        <v>376</v>
      </c>
      <c r="L1733" s="7">
        <v>5478</v>
      </c>
      <c r="M1733" s="1">
        <v>48</v>
      </c>
      <c r="N1733" s="6">
        <v>0.17859999999999998</v>
      </c>
      <c r="O1733" s="1" t="s">
        <v>41</v>
      </c>
      <c r="P1733" s="1" t="s">
        <v>50</v>
      </c>
      <c r="Q1733" s="1">
        <v>6</v>
      </c>
      <c r="R1733" s="1">
        <v>3</v>
      </c>
      <c r="S1733" s="1" t="s">
        <v>33</v>
      </c>
      <c r="T1733" s="1" t="s">
        <v>31</v>
      </c>
      <c r="U1733" s="1">
        <v>1</v>
      </c>
      <c r="V1733" s="1">
        <v>192518</v>
      </c>
      <c r="W1733" s="7">
        <v>1392.9</v>
      </c>
      <c r="X1733" s="1">
        <v>0.38</v>
      </c>
      <c r="Y1733" s="4">
        <v>45211</v>
      </c>
      <c r="Z1733" s="1" t="s">
        <v>38</v>
      </c>
      <c r="AA1733" s="1" t="s">
        <v>33</v>
      </c>
      <c r="AB1733" s="36" t="str" cm="1">
        <f t="array" ref="AB1733">_xlfn.IFS(K1733&gt;650,"LOW",K1733&gt;=550,"MEDIUM",K1733&lt;550,"HIGH")</f>
        <v>HIGH</v>
      </c>
    </row>
    <row r="1734" spans="3:28" x14ac:dyDescent="0.3">
      <c r="C1734" s="35" t="s">
        <v>2479</v>
      </c>
      <c r="D1734" s="1" t="s">
        <v>509</v>
      </c>
      <c r="E1734" s="1">
        <v>25</v>
      </c>
      <c r="F1734" s="1" t="s">
        <v>44</v>
      </c>
      <c r="G1734" s="1" t="s">
        <v>35</v>
      </c>
      <c r="H1734" s="1" t="s">
        <v>54</v>
      </c>
      <c r="I1734" s="1" t="s">
        <v>59</v>
      </c>
      <c r="J1734" s="7">
        <v>96230</v>
      </c>
      <c r="K1734" s="1">
        <v>375</v>
      </c>
      <c r="L1734" s="7">
        <v>7229</v>
      </c>
      <c r="M1734" s="1">
        <v>12</v>
      </c>
      <c r="N1734" s="6">
        <v>0.114</v>
      </c>
      <c r="O1734" s="1" t="s">
        <v>46</v>
      </c>
      <c r="P1734" s="1" t="s">
        <v>50</v>
      </c>
      <c r="Q1734" s="1">
        <v>2</v>
      </c>
      <c r="R1734" s="1">
        <v>2</v>
      </c>
      <c r="S1734" s="1" t="s">
        <v>31</v>
      </c>
      <c r="T1734" s="1" t="s">
        <v>33</v>
      </c>
      <c r="U1734" s="1">
        <v>2</v>
      </c>
      <c r="V1734" s="1">
        <v>32252</v>
      </c>
      <c r="W1734" s="7">
        <v>1272.17</v>
      </c>
      <c r="X1734" s="1">
        <v>0.21</v>
      </c>
      <c r="Y1734" s="4">
        <v>44719</v>
      </c>
      <c r="Z1734" s="1" t="s">
        <v>32</v>
      </c>
      <c r="AA1734" s="1" t="s">
        <v>33</v>
      </c>
      <c r="AB1734" s="36" t="str" cm="1">
        <f t="array" ref="AB1734">_xlfn.IFS(K1734&gt;650,"LOW",K1734&gt;=550,"MEDIUM",K1734&lt;550,"HIGH")</f>
        <v>HIGH</v>
      </c>
    </row>
    <row r="1735" spans="3:28" x14ac:dyDescent="0.3">
      <c r="C1735" s="35" t="s">
        <v>2563</v>
      </c>
      <c r="D1735" s="1" t="s">
        <v>593</v>
      </c>
      <c r="E1735" s="1">
        <v>34</v>
      </c>
      <c r="F1735" s="1" t="s">
        <v>26</v>
      </c>
      <c r="G1735" s="1" t="s">
        <v>56</v>
      </c>
      <c r="H1735" s="1" t="s">
        <v>54</v>
      </c>
      <c r="I1735" s="1" t="s">
        <v>40</v>
      </c>
      <c r="J1735" s="7">
        <v>64328</v>
      </c>
      <c r="K1735" s="1">
        <v>375</v>
      </c>
      <c r="L1735" s="7">
        <v>39191</v>
      </c>
      <c r="M1735" s="1">
        <v>24</v>
      </c>
      <c r="N1735" s="6">
        <v>9.849999999999999E-2</v>
      </c>
      <c r="O1735" s="1" t="s">
        <v>46</v>
      </c>
      <c r="P1735" s="1" t="s">
        <v>47</v>
      </c>
      <c r="Q1735" s="1">
        <v>18</v>
      </c>
      <c r="R1735" s="1">
        <v>2</v>
      </c>
      <c r="S1735" s="1" t="s">
        <v>33</v>
      </c>
      <c r="T1735" s="1" t="s">
        <v>33</v>
      </c>
      <c r="U1735" s="1">
        <v>2</v>
      </c>
      <c r="V1735" s="1">
        <v>79364</v>
      </c>
      <c r="W1735" s="7">
        <v>1678.49</v>
      </c>
      <c r="X1735" s="1">
        <v>0.92</v>
      </c>
      <c r="Y1735" s="4">
        <v>44523</v>
      </c>
      <c r="Z1735" s="1" t="s">
        <v>38</v>
      </c>
      <c r="AA1735" s="1" t="s">
        <v>33</v>
      </c>
      <c r="AB1735" s="36" t="str" cm="1">
        <f t="array" ref="AB1735">_xlfn.IFS(K1735&gt;650,"LOW",K1735&gt;=550,"MEDIUM",K1735&lt;550,"HIGH")</f>
        <v>HIGH</v>
      </c>
    </row>
    <row r="1736" spans="3:28" x14ac:dyDescent="0.3">
      <c r="C1736" s="35" t="s">
        <v>2744</v>
      </c>
      <c r="D1736" s="1" t="s">
        <v>774</v>
      </c>
      <c r="E1736" s="1">
        <v>54</v>
      </c>
      <c r="F1736" s="1" t="s">
        <v>26</v>
      </c>
      <c r="G1736" s="1" t="s">
        <v>27</v>
      </c>
      <c r="H1736" s="1" t="s">
        <v>28</v>
      </c>
      <c r="I1736" s="1" t="s">
        <v>57</v>
      </c>
      <c r="J1736" s="7">
        <v>147253</v>
      </c>
      <c r="K1736" s="1">
        <v>375</v>
      </c>
      <c r="L1736" s="7">
        <v>48904</v>
      </c>
      <c r="M1736" s="1">
        <v>12</v>
      </c>
      <c r="N1736" s="6">
        <v>0.11560000000000001</v>
      </c>
      <c r="O1736" s="1" t="s">
        <v>46</v>
      </c>
      <c r="P1736" s="1" t="s">
        <v>30</v>
      </c>
      <c r="Q1736" s="1">
        <v>26</v>
      </c>
      <c r="R1736" s="1">
        <v>1</v>
      </c>
      <c r="S1736" s="1" t="s">
        <v>31</v>
      </c>
      <c r="T1736" s="1" t="s">
        <v>33</v>
      </c>
      <c r="U1736" s="1">
        <v>4</v>
      </c>
      <c r="V1736" s="1">
        <v>128391</v>
      </c>
      <c r="W1736" s="7">
        <v>1538.98</v>
      </c>
      <c r="X1736" s="1">
        <v>0.84</v>
      </c>
      <c r="Y1736" s="4">
        <v>44626</v>
      </c>
      <c r="Z1736" s="1" t="s">
        <v>38</v>
      </c>
      <c r="AA1736" s="1" t="s">
        <v>33</v>
      </c>
      <c r="AB1736" s="36" t="str" cm="1">
        <f t="array" ref="AB1736">_xlfn.IFS(K1736&gt;650,"LOW",K1736&gt;=550,"MEDIUM",K1736&lt;550,"HIGH")</f>
        <v>HIGH</v>
      </c>
    </row>
    <row r="1737" spans="3:28" x14ac:dyDescent="0.3">
      <c r="C1737" s="35" t="s">
        <v>3424</v>
      </c>
      <c r="D1737" s="1" t="s">
        <v>1444</v>
      </c>
      <c r="E1737" s="1">
        <v>45</v>
      </c>
      <c r="F1737" s="1" t="s">
        <v>26</v>
      </c>
      <c r="G1737" s="1" t="s">
        <v>27</v>
      </c>
      <c r="H1737" s="1" t="s">
        <v>36</v>
      </c>
      <c r="I1737" s="1" t="s">
        <v>57</v>
      </c>
      <c r="J1737" s="7">
        <v>145777</v>
      </c>
      <c r="K1737" s="1">
        <v>375</v>
      </c>
      <c r="L1737" s="7">
        <v>11681</v>
      </c>
      <c r="M1737" s="1">
        <v>12</v>
      </c>
      <c r="N1737" s="6">
        <v>0.11449999999999999</v>
      </c>
      <c r="O1737" s="1" t="s">
        <v>52</v>
      </c>
      <c r="P1737" s="1" t="s">
        <v>47</v>
      </c>
      <c r="Q1737" s="1">
        <v>17</v>
      </c>
      <c r="R1737" s="1">
        <v>1</v>
      </c>
      <c r="S1737" s="1" t="s">
        <v>33</v>
      </c>
      <c r="T1737" s="1" t="s">
        <v>31</v>
      </c>
      <c r="U1737" s="1">
        <v>0</v>
      </c>
      <c r="V1737" s="1">
        <v>64379</v>
      </c>
      <c r="W1737" s="7">
        <v>1396.46</v>
      </c>
      <c r="X1737" s="1">
        <v>0.82</v>
      </c>
      <c r="Y1737" s="4">
        <v>44967</v>
      </c>
      <c r="Z1737" s="1" t="s">
        <v>38</v>
      </c>
      <c r="AA1737" s="1" t="s">
        <v>33</v>
      </c>
      <c r="AB1737" s="36" t="str" cm="1">
        <f t="array" ref="AB1737">_xlfn.IFS(K1737&gt;650,"LOW",K1737&gt;=550,"MEDIUM",K1737&lt;550,"HIGH")</f>
        <v>HIGH</v>
      </c>
    </row>
    <row r="1738" spans="3:28" x14ac:dyDescent="0.3">
      <c r="C1738" s="35" t="s">
        <v>2053</v>
      </c>
      <c r="D1738" s="1" t="s">
        <v>84</v>
      </c>
      <c r="E1738" s="1">
        <v>35</v>
      </c>
      <c r="F1738" s="1" t="s">
        <v>44</v>
      </c>
      <c r="G1738" s="1" t="s">
        <v>56</v>
      </c>
      <c r="H1738" s="1" t="s">
        <v>54</v>
      </c>
      <c r="I1738" s="1" t="s">
        <v>40</v>
      </c>
      <c r="J1738" s="7">
        <v>143402</v>
      </c>
      <c r="K1738" s="1">
        <v>374</v>
      </c>
      <c r="L1738" s="7">
        <v>27754</v>
      </c>
      <c r="M1738" s="1">
        <v>60</v>
      </c>
      <c r="N1738" s="6">
        <v>0.1371</v>
      </c>
      <c r="O1738" s="1" t="s">
        <v>41</v>
      </c>
      <c r="P1738" s="1" t="s">
        <v>47</v>
      </c>
      <c r="Q1738" s="1">
        <v>28</v>
      </c>
      <c r="R1738" s="1">
        <v>2</v>
      </c>
      <c r="S1738" s="1" t="s">
        <v>31</v>
      </c>
      <c r="T1738" s="1" t="s">
        <v>31</v>
      </c>
      <c r="U1738" s="1">
        <v>4</v>
      </c>
      <c r="V1738" s="1">
        <v>86856</v>
      </c>
      <c r="W1738" s="7">
        <v>610.29</v>
      </c>
      <c r="X1738" s="1">
        <v>0.85</v>
      </c>
      <c r="Y1738" s="4">
        <v>45394</v>
      </c>
      <c r="Z1738" s="1" t="s">
        <v>38</v>
      </c>
      <c r="AA1738" s="1" t="s">
        <v>31</v>
      </c>
      <c r="AB1738" s="36" t="str" cm="1">
        <f t="array" ref="AB1738">_xlfn.IFS(K1738&gt;650,"LOW",K1738&gt;=550,"MEDIUM",K1738&lt;550,"HIGH")</f>
        <v>HIGH</v>
      </c>
    </row>
    <row r="1739" spans="3:28" x14ac:dyDescent="0.3">
      <c r="C1739" s="35" t="s">
        <v>2404</v>
      </c>
      <c r="D1739" s="1" t="s">
        <v>434</v>
      </c>
      <c r="E1739" s="1">
        <v>62</v>
      </c>
      <c r="F1739" s="1" t="s">
        <v>44</v>
      </c>
      <c r="G1739" s="1" t="s">
        <v>27</v>
      </c>
      <c r="H1739" s="1" t="s">
        <v>61</v>
      </c>
      <c r="I1739" s="1" t="s">
        <v>40</v>
      </c>
      <c r="J1739" s="7">
        <v>32224</v>
      </c>
      <c r="K1739" s="1">
        <v>374</v>
      </c>
      <c r="L1739" s="7">
        <v>44481</v>
      </c>
      <c r="M1739" s="1">
        <v>12</v>
      </c>
      <c r="N1739" s="6">
        <v>0.184</v>
      </c>
      <c r="O1739" s="1" t="s">
        <v>52</v>
      </c>
      <c r="P1739" s="1" t="s">
        <v>30</v>
      </c>
      <c r="Q1739" s="1">
        <v>4</v>
      </c>
      <c r="R1739" s="1">
        <v>2</v>
      </c>
      <c r="S1739" s="1" t="s">
        <v>33</v>
      </c>
      <c r="T1739" s="1" t="s">
        <v>33</v>
      </c>
      <c r="U1739" s="1">
        <v>4</v>
      </c>
      <c r="V1739" s="1">
        <v>49572</v>
      </c>
      <c r="W1739" s="7">
        <v>712.44</v>
      </c>
      <c r="X1739" s="1">
        <v>0.71</v>
      </c>
      <c r="Y1739" s="4">
        <v>44748</v>
      </c>
      <c r="Z1739" s="1" t="s">
        <v>38</v>
      </c>
      <c r="AA1739" s="1" t="s">
        <v>33</v>
      </c>
      <c r="AB1739" s="36" t="str" cm="1">
        <f t="array" ref="AB1739">_xlfn.IFS(K1739&gt;650,"LOW",K1739&gt;=550,"MEDIUM",K1739&lt;550,"HIGH")</f>
        <v>HIGH</v>
      </c>
    </row>
    <row r="1740" spans="3:28" x14ac:dyDescent="0.3">
      <c r="C1740" s="35" t="s">
        <v>3692</v>
      </c>
      <c r="D1740" s="1" t="s">
        <v>1703</v>
      </c>
      <c r="E1740" s="1">
        <v>47</v>
      </c>
      <c r="F1740" s="1" t="s">
        <v>26</v>
      </c>
      <c r="G1740" s="1" t="s">
        <v>45</v>
      </c>
      <c r="H1740" s="1" t="s">
        <v>36</v>
      </c>
      <c r="I1740" s="1" t="s">
        <v>57</v>
      </c>
      <c r="J1740" s="7">
        <v>78759</v>
      </c>
      <c r="K1740" s="1">
        <v>374</v>
      </c>
      <c r="L1740" s="7">
        <v>12183</v>
      </c>
      <c r="M1740" s="1">
        <v>48</v>
      </c>
      <c r="N1740" s="6">
        <v>0.15579999999999999</v>
      </c>
      <c r="O1740" s="1" t="s">
        <v>52</v>
      </c>
      <c r="P1740" s="1" t="s">
        <v>30</v>
      </c>
      <c r="Q1740" s="1">
        <v>16</v>
      </c>
      <c r="R1740" s="1">
        <v>3</v>
      </c>
      <c r="S1740" s="1" t="s">
        <v>31</v>
      </c>
      <c r="T1740" s="1" t="s">
        <v>31</v>
      </c>
      <c r="U1740" s="1">
        <v>1</v>
      </c>
      <c r="V1740" s="1">
        <v>171674</v>
      </c>
      <c r="W1740" s="7">
        <v>400.39</v>
      </c>
      <c r="X1740" s="1">
        <v>0.34</v>
      </c>
      <c r="Y1740" s="4">
        <v>44648</v>
      </c>
      <c r="Z1740" s="1" t="s">
        <v>38</v>
      </c>
      <c r="AA1740" s="1" t="s">
        <v>33</v>
      </c>
      <c r="AB1740" s="36" t="str" cm="1">
        <f t="array" ref="AB1740">_xlfn.IFS(K1740&gt;650,"LOW",K1740&gt;=550,"MEDIUM",K1740&lt;550,"HIGH")</f>
        <v>HIGH</v>
      </c>
    </row>
    <row r="1741" spans="3:28" x14ac:dyDescent="0.3">
      <c r="C1741" s="35" t="s">
        <v>2636</v>
      </c>
      <c r="D1741" s="1" t="s">
        <v>666</v>
      </c>
      <c r="E1741" s="1">
        <v>53</v>
      </c>
      <c r="F1741" s="1" t="s">
        <v>26</v>
      </c>
      <c r="G1741" s="1" t="s">
        <v>35</v>
      </c>
      <c r="H1741" s="1" t="s">
        <v>61</v>
      </c>
      <c r="I1741" s="1" t="s">
        <v>57</v>
      </c>
      <c r="J1741" s="7">
        <v>77804</v>
      </c>
      <c r="K1741" s="1">
        <v>373</v>
      </c>
      <c r="L1741" s="7">
        <v>1582</v>
      </c>
      <c r="M1741" s="1">
        <v>12</v>
      </c>
      <c r="N1741" s="6">
        <v>0.13109999999999999</v>
      </c>
      <c r="O1741" s="1" t="s">
        <v>46</v>
      </c>
      <c r="P1741" s="1" t="s">
        <v>30</v>
      </c>
      <c r="Q1741" s="1">
        <v>25</v>
      </c>
      <c r="R1741" s="1">
        <v>0</v>
      </c>
      <c r="S1741" s="1" t="s">
        <v>31</v>
      </c>
      <c r="T1741" s="1" t="s">
        <v>31</v>
      </c>
      <c r="U1741" s="1">
        <v>2</v>
      </c>
      <c r="V1741" s="1">
        <v>53826</v>
      </c>
      <c r="W1741" s="7">
        <v>611.63</v>
      </c>
      <c r="X1741" s="1">
        <v>0.89</v>
      </c>
      <c r="Y1741" s="4">
        <v>44954</v>
      </c>
      <c r="Z1741" s="1" t="s">
        <v>38</v>
      </c>
      <c r="AA1741" s="1" t="s">
        <v>31</v>
      </c>
      <c r="AB1741" s="36" t="str" cm="1">
        <f t="array" ref="AB1741">_xlfn.IFS(K1741&gt;650,"LOW",K1741&gt;=550,"MEDIUM",K1741&lt;550,"HIGH")</f>
        <v>HIGH</v>
      </c>
    </row>
    <row r="1742" spans="3:28" x14ac:dyDescent="0.3">
      <c r="C1742" s="35" t="s">
        <v>2830</v>
      </c>
      <c r="D1742" s="1" t="s">
        <v>858</v>
      </c>
      <c r="E1742" s="1">
        <v>42</v>
      </c>
      <c r="F1742" s="1" t="s">
        <v>26</v>
      </c>
      <c r="G1742" s="1" t="s">
        <v>35</v>
      </c>
      <c r="H1742" s="1" t="s">
        <v>54</v>
      </c>
      <c r="I1742" s="1" t="s">
        <v>57</v>
      </c>
      <c r="J1742" s="7">
        <v>54160</v>
      </c>
      <c r="K1742" s="1">
        <v>373</v>
      </c>
      <c r="L1742" s="7">
        <v>25918</v>
      </c>
      <c r="M1742" s="1">
        <v>60</v>
      </c>
      <c r="N1742" s="6">
        <v>0.1948</v>
      </c>
      <c r="O1742" s="1" t="s">
        <v>37</v>
      </c>
      <c r="P1742" s="1" t="s">
        <v>47</v>
      </c>
      <c r="Q1742" s="1">
        <v>12</v>
      </c>
      <c r="R1742" s="1">
        <v>3</v>
      </c>
      <c r="S1742" s="1" t="s">
        <v>33</v>
      </c>
      <c r="T1742" s="1" t="s">
        <v>31</v>
      </c>
      <c r="U1742" s="1">
        <v>2</v>
      </c>
      <c r="V1742" s="1">
        <v>119726</v>
      </c>
      <c r="W1742" s="7">
        <v>1436</v>
      </c>
      <c r="X1742" s="1">
        <v>0.85</v>
      </c>
      <c r="Y1742" s="4">
        <v>44714</v>
      </c>
      <c r="Z1742" s="1" t="s">
        <v>38</v>
      </c>
      <c r="AA1742" s="1" t="s">
        <v>33</v>
      </c>
      <c r="AB1742" s="36" t="str" cm="1">
        <f t="array" ref="AB1742">_xlfn.IFS(K1742&gt;650,"LOW",K1742&gt;=550,"MEDIUM",K1742&lt;550,"HIGH")</f>
        <v>HIGH</v>
      </c>
    </row>
    <row r="1743" spans="3:28" x14ac:dyDescent="0.3">
      <c r="C1743" s="35" t="s">
        <v>2904</v>
      </c>
      <c r="D1743" s="1" t="s">
        <v>932</v>
      </c>
      <c r="E1743" s="1">
        <v>29</v>
      </c>
      <c r="F1743" s="1" t="s">
        <v>26</v>
      </c>
      <c r="G1743" s="1" t="s">
        <v>27</v>
      </c>
      <c r="H1743" s="1" t="s">
        <v>54</v>
      </c>
      <c r="I1743" s="1" t="s">
        <v>57</v>
      </c>
      <c r="J1743" s="7">
        <v>52888</v>
      </c>
      <c r="K1743" s="1">
        <v>373</v>
      </c>
      <c r="L1743" s="7">
        <v>28467</v>
      </c>
      <c r="M1743" s="1">
        <v>12</v>
      </c>
      <c r="N1743" s="6">
        <v>0.16870000000000002</v>
      </c>
      <c r="O1743" s="1" t="s">
        <v>52</v>
      </c>
      <c r="P1743" s="1" t="s">
        <v>30</v>
      </c>
      <c r="Q1743" s="1">
        <v>8</v>
      </c>
      <c r="R1743" s="1">
        <v>3</v>
      </c>
      <c r="S1743" s="1" t="s">
        <v>31</v>
      </c>
      <c r="T1743" s="1" t="s">
        <v>31</v>
      </c>
      <c r="U1743" s="1">
        <v>4</v>
      </c>
      <c r="V1743" s="1">
        <v>158795</v>
      </c>
      <c r="W1743" s="7">
        <v>1294.31</v>
      </c>
      <c r="X1743" s="1">
        <v>0.35</v>
      </c>
      <c r="Y1743" s="4">
        <v>44140</v>
      </c>
      <c r="Z1743" s="1" t="s">
        <v>32</v>
      </c>
      <c r="AA1743" s="1" t="s">
        <v>33</v>
      </c>
      <c r="AB1743" s="36" t="str" cm="1">
        <f t="array" ref="AB1743">_xlfn.IFS(K1743&gt;650,"LOW",K1743&gt;=550,"MEDIUM",K1743&lt;550,"HIGH")</f>
        <v>HIGH</v>
      </c>
    </row>
    <row r="1744" spans="3:28" x14ac:dyDescent="0.3">
      <c r="C1744" s="35" t="s">
        <v>3055</v>
      </c>
      <c r="D1744" s="1" t="s">
        <v>1082</v>
      </c>
      <c r="E1744" s="1">
        <v>25</v>
      </c>
      <c r="F1744" s="1" t="s">
        <v>26</v>
      </c>
      <c r="G1744" s="1" t="s">
        <v>56</v>
      </c>
      <c r="H1744" s="1" t="s">
        <v>61</v>
      </c>
      <c r="I1744" s="1" t="s">
        <v>59</v>
      </c>
      <c r="J1744" s="7">
        <v>90404</v>
      </c>
      <c r="K1744" s="1">
        <v>373</v>
      </c>
      <c r="L1744" s="7">
        <v>15434</v>
      </c>
      <c r="M1744" s="1">
        <v>24</v>
      </c>
      <c r="N1744" s="6">
        <v>0.15359999999999999</v>
      </c>
      <c r="O1744" s="1" t="s">
        <v>5</v>
      </c>
      <c r="P1744" s="1" t="s">
        <v>50</v>
      </c>
      <c r="Q1744" s="1">
        <v>16</v>
      </c>
      <c r="R1744" s="1">
        <v>3</v>
      </c>
      <c r="S1744" s="1" t="s">
        <v>33</v>
      </c>
      <c r="T1744" s="1" t="s">
        <v>31</v>
      </c>
      <c r="U1744" s="1">
        <v>3</v>
      </c>
      <c r="V1744" s="1">
        <v>74158</v>
      </c>
      <c r="W1744" s="7">
        <v>348.56</v>
      </c>
      <c r="X1744" s="1">
        <v>0.28000000000000003</v>
      </c>
      <c r="Y1744" s="4">
        <v>44747</v>
      </c>
      <c r="Z1744" s="1" t="s">
        <v>38</v>
      </c>
      <c r="AA1744" s="1" t="s">
        <v>33</v>
      </c>
      <c r="AB1744" s="36" t="str" cm="1">
        <f t="array" ref="AB1744">_xlfn.IFS(K1744&gt;650,"LOW",K1744&gt;=550,"MEDIUM",K1744&lt;550,"HIGH")</f>
        <v>HIGH</v>
      </c>
    </row>
    <row r="1745" spans="3:28" x14ac:dyDescent="0.3">
      <c r="C1745" s="35" t="s">
        <v>3705</v>
      </c>
      <c r="D1745" s="1" t="s">
        <v>731</v>
      </c>
      <c r="E1745" s="1">
        <v>23</v>
      </c>
      <c r="F1745" s="1" t="s">
        <v>26</v>
      </c>
      <c r="G1745" s="1" t="s">
        <v>35</v>
      </c>
      <c r="H1745" s="1" t="s">
        <v>28</v>
      </c>
      <c r="I1745" s="1" t="s">
        <v>29</v>
      </c>
      <c r="J1745" s="7">
        <v>98858</v>
      </c>
      <c r="K1745" s="1">
        <v>373</v>
      </c>
      <c r="L1745" s="7">
        <v>23187</v>
      </c>
      <c r="M1745" s="1">
        <v>60</v>
      </c>
      <c r="N1745" s="6">
        <v>0.126</v>
      </c>
      <c r="O1745" s="1" t="s">
        <v>63</v>
      </c>
      <c r="P1745" s="1" t="s">
        <v>47</v>
      </c>
      <c r="Q1745" s="1">
        <v>23</v>
      </c>
      <c r="R1745" s="1">
        <v>0</v>
      </c>
      <c r="S1745" s="1" t="s">
        <v>31</v>
      </c>
      <c r="T1745" s="1" t="s">
        <v>31</v>
      </c>
      <c r="U1745" s="1">
        <v>0</v>
      </c>
      <c r="V1745" s="1">
        <v>63942</v>
      </c>
      <c r="W1745" s="7">
        <v>680.2</v>
      </c>
      <c r="X1745" s="1">
        <v>0.78</v>
      </c>
      <c r="Y1745" s="4">
        <v>45091</v>
      </c>
      <c r="Z1745" s="1" t="s">
        <v>32</v>
      </c>
      <c r="AA1745" s="1" t="s">
        <v>33</v>
      </c>
      <c r="AB1745" s="36" t="str" cm="1">
        <f t="array" ref="AB1745">_xlfn.IFS(K1745&gt;650,"LOW",K1745&gt;=550,"MEDIUM",K1745&lt;550,"HIGH")</f>
        <v>HIGH</v>
      </c>
    </row>
    <row r="1746" spans="3:28" x14ac:dyDescent="0.3">
      <c r="C1746" s="35" t="s">
        <v>3715</v>
      </c>
      <c r="D1746" s="1" t="s">
        <v>1725</v>
      </c>
      <c r="E1746" s="1">
        <v>56</v>
      </c>
      <c r="F1746" s="1" t="s">
        <v>26</v>
      </c>
      <c r="G1746" s="1" t="s">
        <v>35</v>
      </c>
      <c r="H1746" s="1" t="s">
        <v>61</v>
      </c>
      <c r="I1746" s="1" t="s">
        <v>57</v>
      </c>
      <c r="J1746" s="7">
        <v>42912</v>
      </c>
      <c r="K1746" s="1">
        <v>373</v>
      </c>
      <c r="L1746" s="7">
        <v>26538</v>
      </c>
      <c r="M1746" s="1">
        <v>48</v>
      </c>
      <c r="N1746" s="6">
        <v>8.8000000000000009E-2</v>
      </c>
      <c r="O1746" s="1" t="s">
        <v>37</v>
      </c>
      <c r="P1746" s="1" t="s">
        <v>47</v>
      </c>
      <c r="Q1746" s="1">
        <v>20</v>
      </c>
      <c r="R1746" s="1">
        <v>1</v>
      </c>
      <c r="S1746" s="1" t="s">
        <v>31</v>
      </c>
      <c r="T1746" s="1" t="s">
        <v>33</v>
      </c>
      <c r="U1746" s="1">
        <v>4</v>
      </c>
      <c r="V1746" s="1">
        <v>112189</v>
      </c>
      <c r="W1746" s="7">
        <v>1320.89</v>
      </c>
      <c r="X1746" s="1">
        <v>1</v>
      </c>
      <c r="Y1746" s="4">
        <v>44354</v>
      </c>
      <c r="Z1746" s="1" t="s">
        <v>32</v>
      </c>
      <c r="AA1746" s="1" t="s">
        <v>33</v>
      </c>
      <c r="AB1746" s="36" t="str" cm="1">
        <f t="array" ref="AB1746">_xlfn.IFS(K1746&gt;650,"LOW",K1746&gt;=550,"MEDIUM",K1746&lt;550,"HIGH")</f>
        <v>HIGH</v>
      </c>
    </row>
    <row r="1747" spans="3:28" x14ac:dyDescent="0.3">
      <c r="C1747" s="35" t="s">
        <v>2477</v>
      </c>
      <c r="D1747" s="1" t="s">
        <v>507</v>
      </c>
      <c r="E1747" s="1">
        <v>52</v>
      </c>
      <c r="F1747" s="1" t="s">
        <v>26</v>
      </c>
      <c r="G1747" s="1" t="s">
        <v>56</v>
      </c>
      <c r="H1747" s="1" t="s">
        <v>36</v>
      </c>
      <c r="I1747" s="1" t="s">
        <v>40</v>
      </c>
      <c r="J1747" s="7">
        <v>33288</v>
      </c>
      <c r="K1747" s="1">
        <v>372</v>
      </c>
      <c r="L1747" s="7">
        <v>2626</v>
      </c>
      <c r="M1747" s="1">
        <v>60</v>
      </c>
      <c r="N1747" s="6">
        <v>0.1424</v>
      </c>
      <c r="O1747" s="1" t="s">
        <v>52</v>
      </c>
      <c r="P1747" s="1" t="s">
        <v>50</v>
      </c>
      <c r="Q1747" s="1">
        <v>22</v>
      </c>
      <c r="R1747" s="1">
        <v>4</v>
      </c>
      <c r="S1747" s="1" t="s">
        <v>31</v>
      </c>
      <c r="T1747" s="1" t="s">
        <v>33</v>
      </c>
      <c r="U1747" s="1">
        <v>3</v>
      </c>
      <c r="V1747" s="1">
        <v>153746</v>
      </c>
      <c r="W1747" s="7">
        <v>818.59</v>
      </c>
      <c r="X1747" s="1">
        <v>0.36</v>
      </c>
      <c r="Y1747" s="4">
        <v>44548</v>
      </c>
      <c r="Z1747" s="1" t="s">
        <v>38</v>
      </c>
      <c r="AA1747" s="1" t="s">
        <v>33</v>
      </c>
      <c r="AB1747" s="36" t="str" cm="1">
        <f t="array" ref="AB1747">_xlfn.IFS(K1747&gt;650,"LOW",K1747&gt;=550,"MEDIUM",K1747&lt;550,"HIGH")</f>
        <v>HIGH</v>
      </c>
    </row>
    <row r="1748" spans="3:28" x14ac:dyDescent="0.3">
      <c r="C1748" s="35" t="s">
        <v>2534</v>
      </c>
      <c r="D1748" s="1" t="s">
        <v>564</v>
      </c>
      <c r="E1748" s="1">
        <v>56</v>
      </c>
      <c r="F1748" s="1" t="s">
        <v>44</v>
      </c>
      <c r="G1748" s="1" t="s">
        <v>35</v>
      </c>
      <c r="H1748" s="1" t="s">
        <v>28</v>
      </c>
      <c r="I1748" s="1" t="s">
        <v>57</v>
      </c>
      <c r="J1748" s="7">
        <v>41301</v>
      </c>
      <c r="K1748" s="1">
        <v>372</v>
      </c>
      <c r="L1748" s="7">
        <v>27666</v>
      </c>
      <c r="M1748" s="1">
        <v>24</v>
      </c>
      <c r="N1748" s="6">
        <v>0.1341</v>
      </c>
      <c r="O1748" s="1" t="s">
        <v>63</v>
      </c>
      <c r="P1748" s="1" t="s">
        <v>50</v>
      </c>
      <c r="Q1748" s="1">
        <v>18</v>
      </c>
      <c r="R1748" s="1">
        <v>1</v>
      </c>
      <c r="S1748" s="1" t="s">
        <v>33</v>
      </c>
      <c r="T1748" s="1" t="s">
        <v>31</v>
      </c>
      <c r="U1748" s="1">
        <v>0</v>
      </c>
      <c r="V1748" s="1">
        <v>95490</v>
      </c>
      <c r="W1748" s="7">
        <v>1251.06</v>
      </c>
      <c r="X1748" s="1">
        <v>0.25</v>
      </c>
      <c r="Y1748" s="4">
        <v>44169</v>
      </c>
      <c r="Z1748" s="1" t="s">
        <v>38</v>
      </c>
      <c r="AA1748" s="1" t="s">
        <v>33</v>
      </c>
      <c r="AB1748" s="36" t="str" cm="1">
        <f t="array" ref="AB1748">_xlfn.IFS(K1748&gt;650,"LOW",K1748&gt;=550,"MEDIUM",K1748&lt;550,"HIGH")</f>
        <v>HIGH</v>
      </c>
    </row>
    <row r="1749" spans="3:28" x14ac:dyDescent="0.3">
      <c r="C1749" s="35" t="s">
        <v>2738</v>
      </c>
      <c r="D1749" s="1" t="s">
        <v>768</v>
      </c>
      <c r="E1749" s="1">
        <v>54</v>
      </c>
      <c r="F1749" s="1" t="s">
        <v>44</v>
      </c>
      <c r="G1749" s="1" t="s">
        <v>27</v>
      </c>
      <c r="H1749" s="1" t="s">
        <v>28</v>
      </c>
      <c r="I1749" s="1" t="s">
        <v>29</v>
      </c>
      <c r="J1749" s="7">
        <v>127092</v>
      </c>
      <c r="K1749" s="1">
        <v>372</v>
      </c>
      <c r="L1749" s="7">
        <v>44246</v>
      </c>
      <c r="M1749" s="1">
        <v>48</v>
      </c>
      <c r="N1749" s="6">
        <v>5.4299999999999994E-2</v>
      </c>
      <c r="O1749" s="1" t="s">
        <v>52</v>
      </c>
      <c r="P1749" s="1" t="s">
        <v>30</v>
      </c>
      <c r="Q1749" s="1">
        <v>22</v>
      </c>
      <c r="R1749" s="1">
        <v>2</v>
      </c>
      <c r="S1749" s="1" t="s">
        <v>31</v>
      </c>
      <c r="T1749" s="1" t="s">
        <v>31</v>
      </c>
      <c r="U1749" s="1">
        <v>0</v>
      </c>
      <c r="V1749" s="1">
        <v>113547</v>
      </c>
      <c r="W1749" s="7">
        <v>1128.3800000000001</v>
      </c>
      <c r="X1749" s="1">
        <v>0.59</v>
      </c>
      <c r="Y1749" s="4">
        <v>44103</v>
      </c>
      <c r="Z1749" s="1" t="s">
        <v>32</v>
      </c>
      <c r="AA1749" s="1" t="s">
        <v>33</v>
      </c>
      <c r="AB1749" s="36" t="str" cm="1">
        <f t="array" ref="AB1749">_xlfn.IFS(K1749&gt;650,"LOW",K1749&gt;=550,"MEDIUM",K1749&lt;550,"HIGH")</f>
        <v>HIGH</v>
      </c>
    </row>
    <row r="1750" spans="3:28" x14ac:dyDescent="0.3">
      <c r="C1750" s="35" t="s">
        <v>2804</v>
      </c>
      <c r="D1750" s="1" t="s">
        <v>832</v>
      </c>
      <c r="E1750" s="1">
        <v>23</v>
      </c>
      <c r="F1750" s="1" t="s">
        <v>26</v>
      </c>
      <c r="G1750" s="1" t="s">
        <v>56</v>
      </c>
      <c r="H1750" s="1" t="s">
        <v>54</v>
      </c>
      <c r="I1750" s="1" t="s">
        <v>40</v>
      </c>
      <c r="J1750" s="7">
        <v>58169</v>
      </c>
      <c r="K1750" s="1">
        <v>372</v>
      </c>
      <c r="L1750" s="7">
        <v>6624</v>
      </c>
      <c r="M1750" s="1">
        <v>60</v>
      </c>
      <c r="N1750" s="6">
        <v>0.11699999999999999</v>
      </c>
      <c r="O1750" s="1" t="s">
        <v>63</v>
      </c>
      <c r="P1750" s="1" t="s">
        <v>47</v>
      </c>
      <c r="Q1750" s="1">
        <v>18</v>
      </c>
      <c r="R1750" s="1">
        <v>1</v>
      </c>
      <c r="S1750" s="1" t="s">
        <v>33</v>
      </c>
      <c r="T1750" s="1" t="s">
        <v>31</v>
      </c>
      <c r="U1750" s="1">
        <v>4</v>
      </c>
      <c r="V1750" s="1">
        <v>88465</v>
      </c>
      <c r="W1750" s="7">
        <v>1989.27</v>
      </c>
      <c r="X1750" s="1">
        <v>0.31</v>
      </c>
      <c r="Y1750" s="4">
        <v>44827</v>
      </c>
      <c r="Z1750" s="1" t="s">
        <v>38</v>
      </c>
      <c r="AA1750" s="1" t="s">
        <v>31</v>
      </c>
      <c r="AB1750" s="36" t="str" cm="1">
        <f t="array" ref="AB1750">_xlfn.IFS(K1750&gt;650,"LOW",K1750&gt;=550,"MEDIUM",K1750&lt;550,"HIGH")</f>
        <v>HIGH</v>
      </c>
    </row>
    <row r="1751" spans="3:28" x14ac:dyDescent="0.3">
      <c r="C1751" s="35" t="s">
        <v>2633</v>
      </c>
      <c r="D1751" s="1" t="s">
        <v>663</v>
      </c>
      <c r="E1751" s="1">
        <v>33</v>
      </c>
      <c r="F1751" s="1" t="s">
        <v>44</v>
      </c>
      <c r="G1751" s="1" t="s">
        <v>35</v>
      </c>
      <c r="H1751" s="1" t="s">
        <v>28</v>
      </c>
      <c r="I1751" s="1" t="s">
        <v>40</v>
      </c>
      <c r="J1751" s="7">
        <v>113144</v>
      </c>
      <c r="K1751" s="1">
        <v>371</v>
      </c>
      <c r="L1751" s="7">
        <v>12471</v>
      </c>
      <c r="M1751" s="1">
        <v>24</v>
      </c>
      <c r="N1751" s="6">
        <v>0.19800000000000001</v>
      </c>
      <c r="O1751" s="1" t="s">
        <v>41</v>
      </c>
      <c r="P1751" s="1" t="s">
        <v>30</v>
      </c>
      <c r="Q1751" s="1">
        <v>9</v>
      </c>
      <c r="R1751" s="1">
        <v>0</v>
      </c>
      <c r="S1751" s="1" t="s">
        <v>33</v>
      </c>
      <c r="T1751" s="1" t="s">
        <v>33</v>
      </c>
      <c r="U1751" s="1">
        <v>1</v>
      </c>
      <c r="V1751" s="1">
        <v>145750</v>
      </c>
      <c r="W1751" s="7">
        <v>432.26</v>
      </c>
      <c r="X1751" s="1">
        <v>0.16</v>
      </c>
      <c r="Y1751" s="4">
        <v>45251</v>
      </c>
      <c r="Z1751" s="1" t="s">
        <v>32</v>
      </c>
      <c r="AA1751" s="1" t="s">
        <v>33</v>
      </c>
      <c r="AB1751" s="36" t="str" cm="1">
        <f t="array" ref="AB1751">_xlfn.IFS(K1751&gt;650,"LOW",K1751&gt;=550,"MEDIUM",K1751&lt;550,"HIGH")</f>
        <v>HIGH</v>
      </c>
    </row>
    <row r="1752" spans="3:28" x14ac:dyDescent="0.3">
      <c r="C1752" s="35" t="s">
        <v>2951</v>
      </c>
      <c r="D1752" s="1" t="s">
        <v>979</v>
      </c>
      <c r="E1752" s="1">
        <v>43</v>
      </c>
      <c r="F1752" s="1" t="s">
        <v>44</v>
      </c>
      <c r="G1752" s="1" t="s">
        <v>27</v>
      </c>
      <c r="H1752" s="1" t="s">
        <v>61</v>
      </c>
      <c r="I1752" s="1" t="s">
        <v>57</v>
      </c>
      <c r="J1752" s="7">
        <v>79557</v>
      </c>
      <c r="K1752" s="1">
        <v>371</v>
      </c>
      <c r="L1752" s="7">
        <v>7553</v>
      </c>
      <c r="M1752" s="1">
        <v>12</v>
      </c>
      <c r="N1752" s="6">
        <v>0.1193</v>
      </c>
      <c r="O1752" s="1" t="s">
        <v>46</v>
      </c>
      <c r="P1752" s="1" t="s">
        <v>30</v>
      </c>
      <c r="Q1752" s="1">
        <v>21</v>
      </c>
      <c r="R1752" s="1">
        <v>0</v>
      </c>
      <c r="S1752" s="1" t="s">
        <v>31</v>
      </c>
      <c r="T1752" s="1" t="s">
        <v>31</v>
      </c>
      <c r="U1752" s="1">
        <v>0</v>
      </c>
      <c r="V1752" s="1">
        <v>24769</v>
      </c>
      <c r="W1752" s="7">
        <v>1799.3</v>
      </c>
      <c r="X1752" s="1">
        <v>0.38</v>
      </c>
      <c r="Y1752" s="4">
        <v>45465</v>
      </c>
      <c r="Z1752" s="1" t="s">
        <v>32</v>
      </c>
      <c r="AA1752" s="1" t="s">
        <v>31</v>
      </c>
      <c r="AB1752" s="36" t="str" cm="1">
        <f t="array" ref="AB1752">_xlfn.IFS(K1752&gt;650,"LOW",K1752&gt;=550,"MEDIUM",K1752&lt;550,"HIGH")</f>
        <v>HIGH</v>
      </c>
    </row>
    <row r="1753" spans="3:28" x14ac:dyDescent="0.3">
      <c r="C1753" s="35" t="s">
        <v>3115</v>
      </c>
      <c r="D1753" s="1" t="s">
        <v>1140</v>
      </c>
      <c r="E1753" s="1">
        <v>29</v>
      </c>
      <c r="F1753" s="1" t="s">
        <v>26</v>
      </c>
      <c r="G1753" s="1" t="s">
        <v>27</v>
      </c>
      <c r="H1753" s="1" t="s">
        <v>36</v>
      </c>
      <c r="I1753" s="1" t="s">
        <v>59</v>
      </c>
      <c r="J1753" s="7">
        <v>37393</v>
      </c>
      <c r="K1753" s="1">
        <v>371</v>
      </c>
      <c r="L1753" s="7">
        <v>14463</v>
      </c>
      <c r="M1753" s="1">
        <v>36</v>
      </c>
      <c r="N1753" s="6">
        <v>0.1182</v>
      </c>
      <c r="O1753" s="1" t="s">
        <v>63</v>
      </c>
      <c r="P1753" s="1" t="s">
        <v>47</v>
      </c>
      <c r="Q1753" s="1">
        <v>4</v>
      </c>
      <c r="R1753" s="1">
        <v>3</v>
      </c>
      <c r="S1753" s="1" t="s">
        <v>31</v>
      </c>
      <c r="T1753" s="1" t="s">
        <v>31</v>
      </c>
      <c r="U1753" s="1">
        <v>3</v>
      </c>
      <c r="V1753" s="1">
        <v>97364</v>
      </c>
      <c r="W1753" s="7">
        <v>1064.05</v>
      </c>
      <c r="X1753" s="1">
        <v>0.15</v>
      </c>
      <c r="Y1753" s="4">
        <v>44206</v>
      </c>
      <c r="Z1753" s="1" t="s">
        <v>32</v>
      </c>
      <c r="AA1753" s="1" t="s">
        <v>33</v>
      </c>
      <c r="AB1753" s="36" t="str" cm="1">
        <f t="array" ref="AB1753">_xlfn.IFS(K1753&gt;650,"LOW",K1753&gt;=550,"MEDIUM",K1753&lt;550,"HIGH")</f>
        <v>HIGH</v>
      </c>
    </row>
    <row r="1754" spans="3:28" x14ac:dyDescent="0.3">
      <c r="C1754" s="35" t="s">
        <v>3334</v>
      </c>
      <c r="D1754" s="1" t="s">
        <v>1357</v>
      </c>
      <c r="E1754" s="1">
        <v>29</v>
      </c>
      <c r="F1754" s="1" t="s">
        <v>44</v>
      </c>
      <c r="G1754" s="1" t="s">
        <v>27</v>
      </c>
      <c r="H1754" s="1" t="s">
        <v>28</v>
      </c>
      <c r="I1754" s="1" t="s">
        <v>59</v>
      </c>
      <c r="J1754" s="7">
        <v>113831</v>
      </c>
      <c r="K1754" s="1">
        <v>371</v>
      </c>
      <c r="L1754" s="7">
        <v>6024</v>
      </c>
      <c r="M1754" s="1">
        <v>24</v>
      </c>
      <c r="N1754" s="6">
        <v>0.1085</v>
      </c>
      <c r="O1754" s="1" t="s">
        <v>52</v>
      </c>
      <c r="P1754" s="1" t="s">
        <v>50</v>
      </c>
      <c r="Q1754" s="1">
        <v>22</v>
      </c>
      <c r="R1754" s="1">
        <v>4</v>
      </c>
      <c r="S1754" s="1" t="s">
        <v>33</v>
      </c>
      <c r="T1754" s="1" t="s">
        <v>31</v>
      </c>
      <c r="U1754" s="1">
        <v>2</v>
      </c>
      <c r="V1754" s="1">
        <v>23968</v>
      </c>
      <c r="W1754" s="7">
        <v>1787.58</v>
      </c>
      <c r="X1754" s="1">
        <v>0.94</v>
      </c>
      <c r="Y1754" s="4">
        <v>45848</v>
      </c>
      <c r="Z1754" s="1" t="s">
        <v>32</v>
      </c>
      <c r="AA1754" s="1" t="s">
        <v>33</v>
      </c>
      <c r="AB1754" s="36" t="str" cm="1">
        <f t="array" ref="AB1754">_xlfn.IFS(K1754&gt;650,"LOW",K1754&gt;=550,"MEDIUM",K1754&lt;550,"HIGH")</f>
        <v>HIGH</v>
      </c>
    </row>
    <row r="1755" spans="3:28" x14ac:dyDescent="0.3">
      <c r="C1755" s="35" t="s">
        <v>3941</v>
      </c>
      <c r="D1755" s="1" t="s">
        <v>1944</v>
      </c>
      <c r="E1755" s="1">
        <v>53</v>
      </c>
      <c r="F1755" s="1" t="s">
        <v>26</v>
      </c>
      <c r="G1755" s="1" t="s">
        <v>45</v>
      </c>
      <c r="H1755" s="1" t="s">
        <v>28</v>
      </c>
      <c r="I1755" s="1" t="s">
        <v>40</v>
      </c>
      <c r="J1755" s="7">
        <v>119270</v>
      </c>
      <c r="K1755" s="1">
        <v>371</v>
      </c>
      <c r="L1755" s="7">
        <v>14775</v>
      </c>
      <c r="M1755" s="1">
        <v>24</v>
      </c>
      <c r="N1755" s="6">
        <v>8.9399999999999993E-2</v>
      </c>
      <c r="O1755" s="1" t="s">
        <v>5</v>
      </c>
      <c r="P1755" s="1" t="s">
        <v>50</v>
      </c>
      <c r="Q1755" s="1">
        <v>1</v>
      </c>
      <c r="R1755" s="1">
        <v>1</v>
      </c>
      <c r="S1755" s="1" t="s">
        <v>33</v>
      </c>
      <c r="T1755" s="1" t="s">
        <v>33</v>
      </c>
      <c r="U1755" s="1">
        <v>0</v>
      </c>
      <c r="V1755" s="1">
        <v>19295</v>
      </c>
      <c r="W1755" s="7">
        <v>1248.4100000000001</v>
      </c>
      <c r="X1755" s="1">
        <v>0.68</v>
      </c>
      <c r="Y1755" s="4">
        <v>45186</v>
      </c>
      <c r="Z1755" s="1" t="s">
        <v>32</v>
      </c>
      <c r="AA1755" s="1" t="s">
        <v>33</v>
      </c>
      <c r="AB1755" s="36" t="str" cm="1">
        <f t="array" ref="AB1755">_xlfn.IFS(K1755&gt;650,"LOW",K1755&gt;=550,"MEDIUM",K1755&lt;550,"HIGH")</f>
        <v>HIGH</v>
      </c>
    </row>
    <row r="1756" spans="3:28" x14ac:dyDescent="0.3">
      <c r="C1756" s="35" t="s">
        <v>4000</v>
      </c>
      <c r="D1756" s="1" t="s">
        <v>2000</v>
      </c>
      <c r="E1756" s="1">
        <v>61</v>
      </c>
      <c r="F1756" s="1" t="s">
        <v>44</v>
      </c>
      <c r="G1756" s="1" t="s">
        <v>45</v>
      </c>
      <c r="H1756" s="1" t="s">
        <v>36</v>
      </c>
      <c r="I1756" s="1" t="s">
        <v>29</v>
      </c>
      <c r="J1756" s="7">
        <v>63601</v>
      </c>
      <c r="K1756" s="1">
        <v>371</v>
      </c>
      <c r="L1756" s="7">
        <v>39622</v>
      </c>
      <c r="M1756" s="1">
        <v>24</v>
      </c>
      <c r="N1756" s="6">
        <v>5.4800000000000001E-2</v>
      </c>
      <c r="O1756" s="1" t="s">
        <v>41</v>
      </c>
      <c r="P1756" s="1" t="s">
        <v>47</v>
      </c>
      <c r="Q1756" s="1">
        <v>5</v>
      </c>
      <c r="R1756" s="1">
        <v>3</v>
      </c>
      <c r="S1756" s="1" t="s">
        <v>31</v>
      </c>
      <c r="T1756" s="1" t="s">
        <v>33</v>
      </c>
      <c r="U1756" s="1">
        <v>4</v>
      </c>
      <c r="V1756" s="1">
        <v>66326</v>
      </c>
      <c r="W1756" s="7">
        <v>1540.88</v>
      </c>
      <c r="X1756" s="1">
        <v>0.74</v>
      </c>
      <c r="Y1756" s="4">
        <v>45450</v>
      </c>
      <c r="Z1756" s="1" t="s">
        <v>32</v>
      </c>
      <c r="AA1756" s="1" t="s">
        <v>33</v>
      </c>
      <c r="AB1756" s="36" t="str" cm="1">
        <f t="array" ref="AB1756">_xlfn.IFS(K1756&gt;650,"LOW",K1756&gt;=550,"MEDIUM",K1756&lt;550,"HIGH")</f>
        <v>HIGH</v>
      </c>
    </row>
    <row r="1757" spans="3:28" x14ac:dyDescent="0.3">
      <c r="C1757" s="35" t="s">
        <v>2185</v>
      </c>
      <c r="D1757" s="1" t="s">
        <v>216</v>
      </c>
      <c r="E1757" s="1">
        <v>48</v>
      </c>
      <c r="F1757" s="1" t="s">
        <v>26</v>
      </c>
      <c r="G1757" s="1" t="s">
        <v>45</v>
      </c>
      <c r="H1757" s="1" t="s">
        <v>61</v>
      </c>
      <c r="I1757" s="1" t="s">
        <v>40</v>
      </c>
      <c r="J1757" s="7">
        <v>33303</v>
      </c>
      <c r="K1757" s="1">
        <v>370</v>
      </c>
      <c r="L1757" s="7">
        <v>39459</v>
      </c>
      <c r="M1757" s="1">
        <v>12</v>
      </c>
      <c r="N1757" s="6">
        <v>0.17980000000000002</v>
      </c>
      <c r="O1757" s="1" t="s">
        <v>41</v>
      </c>
      <c r="P1757" s="1" t="s">
        <v>47</v>
      </c>
      <c r="Q1757" s="1">
        <v>8</v>
      </c>
      <c r="R1757" s="1">
        <v>2</v>
      </c>
      <c r="S1757" s="1" t="s">
        <v>31</v>
      </c>
      <c r="T1757" s="1" t="s">
        <v>31</v>
      </c>
      <c r="U1757" s="1">
        <v>0</v>
      </c>
      <c r="V1757" s="1">
        <v>192457</v>
      </c>
      <c r="W1757" s="7">
        <v>909.48</v>
      </c>
      <c r="X1757" s="1">
        <v>0.32</v>
      </c>
      <c r="Y1757" s="4">
        <v>44303</v>
      </c>
      <c r="Z1757" s="1" t="s">
        <v>32</v>
      </c>
      <c r="AA1757" s="1" t="s">
        <v>31</v>
      </c>
      <c r="AB1757" s="36" t="str" cm="1">
        <f t="array" ref="AB1757">_xlfn.IFS(K1757&gt;650,"LOW",K1757&gt;=550,"MEDIUM",K1757&lt;550,"HIGH")</f>
        <v>HIGH</v>
      </c>
    </row>
    <row r="1758" spans="3:28" x14ac:dyDescent="0.3">
      <c r="C1758" s="35" t="s">
        <v>2293</v>
      </c>
      <c r="D1758" s="1" t="s">
        <v>324</v>
      </c>
      <c r="E1758" s="1">
        <v>58</v>
      </c>
      <c r="F1758" s="1" t="s">
        <v>44</v>
      </c>
      <c r="G1758" s="1" t="s">
        <v>27</v>
      </c>
      <c r="H1758" s="1" t="s">
        <v>54</v>
      </c>
      <c r="I1758" s="1" t="s">
        <v>57</v>
      </c>
      <c r="J1758" s="7">
        <v>24551</v>
      </c>
      <c r="K1758" s="1">
        <v>370</v>
      </c>
      <c r="L1758" s="7">
        <v>16954</v>
      </c>
      <c r="M1758" s="1">
        <v>24</v>
      </c>
      <c r="N1758" s="6">
        <v>7.5300000000000006E-2</v>
      </c>
      <c r="O1758" s="1" t="s">
        <v>63</v>
      </c>
      <c r="P1758" s="1" t="s">
        <v>47</v>
      </c>
      <c r="Q1758" s="1">
        <v>19</v>
      </c>
      <c r="R1758" s="1">
        <v>0</v>
      </c>
      <c r="S1758" s="1" t="s">
        <v>33</v>
      </c>
      <c r="T1758" s="1" t="s">
        <v>33</v>
      </c>
      <c r="U1758" s="1">
        <v>0</v>
      </c>
      <c r="V1758" s="1">
        <v>189373</v>
      </c>
      <c r="W1758" s="7">
        <v>1052.7</v>
      </c>
      <c r="X1758" s="1">
        <v>0.82</v>
      </c>
      <c r="Y1758" s="4">
        <v>45821</v>
      </c>
      <c r="Z1758" s="1" t="s">
        <v>38</v>
      </c>
      <c r="AA1758" s="1" t="s">
        <v>33</v>
      </c>
      <c r="AB1758" s="36" t="str" cm="1">
        <f t="array" ref="AB1758">_xlfn.IFS(K1758&gt;650,"LOW",K1758&gt;=550,"MEDIUM",K1758&lt;550,"HIGH")</f>
        <v>HIGH</v>
      </c>
    </row>
    <row r="1759" spans="3:28" x14ac:dyDescent="0.3">
      <c r="C1759" s="35" t="s">
        <v>3645</v>
      </c>
      <c r="D1759" s="1" t="s">
        <v>1657</v>
      </c>
      <c r="E1759" s="1">
        <v>43</v>
      </c>
      <c r="F1759" s="1" t="s">
        <v>44</v>
      </c>
      <c r="G1759" s="1" t="s">
        <v>45</v>
      </c>
      <c r="H1759" s="1" t="s">
        <v>61</v>
      </c>
      <c r="I1759" s="1" t="s">
        <v>59</v>
      </c>
      <c r="J1759" s="7">
        <v>79055</v>
      </c>
      <c r="K1759" s="1">
        <v>370</v>
      </c>
      <c r="L1759" s="7">
        <v>30989</v>
      </c>
      <c r="M1759" s="1">
        <v>60</v>
      </c>
      <c r="N1759" s="6">
        <v>0.19920000000000002</v>
      </c>
      <c r="O1759" s="1" t="s">
        <v>46</v>
      </c>
      <c r="P1759" s="1" t="s">
        <v>47</v>
      </c>
      <c r="Q1759" s="1">
        <v>21</v>
      </c>
      <c r="R1759" s="1">
        <v>3</v>
      </c>
      <c r="S1759" s="1" t="s">
        <v>33</v>
      </c>
      <c r="T1759" s="1" t="s">
        <v>33</v>
      </c>
      <c r="U1759" s="1">
        <v>1</v>
      </c>
      <c r="V1759" s="1">
        <v>157189</v>
      </c>
      <c r="W1759" s="7">
        <v>771.59</v>
      </c>
      <c r="X1759" s="1">
        <v>0.51</v>
      </c>
      <c r="Y1759" s="4">
        <v>45218</v>
      </c>
      <c r="Z1759" s="1" t="s">
        <v>32</v>
      </c>
      <c r="AA1759" s="1" t="s">
        <v>33</v>
      </c>
      <c r="AB1759" s="36" t="str" cm="1">
        <f t="array" ref="AB1759">_xlfn.IFS(K1759&gt;650,"LOW",K1759&gt;=550,"MEDIUM",K1759&lt;550,"HIGH")</f>
        <v>HIGH</v>
      </c>
    </row>
    <row r="1760" spans="3:28" x14ac:dyDescent="0.3">
      <c r="C1760" s="35" t="s">
        <v>2839</v>
      </c>
      <c r="D1760" s="1" t="s">
        <v>867</v>
      </c>
      <c r="E1760" s="1">
        <v>35</v>
      </c>
      <c r="F1760" s="1" t="s">
        <v>26</v>
      </c>
      <c r="G1760" s="1" t="s">
        <v>56</v>
      </c>
      <c r="H1760" s="1" t="s">
        <v>54</v>
      </c>
      <c r="I1760" s="1" t="s">
        <v>57</v>
      </c>
      <c r="J1760" s="7">
        <v>25544</v>
      </c>
      <c r="K1760" s="1">
        <v>369</v>
      </c>
      <c r="L1760" s="7">
        <v>37303</v>
      </c>
      <c r="M1760" s="1">
        <v>48</v>
      </c>
      <c r="N1760" s="6">
        <v>0.14880000000000002</v>
      </c>
      <c r="O1760" s="1" t="s">
        <v>52</v>
      </c>
      <c r="P1760" s="1" t="s">
        <v>30</v>
      </c>
      <c r="Q1760" s="1">
        <v>5</v>
      </c>
      <c r="R1760" s="1">
        <v>2</v>
      </c>
      <c r="S1760" s="1" t="s">
        <v>33</v>
      </c>
      <c r="T1760" s="1" t="s">
        <v>31</v>
      </c>
      <c r="U1760" s="1">
        <v>3</v>
      </c>
      <c r="V1760" s="1">
        <v>97883</v>
      </c>
      <c r="W1760" s="7">
        <v>1215.54</v>
      </c>
      <c r="X1760" s="1">
        <v>0.39</v>
      </c>
      <c r="Y1760" s="4">
        <v>44371</v>
      </c>
      <c r="Z1760" s="1" t="s">
        <v>32</v>
      </c>
      <c r="AA1760" s="1" t="s">
        <v>33</v>
      </c>
      <c r="AB1760" s="36" t="str" cm="1">
        <f t="array" ref="AB1760">_xlfn.IFS(K1760&gt;650,"LOW",K1760&gt;=550,"MEDIUM",K1760&lt;550,"HIGH")</f>
        <v>HIGH</v>
      </c>
    </row>
    <row r="1761" spans="3:28" x14ac:dyDescent="0.3">
      <c r="C1761" s="35" t="s">
        <v>3311</v>
      </c>
      <c r="D1761" s="1" t="s">
        <v>1334</v>
      </c>
      <c r="E1761" s="1">
        <v>31</v>
      </c>
      <c r="F1761" s="1" t="s">
        <v>26</v>
      </c>
      <c r="G1761" s="1" t="s">
        <v>45</v>
      </c>
      <c r="H1761" s="1" t="s">
        <v>54</v>
      </c>
      <c r="I1761" s="1" t="s">
        <v>57</v>
      </c>
      <c r="J1761" s="7">
        <v>120814</v>
      </c>
      <c r="K1761" s="1">
        <v>369</v>
      </c>
      <c r="L1761" s="7">
        <v>17740</v>
      </c>
      <c r="M1761" s="1">
        <v>48</v>
      </c>
      <c r="N1761" s="6">
        <v>0.14899999999999999</v>
      </c>
      <c r="O1761" s="1" t="s">
        <v>37</v>
      </c>
      <c r="P1761" s="1" t="s">
        <v>50</v>
      </c>
      <c r="Q1761" s="1">
        <v>6</v>
      </c>
      <c r="R1761" s="1">
        <v>4</v>
      </c>
      <c r="S1761" s="1" t="s">
        <v>31</v>
      </c>
      <c r="T1761" s="1" t="s">
        <v>33</v>
      </c>
      <c r="U1761" s="1">
        <v>1</v>
      </c>
      <c r="V1761" s="1">
        <v>148977</v>
      </c>
      <c r="W1761" s="7">
        <v>292.68</v>
      </c>
      <c r="X1761" s="1">
        <v>0.82</v>
      </c>
      <c r="Y1761" s="4">
        <v>45611</v>
      </c>
      <c r="Z1761" s="1" t="s">
        <v>32</v>
      </c>
      <c r="AA1761" s="1" t="s">
        <v>31</v>
      </c>
      <c r="AB1761" s="36" t="str" cm="1">
        <f t="array" ref="AB1761">_xlfn.IFS(K1761&gt;650,"LOW",K1761&gt;=550,"MEDIUM",K1761&lt;550,"HIGH")</f>
        <v>HIGH</v>
      </c>
    </row>
    <row r="1762" spans="3:28" x14ac:dyDescent="0.3">
      <c r="C1762" s="35" t="s">
        <v>3357</v>
      </c>
      <c r="D1762" s="1" t="s">
        <v>1379</v>
      </c>
      <c r="E1762" s="1">
        <v>37</v>
      </c>
      <c r="F1762" s="1" t="s">
        <v>44</v>
      </c>
      <c r="G1762" s="1" t="s">
        <v>45</v>
      </c>
      <c r="H1762" s="1" t="s">
        <v>61</v>
      </c>
      <c r="I1762" s="1" t="s">
        <v>57</v>
      </c>
      <c r="J1762" s="7">
        <v>61034</v>
      </c>
      <c r="K1762" s="1">
        <v>369</v>
      </c>
      <c r="L1762" s="7">
        <v>49307</v>
      </c>
      <c r="M1762" s="1">
        <v>36</v>
      </c>
      <c r="N1762" s="6">
        <v>0.14199999999999999</v>
      </c>
      <c r="O1762" s="1" t="s">
        <v>37</v>
      </c>
      <c r="P1762" s="1" t="s">
        <v>30</v>
      </c>
      <c r="Q1762" s="1">
        <v>29</v>
      </c>
      <c r="R1762" s="1">
        <v>1</v>
      </c>
      <c r="S1762" s="1" t="s">
        <v>31</v>
      </c>
      <c r="T1762" s="1" t="s">
        <v>31</v>
      </c>
      <c r="U1762" s="1">
        <v>3</v>
      </c>
      <c r="V1762" s="1">
        <v>133874</v>
      </c>
      <c r="W1762" s="7">
        <v>878.58</v>
      </c>
      <c r="X1762" s="1">
        <v>0.76</v>
      </c>
      <c r="Y1762" s="4">
        <v>44645</v>
      </c>
      <c r="Z1762" s="1" t="s">
        <v>38</v>
      </c>
      <c r="AA1762" s="1" t="s">
        <v>33</v>
      </c>
      <c r="AB1762" s="36" t="str" cm="1">
        <f t="array" ref="AB1762">_xlfn.IFS(K1762&gt;650,"LOW",K1762&gt;=550,"MEDIUM",K1762&lt;550,"HIGH")</f>
        <v>HIGH</v>
      </c>
    </row>
    <row r="1763" spans="3:28" x14ac:dyDescent="0.3">
      <c r="C1763" s="35" t="s">
        <v>3397</v>
      </c>
      <c r="D1763" s="1" t="s">
        <v>1417</v>
      </c>
      <c r="E1763" s="1">
        <v>38</v>
      </c>
      <c r="F1763" s="1" t="s">
        <v>26</v>
      </c>
      <c r="G1763" s="1" t="s">
        <v>27</v>
      </c>
      <c r="H1763" s="1" t="s">
        <v>36</v>
      </c>
      <c r="I1763" s="1" t="s">
        <v>29</v>
      </c>
      <c r="J1763" s="7">
        <v>22765</v>
      </c>
      <c r="K1763" s="1">
        <v>369</v>
      </c>
      <c r="L1763" s="7">
        <v>32813</v>
      </c>
      <c r="M1763" s="1">
        <v>36</v>
      </c>
      <c r="N1763" s="6">
        <v>0.1595</v>
      </c>
      <c r="O1763" s="1" t="s">
        <v>52</v>
      </c>
      <c r="P1763" s="1" t="s">
        <v>30</v>
      </c>
      <c r="Q1763" s="1">
        <v>4</v>
      </c>
      <c r="R1763" s="1">
        <v>2</v>
      </c>
      <c r="S1763" s="1" t="s">
        <v>33</v>
      </c>
      <c r="T1763" s="1" t="s">
        <v>33</v>
      </c>
      <c r="U1763" s="1">
        <v>4</v>
      </c>
      <c r="V1763" s="1">
        <v>172057</v>
      </c>
      <c r="W1763" s="7">
        <v>362.7</v>
      </c>
      <c r="X1763" s="1">
        <v>0.79</v>
      </c>
      <c r="Y1763" s="4">
        <v>45764</v>
      </c>
      <c r="Z1763" s="1" t="s">
        <v>38</v>
      </c>
      <c r="AA1763" s="1" t="s">
        <v>33</v>
      </c>
      <c r="AB1763" s="36" t="str" cm="1">
        <f t="array" ref="AB1763">_xlfn.IFS(K1763&gt;650,"LOW",K1763&gt;=550,"MEDIUM",K1763&lt;550,"HIGH")</f>
        <v>HIGH</v>
      </c>
    </row>
    <row r="1764" spans="3:28" x14ac:dyDescent="0.3">
      <c r="C1764" s="35" t="s">
        <v>2869</v>
      </c>
      <c r="D1764" s="1" t="s">
        <v>897</v>
      </c>
      <c r="E1764" s="1">
        <v>37</v>
      </c>
      <c r="F1764" s="1" t="s">
        <v>44</v>
      </c>
      <c r="G1764" s="1" t="s">
        <v>35</v>
      </c>
      <c r="H1764" s="1" t="s">
        <v>28</v>
      </c>
      <c r="I1764" s="1" t="s">
        <v>57</v>
      </c>
      <c r="J1764" s="7">
        <v>111529</v>
      </c>
      <c r="K1764" s="1">
        <v>368</v>
      </c>
      <c r="L1764" s="7">
        <v>25496</v>
      </c>
      <c r="M1764" s="1">
        <v>24</v>
      </c>
      <c r="N1764" s="6">
        <v>9.8400000000000001E-2</v>
      </c>
      <c r="O1764" s="1" t="s">
        <v>41</v>
      </c>
      <c r="P1764" s="1" t="s">
        <v>50</v>
      </c>
      <c r="Q1764" s="1">
        <v>5</v>
      </c>
      <c r="R1764" s="1">
        <v>3</v>
      </c>
      <c r="S1764" s="1" t="s">
        <v>33</v>
      </c>
      <c r="T1764" s="1" t="s">
        <v>33</v>
      </c>
      <c r="U1764" s="1">
        <v>2</v>
      </c>
      <c r="V1764" s="1">
        <v>185647</v>
      </c>
      <c r="W1764" s="7">
        <v>1393.04</v>
      </c>
      <c r="X1764" s="1">
        <v>0.25</v>
      </c>
      <c r="Y1764" s="4">
        <v>45576</v>
      </c>
      <c r="Z1764" s="1" t="s">
        <v>32</v>
      </c>
      <c r="AA1764" s="1" t="s">
        <v>33</v>
      </c>
      <c r="AB1764" s="36" t="str" cm="1">
        <f t="array" ref="AB1764">_xlfn.IFS(K1764&gt;650,"LOW",K1764&gt;=550,"MEDIUM",K1764&lt;550,"HIGH")</f>
        <v>HIGH</v>
      </c>
    </row>
    <row r="1765" spans="3:28" x14ac:dyDescent="0.3">
      <c r="C1765" s="35" t="s">
        <v>3244</v>
      </c>
      <c r="D1765" s="1" t="s">
        <v>1268</v>
      </c>
      <c r="E1765" s="1">
        <v>29</v>
      </c>
      <c r="F1765" s="1" t="s">
        <v>26</v>
      </c>
      <c r="G1765" s="1" t="s">
        <v>27</v>
      </c>
      <c r="H1765" s="1" t="s">
        <v>28</v>
      </c>
      <c r="I1765" s="1" t="s">
        <v>57</v>
      </c>
      <c r="J1765" s="7">
        <v>35385</v>
      </c>
      <c r="K1765" s="1">
        <v>368</v>
      </c>
      <c r="L1765" s="7">
        <v>7762</v>
      </c>
      <c r="M1765" s="1">
        <v>12</v>
      </c>
      <c r="N1765" s="6">
        <v>0.19039999999999999</v>
      </c>
      <c r="O1765" s="1" t="s">
        <v>37</v>
      </c>
      <c r="P1765" s="1" t="s">
        <v>30</v>
      </c>
      <c r="Q1765" s="1">
        <v>6</v>
      </c>
      <c r="R1765" s="1">
        <v>4</v>
      </c>
      <c r="S1765" s="1" t="s">
        <v>33</v>
      </c>
      <c r="T1765" s="1" t="s">
        <v>33</v>
      </c>
      <c r="U1765" s="1">
        <v>4</v>
      </c>
      <c r="V1765" s="1">
        <v>155702</v>
      </c>
      <c r="W1765" s="7">
        <v>1633.26</v>
      </c>
      <c r="X1765" s="1">
        <v>0.59</v>
      </c>
      <c r="Y1765" s="4">
        <v>44422</v>
      </c>
      <c r="Z1765" s="1" t="s">
        <v>38</v>
      </c>
      <c r="AA1765" s="1" t="s">
        <v>33</v>
      </c>
      <c r="AB1765" s="36" t="str" cm="1">
        <f t="array" ref="AB1765">_xlfn.IFS(K1765&gt;650,"LOW",K1765&gt;=550,"MEDIUM",K1765&lt;550,"HIGH")</f>
        <v>HIGH</v>
      </c>
    </row>
    <row r="1766" spans="3:28" x14ac:dyDescent="0.3">
      <c r="C1766" s="35" t="s">
        <v>3865</v>
      </c>
      <c r="D1766" s="1" t="s">
        <v>1871</v>
      </c>
      <c r="E1766" s="1">
        <v>28</v>
      </c>
      <c r="F1766" s="1" t="s">
        <v>26</v>
      </c>
      <c r="G1766" s="1" t="s">
        <v>56</v>
      </c>
      <c r="H1766" s="1" t="s">
        <v>28</v>
      </c>
      <c r="I1766" s="1" t="s">
        <v>29</v>
      </c>
      <c r="J1766" s="7">
        <v>39787</v>
      </c>
      <c r="K1766" s="1">
        <v>368</v>
      </c>
      <c r="L1766" s="7">
        <v>44083</v>
      </c>
      <c r="M1766" s="1">
        <v>36</v>
      </c>
      <c r="N1766" s="6">
        <v>9.6699999999999994E-2</v>
      </c>
      <c r="O1766" s="1" t="s">
        <v>63</v>
      </c>
      <c r="P1766" s="1" t="s">
        <v>30</v>
      </c>
      <c r="Q1766" s="1">
        <v>19</v>
      </c>
      <c r="R1766" s="1">
        <v>3</v>
      </c>
      <c r="S1766" s="1" t="s">
        <v>33</v>
      </c>
      <c r="T1766" s="1" t="s">
        <v>33</v>
      </c>
      <c r="U1766" s="1">
        <v>4</v>
      </c>
      <c r="V1766" s="1">
        <v>149277</v>
      </c>
      <c r="W1766" s="7">
        <v>705.2</v>
      </c>
      <c r="X1766" s="1">
        <v>0.47</v>
      </c>
      <c r="Y1766" s="4">
        <v>44210</v>
      </c>
      <c r="Z1766" s="1" t="s">
        <v>32</v>
      </c>
      <c r="AA1766" s="1" t="s">
        <v>33</v>
      </c>
      <c r="AB1766" s="36" t="str" cm="1">
        <f t="array" ref="AB1766">_xlfn.IFS(K1766&gt;650,"LOW",K1766&gt;=550,"MEDIUM",K1766&lt;550,"HIGH")</f>
        <v>HIGH</v>
      </c>
    </row>
    <row r="1767" spans="3:28" x14ac:dyDescent="0.3">
      <c r="C1767" s="35" t="s">
        <v>3916</v>
      </c>
      <c r="D1767" s="1" t="s">
        <v>1920</v>
      </c>
      <c r="E1767" s="1">
        <v>40</v>
      </c>
      <c r="F1767" s="1" t="s">
        <v>44</v>
      </c>
      <c r="G1767" s="1" t="s">
        <v>35</v>
      </c>
      <c r="H1767" s="1" t="s">
        <v>36</v>
      </c>
      <c r="I1767" s="1" t="s">
        <v>57</v>
      </c>
      <c r="J1767" s="7">
        <v>56538</v>
      </c>
      <c r="K1767" s="1">
        <v>368</v>
      </c>
      <c r="L1767" s="7">
        <v>21654</v>
      </c>
      <c r="M1767" s="1">
        <v>36</v>
      </c>
      <c r="N1767" s="6">
        <v>7.6200000000000004E-2</v>
      </c>
      <c r="O1767" s="1" t="s">
        <v>52</v>
      </c>
      <c r="P1767" s="1" t="s">
        <v>50</v>
      </c>
      <c r="Q1767" s="1">
        <v>8</v>
      </c>
      <c r="R1767" s="1">
        <v>4</v>
      </c>
      <c r="S1767" s="1" t="s">
        <v>33</v>
      </c>
      <c r="T1767" s="1" t="s">
        <v>33</v>
      </c>
      <c r="U1767" s="1">
        <v>2</v>
      </c>
      <c r="V1767" s="1">
        <v>86230</v>
      </c>
      <c r="W1767" s="7">
        <v>155.21</v>
      </c>
      <c r="X1767" s="1">
        <v>0.47</v>
      </c>
      <c r="Y1767" s="4">
        <v>44727</v>
      </c>
      <c r="Z1767" s="1" t="s">
        <v>32</v>
      </c>
      <c r="AA1767" s="1" t="s">
        <v>31</v>
      </c>
      <c r="AB1767" s="36" t="str" cm="1">
        <f t="array" ref="AB1767">_xlfn.IFS(K1767&gt;650,"LOW",K1767&gt;=550,"MEDIUM",K1767&lt;550,"HIGH")</f>
        <v>HIGH</v>
      </c>
    </row>
    <row r="1768" spans="3:28" x14ac:dyDescent="0.3">
      <c r="C1768" s="35" t="s">
        <v>2391</v>
      </c>
      <c r="D1768" s="1" t="s">
        <v>421</v>
      </c>
      <c r="E1768" s="1">
        <v>34</v>
      </c>
      <c r="F1768" s="1" t="s">
        <v>44</v>
      </c>
      <c r="G1768" s="1" t="s">
        <v>27</v>
      </c>
      <c r="H1768" s="1" t="s">
        <v>36</v>
      </c>
      <c r="I1768" s="1" t="s">
        <v>29</v>
      </c>
      <c r="J1768" s="7">
        <v>149529</v>
      </c>
      <c r="K1768" s="1">
        <v>367</v>
      </c>
      <c r="L1768" s="7">
        <v>30323</v>
      </c>
      <c r="M1768" s="1">
        <v>48</v>
      </c>
      <c r="N1768" s="6">
        <v>0.19039999999999999</v>
      </c>
      <c r="O1768" s="1" t="s">
        <v>63</v>
      </c>
      <c r="P1768" s="1" t="s">
        <v>47</v>
      </c>
      <c r="Q1768" s="1">
        <v>3</v>
      </c>
      <c r="R1768" s="1">
        <v>2</v>
      </c>
      <c r="S1768" s="1" t="s">
        <v>33</v>
      </c>
      <c r="T1768" s="1" t="s">
        <v>33</v>
      </c>
      <c r="U1768" s="1">
        <v>3</v>
      </c>
      <c r="V1768" s="1">
        <v>193619</v>
      </c>
      <c r="W1768" s="7">
        <v>919.6</v>
      </c>
      <c r="X1768" s="1">
        <v>0.16</v>
      </c>
      <c r="Y1768" s="4">
        <v>45095</v>
      </c>
      <c r="Z1768" s="1" t="s">
        <v>38</v>
      </c>
      <c r="AA1768" s="1" t="s">
        <v>33</v>
      </c>
      <c r="AB1768" s="36" t="str" cm="1">
        <f t="array" ref="AB1768">_xlfn.IFS(K1768&gt;650,"LOW",K1768&gt;=550,"MEDIUM",K1768&lt;550,"HIGH")</f>
        <v>HIGH</v>
      </c>
    </row>
    <row r="1769" spans="3:28" x14ac:dyDescent="0.3">
      <c r="C1769" s="35" t="s">
        <v>2995</v>
      </c>
      <c r="D1769" s="1" t="s">
        <v>1022</v>
      </c>
      <c r="E1769" s="1">
        <v>34</v>
      </c>
      <c r="F1769" s="1" t="s">
        <v>44</v>
      </c>
      <c r="G1769" s="1" t="s">
        <v>35</v>
      </c>
      <c r="H1769" s="1" t="s">
        <v>61</v>
      </c>
      <c r="I1769" s="1" t="s">
        <v>57</v>
      </c>
      <c r="J1769" s="7">
        <v>107755</v>
      </c>
      <c r="K1769" s="1">
        <v>367</v>
      </c>
      <c r="L1769" s="7">
        <v>22556</v>
      </c>
      <c r="M1769" s="1">
        <v>60</v>
      </c>
      <c r="N1769" s="6">
        <v>0.1216</v>
      </c>
      <c r="O1769" s="1" t="s">
        <v>46</v>
      </c>
      <c r="P1769" s="1" t="s">
        <v>47</v>
      </c>
      <c r="Q1769" s="1">
        <v>28</v>
      </c>
      <c r="R1769" s="1">
        <v>4</v>
      </c>
      <c r="S1769" s="1" t="s">
        <v>33</v>
      </c>
      <c r="T1769" s="1" t="s">
        <v>31</v>
      </c>
      <c r="U1769" s="1">
        <v>2</v>
      </c>
      <c r="V1769" s="1">
        <v>30702</v>
      </c>
      <c r="W1769" s="7">
        <v>547.57000000000005</v>
      </c>
      <c r="X1769" s="1">
        <v>0.35</v>
      </c>
      <c r="Y1769" s="4">
        <v>44261</v>
      </c>
      <c r="Z1769" s="1" t="s">
        <v>32</v>
      </c>
      <c r="AA1769" s="1" t="s">
        <v>33</v>
      </c>
      <c r="AB1769" s="36" t="str" cm="1">
        <f t="array" ref="AB1769">_xlfn.IFS(K1769&gt;650,"LOW",K1769&gt;=550,"MEDIUM",K1769&lt;550,"HIGH")</f>
        <v>HIGH</v>
      </c>
    </row>
    <row r="1770" spans="3:28" x14ac:dyDescent="0.3">
      <c r="C1770" s="35" t="s">
        <v>3707</v>
      </c>
      <c r="D1770" s="1" t="s">
        <v>1717</v>
      </c>
      <c r="E1770" s="1">
        <v>35</v>
      </c>
      <c r="F1770" s="1" t="s">
        <v>26</v>
      </c>
      <c r="G1770" s="1" t="s">
        <v>27</v>
      </c>
      <c r="H1770" s="1" t="s">
        <v>28</v>
      </c>
      <c r="I1770" s="1" t="s">
        <v>40</v>
      </c>
      <c r="J1770" s="7">
        <v>57493</v>
      </c>
      <c r="K1770" s="1">
        <v>367</v>
      </c>
      <c r="L1770" s="7">
        <v>2214</v>
      </c>
      <c r="M1770" s="1">
        <v>12</v>
      </c>
      <c r="N1770" s="6">
        <v>0.12939999999999999</v>
      </c>
      <c r="O1770" s="1" t="s">
        <v>37</v>
      </c>
      <c r="P1770" s="1" t="s">
        <v>50</v>
      </c>
      <c r="Q1770" s="1">
        <v>12</v>
      </c>
      <c r="R1770" s="1">
        <v>3</v>
      </c>
      <c r="S1770" s="1" t="s">
        <v>33</v>
      </c>
      <c r="T1770" s="1" t="s">
        <v>31</v>
      </c>
      <c r="U1770" s="1">
        <v>0</v>
      </c>
      <c r="V1770" s="1">
        <v>15238</v>
      </c>
      <c r="W1770" s="7">
        <v>273.02999999999997</v>
      </c>
      <c r="X1770" s="1">
        <v>0.2</v>
      </c>
      <c r="Y1770" s="4">
        <v>45031</v>
      </c>
      <c r="Z1770" s="1" t="s">
        <v>32</v>
      </c>
      <c r="AA1770" s="1" t="s">
        <v>33</v>
      </c>
      <c r="AB1770" s="36" t="str" cm="1">
        <f t="array" ref="AB1770">_xlfn.IFS(K1770&gt;650,"LOW",K1770&gt;=550,"MEDIUM",K1770&lt;550,"HIGH")</f>
        <v>HIGH</v>
      </c>
    </row>
    <row r="1771" spans="3:28" x14ac:dyDescent="0.3">
      <c r="C1771" s="35" t="s">
        <v>2687</v>
      </c>
      <c r="D1771" s="1" t="s">
        <v>717</v>
      </c>
      <c r="E1771" s="1">
        <v>33</v>
      </c>
      <c r="F1771" s="1" t="s">
        <v>44</v>
      </c>
      <c r="G1771" s="1" t="s">
        <v>27</v>
      </c>
      <c r="H1771" s="1" t="s">
        <v>36</v>
      </c>
      <c r="I1771" s="1" t="s">
        <v>59</v>
      </c>
      <c r="J1771" s="7">
        <v>86344</v>
      </c>
      <c r="K1771" s="1">
        <v>366</v>
      </c>
      <c r="L1771" s="7">
        <v>10617</v>
      </c>
      <c r="M1771" s="1">
        <v>12</v>
      </c>
      <c r="N1771" s="6">
        <v>0.14610000000000001</v>
      </c>
      <c r="O1771" s="1" t="s">
        <v>37</v>
      </c>
      <c r="P1771" s="1" t="s">
        <v>47</v>
      </c>
      <c r="Q1771" s="1">
        <v>19</v>
      </c>
      <c r="R1771" s="1">
        <v>3</v>
      </c>
      <c r="S1771" s="1" t="s">
        <v>31</v>
      </c>
      <c r="T1771" s="1" t="s">
        <v>33</v>
      </c>
      <c r="U1771" s="1">
        <v>2</v>
      </c>
      <c r="V1771" s="1">
        <v>177851</v>
      </c>
      <c r="W1771" s="7">
        <v>1966.13</v>
      </c>
      <c r="X1771" s="1">
        <v>0.93</v>
      </c>
      <c r="Y1771" s="4">
        <v>44713</v>
      </c>
      <c r="Z1771" s="1" t="s">
        <v>32</v>
      </c>
      <c r="AA1771" s="1" t="s">
        <v>33</v>
      </c>
      <c r="AB1771" s="36" t="str" cm="1">
        <f t="array" ref="AB1771">_xlfn.IFS(K1771&gt;650,"LOW",K1771&gt;=550,"MEDIUM",K1771&lt;550,"HIGH")</f>
        <v>HIGH</v>
      </c>
    </row>
    <row r="1772" spans="3:28" x14ac:dyDescent="0.3">
      <c r="C1772" s="35" t="s">
        <v>2992</v>
      </c>
      <c r="D1772" s="1" t="s">
        <v>1019</v>
      </c>
      <c r="E1772" s="1">
        <v>57</v>
      </c>
      <c r="F1772" s="1" t="s">
        <v>44</v>
      </c>
      <c r="G1772" s="1" t="s">
        <v>56</v>
      </c>
      <c r="H1772" s="1" t="s">
        <v>54</v>
      </c>
      <c r="I1772" s="1" t="s">
        <v>29</v>
      </c>
      <c r="J1772" s="7">
        <v>33186</v>
      </c>
      <c r="K1772" s="1">
        <v>366</v>
      </c>
      <c r="L1772" s="7">
        <v>5694</v>
      </c>
      <c r="M1772" s="1">
        <v>12</v>
      </c>
      <c r="N1772" s="6">
        <v>0.109</v>
      </c>
      <c r="O1772" s="1" t="s">
        <v>63</v>
      </c>
      <c r="P1772" s="1" t="s">
        <v>30</v>
      </c>
      <c r="Q1772" s="1">
        <v>3</v>
      </c>
      <c r="R1772" s="1">
        <v>4</v>
      </c>
      <c r="S1772" s="1" t="s">
        <v>31</v>
      </c>
      <c r="T1772" s="1" t="s">
        <v>33</v>
      </c>
      <c r="U1772" s="1">
        <v>2</v>
      </c>
      <c r="V1772" s="1">
        <v>109020</v>
      </c>
      <c r="W1772" s="7">
        <v>503.04</v>
      </c>
      <c r="X1772" s="1">
        <v>0.17</v>
      </c>
      <c r="Y1772" s="4">
        <v>44109</v>
      </c>
      <c r="Z1772" s="1" t="s">
        <v>38</v>
      </c>
      <c r="AA1772" s="1" t="s">
        <v>33</v>
      </c>
      <c r="AB1772" s="36" t="str" cm="1">
        <f t="array" ref="AB1772">_xlfn.IFS(K1772&gt;650,"LOW",K1772&gt;=550,"MEDIUM",K1772&lt;550,"HIGH")</f>
        <v>HIGH</v>
      </c>
    </row>
    <row r="1773" spans="3:28" x14ac:dyDescent="0.3">
      <c r="C1773" s="35" t="s">
        <v>3009</v>
      </c>
      <c r="D1773" s="1" t="s">
        <v>1036</v>
      </c>
      <c r="E1773" s="1">
        <v>53</v>
      </c>
      <c r="F1773" s="1" t="s">
        <v>26</v>
      </c>
      <c r="G1773" s="1" t="s">
        <v>35</v>
      </c>
      <c r="H1773" s="1" t="s">
        <v>61</v>
      </c>
      <c r="I1773" s="1" t="s">
        <v>59</v>
      </c>
      <c r="J1773" s="7">
        <v>49680</v>
      </c>
      <c r="K1773" s="1">
        <v>366</v>
      </c>
      <c r="L1773" s="7">
        <v>36105</v>
      </c>
      <c r="M1773" s="1">
        <v>24</v>
      </c>
      <c r="N1773" s="6">
        <v>0.13519999999999999</v>
      </c>
      <c r="O1773" s="1" t="s">
        <v>41</v>
      </c>
      <c r="P1773" s="1" t="s">
        <v>30</v>
      </c>
      <c r="Q1773" s="1">
        <v>12</v>
      </c>
      <c r="R1773" s="1">
        <v>3</v>
      </c>
      <c r="S1773" s="1" t="s">
        <v>33</v>
      </c>
      <c r="T1773" s="1" t="s">
        <v>33</v>
      </c>
      <c r="U1773" s="1">
        <v>4</v>
      </c>
      <c r="V1773" s="1">
        <v>159987</v>
      </c>
      <c r="W1773" s="7">
        <v>1446.23</v>
      </c>
      <c r="X1773" s="1">
        <v>0.81</v>
      </c>
      <c r="Y1773" s="4">
        <v>45035</v>
      </c>
      <c r="Z1773" s="1" t="s">
        <v>32</v>
      </c>
      <c r="AA1773" s="1" t="s">
        <v>33</v>
      </c>
      <c r="AB1773" s="36" t="str" cm="1">
        <f t="array" ref="AB1773">_xlfn.IFS(K1773&gt;650,"LOW",K1773&gt;=550,"MEDIUM",K1773&lt;550,"HIGH")</f>
        <v>HIGH</v>
      </c>
    </row>
    <row r="1774" spans="3:28" x14ac:dyDescent="0.3">
      <c r="C1774" s="35" t="s">
        <v>3063</v>
      </c>
      <c r="D1774" s="1" t="s">
        <v>1089</v>
      </c>
      <c r="E1774" s="1">
        <v>56</v>
      </c>
      <c r="F1774" s="1" t="s">
        <v>26</v>
      </c>
      <c r="G1774" s="1" t="s">
        <v>27</v>
      </c>
      <c r="H1774" s="1" t="s">
        <v>36</v>
      </c>
      <c r="I1774" s="1" t="s">
        <v>57</v>
      </c>
      <c r="J1774" s="7">
        <v>127810</v>
      </c>
      <c r="K1774" s="1">
        <v>366</v>
      </c>
      <c r="L1774" s="7">
        <v>36396</v>
      </c>
      <c r="M1774" s="1">
        <v>60</v>
      </c>
      <c r="N1774" s="6">
        <v>0.13350000000000001</v>
      </c>
      <c r="O1774" s="1" t="s">
        <v>63</v>
      </c>
      <c r="P1774" s="1" t="s">
        <v>50</v>
      </c>
      <c r="Q1774" s="1">
        <v>13</v>
      </c>
      <c r="R1774" s="1">
        <v>2</v>
      </c>
      <c r="S1774" s="1" t="s">
        <v>33</v>
      </c>
      <c r="T1774" s="1" t="s">
        <v>33</v>
      </c>
      <c r="U1774" s="1">
        <v>3</v>
      </c>
      <c r="V1774" s="1">
        <v>36133</v>
      </c>
      <c r="W1774" s="7">
        <v>483.07</v>
      </c>
      <c r="X1774" s="1">
        <v>0.15</v>
      </c>
      <c r="Y1774" s="4">
        <v>44684</v>
      </c>
      <c r="Z1774" s="1" t="s">
        <v>32</v>
      </c>
      <c r="AA1774" s="1" t="s">
        <v>33</v>
      </c>
      <c r="AB1774" s="36" t="str" cm="1">
        <f t="array" ref="AB1774">_xlfn.IFS(K1774&gt;650,"LOW",K1774&gt;=550,"MEDIUM",K1774&lt;550,"HIGH")</f>
        <v>HIGH</v>
      </c>
    </row>
    <row r="1775" spans="3:28" x14ac:dyDescent="0.3">
      <c r="C1775" s="35" t="s">
        <v>3218</v>
      </c>
      <c r="D1775" s="1" t="s">
        <v>1242</v>
      </c>
      <c r="E1775" s="1">
        <v>27</v>
      </c>
      <c r="F1775" s="1" t="s">
        <v>44</v>
      </c>
      <c r="G1775" s="1" t="s">
        <v>45</v>
      </c>
      <c r="H1775" s="1" t="s">
        <v>36</v>
      </c>
      <c r="I1775" s="1" t="s">
        <v>57</v>
      </c>
      <c r="J1775" s="7">
        <v>141640</v>
      </c>
      <c r="K1775" s="1">
        <v>366</v>
      </c>
      <c r="L1775" s="7">
        <v>28621</v>
      </c>
      <c r="M1775" s="1">
        <v>12</v>
      </c>
      <c r="N1775" s="6">
        <v>0.1072</v>
      </c>
      <c r="O1775" s="1" t="s">
        <v>63</v>
      </c>
      <c r="P1775" s="1" t="s">
        <v>47</v>
      </c>
      <c r="Q1775" s="1">
        <v>10</v>
      </c>
      <c r="R1775" s="1">
        <v>0</v>
      </c>
      <c r="S1775" s="1" t="s">
        <v>33</v>
      </c>
      <c r="T1775" s="1" t="s">
        <v>31</v>
      </c>
      <c r="U1775" s="1">
        <v>4</v>
      </c>
      <c r="V1775" s="1">
        <v>81605</v>
      </c>
      <c r="W1775" s="7">
        <v>245.52</v>
      </c>
      <c r="X1775" s="1">
        <v>0.81</v>
      </c>
      <c r="Y1775" s="4">
        <v>45367</v>
      </c>
      <c r="Z1775" s="1" t="s">
        <v>32</v>
      </c>
      <c r="AA1775" s="1" t="s">
        <v>33</v>
      </c>
      <c r="AB1775" s="36" t="str" cm="1">
        <f t="array" ref="AB1775">_xlfn.IFS(K1775&gt;650,"LOW",K1775&gt;=550,"MEDIUM",K1775&lt;550,"HIGH")</f>
        <v>HIGH</v>
      </c>
    </row>
    <row r="1776" spans="3:28" x14ac:dyDescent="0.3">
      <c r="C1776" s="35" t="s">
        <v>3534</v>
      </c>
      <c r="D1776" s="1" t="s">
        <v>1551</v>
      </c>
      <c r="E1776" s="1">
        <v>58</v>
      </c>
      <c r="F1776" s="1" t="s">
        <v>26</v>
      </c>
      <c r="G1776" s="1" t="s">
        <v>56</v>
      </c>
      <c r="H1776" s="1" t="s">
        <v>36</v>
      </c>
      <c r="I1776" s="1" t="s">
        <v>57</v>
      </c>
      <c r="J1776" s="7">
        <v>127634</v>
      </c>
      <c r="K1776" s="1">
        <v>366</v>
      </c>
      <c r="L1776" s="7">
        <v>22050</v>
      </c>
      <c r="M1776" s="1">
        <v>48</v>
      </c>
      <c r="N1776" s="6">
        <v>0.10929999999999999</v>
      </c>
      <c r="O1776" s="1" t="s">
        <v>52</v>
      </c>
      <c r="P1776" s="1" t="s">
        <v>30</v>
      </c>
      <c r="Q1776" s="1">
        <v>7</v>
      </c>
      <c r="R1776" s="1">
        <v>3</v>
      </c>
      <c r="S1776" s="1" t="s">
        <v>33</v>
      </c>
      <c r="T1776" s="1" t="s">
        <v>33</v>
      </c>
      <c r="U1776" s="1">
        <v>0</v>
      </c>
      <c r="V1776" s="1">
        <v>59430</v>
      </c>
      <c r="W1776" s="7">
        <v>1891.74</v>
      </c>
      <c r="X1776" s="1">
        <v>0.26</v>
      </c>
      <c r="Y1776" s="4">
        <v>45362</v>
      </c>
      <c r="Z1776" s="1" t="s">
        <v>38</v>
      </c>
      <c r="AA1776" s="1" t="s">
        <v>33</v>
      </c>
      <c r="AB1776" s="36" t="str" cm="1">
        <f t="array" ref="AB1776">_xlfn.IFS(K1776&gt;650,"LOW",K1776&gt;=550,"MEDIUM",K1776&lt;550,"HIGH")</f>
        <v>HIGH</v>
      </c>
    </row>
    <row r="1777" spans="3:28" x14ac:dyDescent="0.3">
      <c r="C1777" s="35" t="s">
        <v>2113</v>
      </c>
      <c r="D1777" s="1" t="s">
        <v>144</v>
      </c>
      <c r="E1777" s="1">
        <v>28</v>
      </c>
      <c r="F1777" s="1" t="s">
        <v>26</v>
      </c>
      <c r="G1777" s="1" t="s">
        <v>56</v>
      </c>
      <c r="H1777" s="1" t="s">
        <v>54</v>
      </c>
      <c r="I1777" s="1" t="s">
        <v>40</v>
      </c>
      <c r="J1777" s="7">
        <v>90821</v>
      </c>
      <c r="K1777" s="1">
        <v>365</v>
      </c>
      <c r="L1777" s="7">
        <v>37366</v>
      </c>
      <c r="M1777" s="1">
        <v>48</v>
      </c>
      <c r="N1777" s="6">
        <v>0.19820000000000002</v>
      </c>
      <c r="O1777" s="1" t="s">
        <v>5</v>
      </c>
      <c r="P1777" s="1" t="s">
        <v>30</v>
      </c>
      <c r="Q1777" s="1">
        <v>2</v>
      </c>
      <c r="R1777" s="1">
        <v>1</v>
      </c>
      <c r="S1777" s="1" t="s">
        <v>31</v>
      </c>
      <c r="T1777" s="1" t="s">
        <v>31</v>
      </c>
      <c r="U1777" s="1">
        <v>4</v>
      </c>
      <c r="V1777" s="1">
        <v>172827</v>
      </c>
      <c r="W1777" s="7">
        <v>1744.75</v>
      </c>
      <c r="X1777" s="1">
        <v>0.52</v>
      </c>
      <c r="Y1777" s="4">
        <v>45595</v>
      </c>
      <c r="Z1777" s="1" t="s">
        <v>38</v>
      </c>
      <c r="AA1777" s="1" t="s">
        <v>33</v>
      </c>
      <c r="AB1777" s="36" t="str" cm="1">
        <f t="array" ref="AB1777">_xlfn.IFS(K1777&gt;650,"LOW",K1777&gt;=550,"MEDIUM",K1777&lt;550,"HIGH")</f>
        <v>HIGH</v>
      </c>
    </row>
    <row r="1778" spans="3:28" x14ac:dyDescent="0.3">
      <c r="C1778" s="35" t="s">
        <v>2531</v>
      </c>
      <c r="D1778" s="1" t="s">
        <v>561</v>
      </c>
      <c r="E1778" s="1">
        <v>44</v>
      </c>
      <c r="F1778" s="1" t="s">
        <v>26</v>
      </c>
      <c r="G1778" s="1" t="s">
        <v>56</v>
      </c>
      <c r="H1778" s="1" t="s">
        <v>54</v>
      </c>
      <c r="I1778" s="1" t="s">
        <v>40</v>
      </c>
      <c r="J1778" s="7">
        <v>21582</v>
      </c>
      <c r="K1778" s="1">
        <v>365</v>
      </c>
      <c r="L1778" s="7">
        <v>13877</v>
      </c>
      <c r="M1778" s="1">
        <v>36</v>
      </c>
      <c r="N1778" s="6">
        <v>8.6099999999999996E-2</v>
      </c>
      <c r="O1778" s="1" t="s">
        <v>63</v>
      </c>
      <c r="P1778" s="1" t="s">
        <v>47</v>
      </c>
      <c r="Q1778" s="1">
        <v>17</v>
      </c>
      <c r="R1778" s="1">
        <v>0</v>
      </c>
      <c r="S1778" s="1" t="s">
        <v>33</v>
      </c>
      <c r="T1778" s="1" t="s">
        <v>31</v>
      </c>
      <c r="U1778" s="1">
        <v>1</v>
      </c>
      <c r="V1778" s="1">
        <v>17615</v>
      </c>
      <c r="W1778" s="7">
        <v>723.2</v>
      </c>
      <c r="X1778" s="1">
        <v>0.63</v>
      </c>
      <c r="Y1778" s="4">
        <v>45103</v>
      </c>
      <c r="Z1778" s="1" t="s">
        <v>38</v>
      </c>
      <c r="AA1778" s="1" t="s">
        <v>33</v>
      </c>
      <c r="AB1778" s="36" t="str" cm="1">
        <f t="array" ref="AB1778">_xlfn.IFS(K1778&gt;650,"LOW",K1778&gt;=550,"MEDIUM",K1778&lt;550,"HIGH")</f>
        <v>HIGH</v>
      </c>
    </row>
    <row r="1779" spans="3:28" x14ac:dyDescent="0.3">
      <c r="C1779" s="35" t="s">
        <v>3732</v>
      </c>
      <c r="D1779" s="1" t="s">
        <v>1740</v>
      </c>
      <c r="E1779" s="1">
        <v>52</v>
      </c>
      <c r="F1779" s="1" t="s">
        <v>44</v>
      </c>
      <c r="G1779" s="1" t="s">
        <v>27</v>
      </c>
      <c r="H1779" s="1" t="s">
        <v>28</v>
      </c>
      <c r="I1779" s="1" t="s">
        <v>29</v>
      </c>
      <c r="J1779" s="7">
        <v>131695</v>
      </c>
      <c r="K1779" s="1">
        <v>365</v>
      </c>
      <c r="L1779" s="7">
        <v>39749</v>
      </c>
      <c r="M1779" s="1">
        <v>24</v>
      </c>
      <c r="N1779" s="6">
        <v>0.16329999999999997</v>
      </c>
      <c r="O1779" s="1" t="s">
        <v>52</v>
      </c>
      <c r="P1779" s="1" t="s">
        <v>47</v>
      </c>
      <c r="Q1779" s="1">
        <v>24</v>
      </c>
      <c r="R1779" s="1">
        <v>0</v>
      </c>
      <c r="S1779" s="1" t="s">
        <v>33</v>
      </c>
      <c r="T1779" s="1" t="s">
        <v>31</v>
      </c>
      <c r="U1779" s="1">
        <v>0</v>
      </c>
      <c r="V1779" s="1">
        <v>107552</v>
      </c>
      <c r="W1779" s="7">
        <v>1366.31</v>
      </c>
      <c r="X1779" s="1">
        <v>0.33</v>
      </c>
      <c r="Y1779" s="4">
        <v>45389</v>
      </c>
      <c r="Z1779" s="1" t="s">
        <v>38</v>
      </c>
      <c r="AA1779" s="1" t="s">
        <v>33</v>
      </c>
      <c r="AB1779" s="36" t="str" cm="1">
        <f t="array" ref="AB1779">_xlfn.IFS(K1779&gt;650,"LOW",K1779&gt;=550,"MEDIUM",K1779&lt;550,"HIGH")</f>
        <v>HIGH</v>
      </c>
    </row>
    <row r="1780" spans="3:28" x14ac:dyDescent="0.3">
      <c r="C1780" s="35" t="s">
        <v>2192</v>
      </c>
      <c r="D1780" s="1" t="s">
        <v>223</v>
      </c>
      <c r="E1780" s="1">
        <v>61</v>
      </c>
      <c r="F1780" s="1" t="s">
        <v>44</v>
      </c>
      <c r="G1780" s="1" t="s">
        <v>56</v>
      </c>
      <c r="H1780" s="1" t="s">
        <v>36</v>
      </c>
      <c r="I1780" s="1" t="s">
        <v>40</v>
      </c>
      <c r="J1780" s="7">
        <v>33753</v>
      </c>
      <c r="K1780" s="1">
        <v>364</v>
      </c>
      <c r="L1780" s="7">
        <v>5746</v>
      </c>
      <c r="M1780" s="1">
        <v>24</v>
      </c>
      <c r="N1780" s="6">
        <v>8.3400000000000002E-2</v>
      </c>
      <c r="O1780" s="1" t="s">
        <v>63</v>
      </c>
      <c r="P1780" s="1" t="s">
        <v>50</v>
      </c>
      <c r="Q1780" s="1">
        <v>26</v>
      </c>
      <c r="R1780" s="1">
        <v>4</v>
      </c>
      <c r="S1780" s="1" t="s">
        <v>31</v>
      </c>
      <c r="T1780" s="1" t="s">
        <v>33</v>
      </c>
      <c r="U1780" s="1">
        <v>3</v>
      </c>
      <c r="V1780" s="1">
        <v>6487</v>
      </c>
      <c r="W1780" s="7">
        <v>1096.73</v>
      </c>
      <c r="X1780" s="1">
        <v>0.71</v>
      </c>
      <c r="Y1780" s="4">
        <v>44333</v>
      </c>
      <c r="Z1780" s="1" t="s">
        <v>32</v>
      </c>
      <c r="AA1780" s="1" t="s">
        <v>31</v>
      </c>
      <c r="AB1780" s="36" t="str" cm="1">
        <f t="array" ref="AB1780">_xlfn.IFS(K1780&gt;650,"LOW",K1780&gt;=550,"MEDIUM",K1780&lt;550,"HIGH")</f>
        <v>HIGH</v>
      </c>
    </row>
    <row r="1781" spans="3:28" x14ac:dyDescent="0.3">
      <c r="C1781" s="35" t="s">
        <v>2322</v>
      </c>
      <c r="D1781" s="1" t="s">
        <v>353</v>
      </c>
      <c r="E1781" s="1">
        <v>50</v>
      </c>
      <c r="F1781" s="1" t="s">
        <v>44</v>
      </c>
      <c r="G1781" s="1" t="s">
        <v>56</v>
      </c>
      <c r="H1781" s="1" t="s">
        <v>36</v>
      </c>
      <c r="I1781" s="1" t="s">
        <v>29</v>
      </c>
      <c r="J1781" s="7">
        <v>50492</v>
      </c>
      <c r="K1781" s="1">
        <v>364</v>
      </c>
      <c r="L1781" s="7">
        <v>6913</v>
      </c>
      <c r="M1781" s="1">
        <v>48</v>
      </c>
      <c r="N1781" s="6">
        <v>6.7799999999999999E-2</v>
      </c>
      <c r="O1781" s="1" t="s">
        <v>37</v>
      </c>
      <c r="P1781" s="1" t="s">
        <v>50</v>
      </c>
      <c r="Q1781" s="1">
        <v>1</v>
      </c>
      <c r="R1781" s="1">
        <v>3</v>
      </c>
      <c r="S1781" s="1" t="s">
        <v>31</v>
      </c>
      <c r="T1781" s="1" t="s">
        <v>33</v>
      </c>
      <c r="U1781" s="1">
        <v>4</v>
      </c>
      <c r="V1781" s="1">
        <v>68274</v>
      </c>
      <c r="W1781" s="7">
        <v>236.14</v>
      </c>
      <c r="X1781" s="1">
        <v>0.88</v>
      </c>
      <c r="Y1781" s="4">
        <v>44063</v>
      </c>
      <c r="Z1781" s="1" t="s">
        <v>32</v>
      </c>
      <c r="AA1781" s="1" t="s">
        <v>33</v>
      </c>
      <c r="AB1781" s="36" t="str" cm="1">
        <f t="array" ref="AB1781">_xlfn.IFS(K1781&gt;650,"LOW",K1781&gt;=550,"MEDIUM",K1781&lt;550,"HIGH")</f>
        <v>HIGH</v>
      </c>
    </row>
    <row r="1782" spans="3:28" x14ac:dyDescent="0.3">
      <c r="C1782" s="35" t="s">
        <v>2335</v>
      </c>
      <c r="D1782" s="1" t="s">
        <v>366</v>
      </c>
      <c r="E1782" s="1">
        <v>39</v>
      </c>
      <c r="F1782" s="1" t="s">
        <v>26</v>
      </c>
      <c r="G1782" s="1" t="s">
        <v>35</v>
      </c>
      <c r="H1782" s="1" t="s">
        <v>61</v>
      </c>
      <c r="I1782" s="1" t="s">
        <v>59</v>
      </c>
      <c r="J1782" s="7">
        <v>69999</v>
      </c>
      <c r="K1782" s="1">
        <v>364</v>
      </c>
      <c r="L1782" s="7">
        <v>32736</v>
      </c>
      <c r="M1782" s="1">
        <v>36</v>
      </c>
      <c r="N1782" s="6">
        <v>0.19550000000000001</v>
      </c>
      <c r="O1782" s="1" t="s">
        <v>37</v>
      </c>
      <c r="P1782" s="1" t="s">
        <v>30</v>
      </c>
      <c r="Q1782" s="1">
        <v>26</v>
      </c>
      <c r="R1782" s="1">
        <v>2</v>
      </c>
      <c r="S1782" s="1" t="s">
        <v>31</v>
      </c>
      <c r="T1782" s="1" t="s">
        <v>31</v>
      </c>
      <c r="U1782" s="1">
        <v>4</v>
      </c>
      <c r="V1782" s="1">
        <v>192986</v>
      </c>
      <c r="W1782" s="7">
        <v>919.06</v>
      </c>
      <c r="X1782" s="1">
        <v>0.62</v>
      </c>
      <c r="Y1782" s="4">
        <v>45609</v>
      </c>
      <c r="Z1782" s="1" t="s">
        <v>38</v>
      </c>
      <c r="AA1782" s="1" t="s">
        <v>33</v>
      </c>
      <c r="AB1782" s="36" t="str" cm="1">
        <f t="array" ref="AB1782">_xlfn.IFS(K1782&gt;650,"LOW",K1782&gt;=550,"MEDIUM",K1782&lt;550,"HIGH")</f>
        <v>HIGH</v>
      </c>
    </row>
    <row r="1783" spans="3:28" x14ac:dyDescent="0.3">
      <c r="C1783" s="35" t="s">
        <v>2825</v>
      </c>
      <c r="D1783" s="1" t="s">
        <v>853</v>
      </c>
      <c r="E1783" s="1">
        <v>34</v>
      </c>
      <c r="F1783" s="1" t="s">
        <v>44</v>
      </c>
      <c r="G1783" s="1" t="s">
        <v>45</v>
      </c>
      <c r="H1783" s="1" t="s">
        <v>61</v>
      </c>
      <c r="I1783" s="1" t="s">
        <v>29</v>
      </c>
      <c r="J1783" s="7">
        <v>46287</v>
      </c>
      <c r="K1783" s="1">
        <v>364</v>
      </c>
      <c r="L1783" s="7">
        <v>21942</v>
      </c>
      <c r="M1783" s="1">
        <v>48</v>
      </c>
      <c r="N1783" s="6">
        <v>5.8899999999999994E-2</v>
      </c>
      <c r="O1783" s="1" t="s">
        <v>46</v>
      </c>
      <c r="P1783" s="1" t="s">
        <v>50</v>
      </c>
      <c r="Q1783" s="1">
        <v>28</v>
      </c>
      <c r="R1783" s="1">
        <v>1</v>
      </c>
      <c r="S1783" s="1" t="s">
        <v>31</v>
      </c>
      <c r="T1783" s="1" t="s">
        <v>33</v>
      </c>
      <c r="U1783" s="1">
        <v>0</v>
      </c>
      <c r="V1783" s="1">
        <v>37948</v>
      </c>
      <c r="W1783" s="7">
        <v>1816.73</v>
      </c>
      <c r="X1783" s="1">
        <v>0.66</v>
      </c>
      <c r="Y1783" s="4">
        <v>45820</v>
      </c>
      <c r="Z1783" s="1" t="s">
        <v>38</v>
      </c>
      <c r="AA1783" s="1" t="s">
        <v>31</v>
      </c>
      <c r="AB1783" s="36" t="str" cm="1">
        <f t="array" ref="AB1783">_xlfn.IFS(K1783&gt;650,"LOW",K1783&gt;=550,"MEDIUM",K1783&lt;550,"HIGH")</f>
        <v>HIGH</v>
      </c>
    </row>
    <row r="1784" spans="3:28" x14ac:dyDescent="0.3">
      <c r="C1784" s="35" t="s">
        <v>2896</v>
      </c>
      <c r="D1784" s="1" t="s">
        <v>924</v>
      </c>
      <c r="E1784" s="1">
        <v>26</v>
      </c>
      <c r="F1784" s="1" t="s">
        <v>26</v>
      </c>
      <c r="G1784" s="1" t="s">
        <v>27</v>
      </c>
      <c r="H1784" s="1" t="s">
        <v>36</v>
      </c>
      <c r="I1784" s="1" t="s">
        <v>40</v>
      </c>
      <c r="J1784" s="7">
        <v>39665</v>
      </c>
      <c r="K1784" s="1">
        <v>364</v>
      </c>
      <c r="L1784" s="7">
        <v>10488</v>
      </c>
      <c r="M1784" s="1">
        <v>36</v>
      </c>
      <c r="N1784" s="6">
        <v>0.19850000000000001</v>
      </c>
      <c r="O1784" s="1" t="s">
        <v>5</v>
      </c>
      <c r="P1784" s="1" t="s">
        <v>50</v>
      </c>
      <c r="Q1784" s="1">
        <v>27</v>
      </c>
      <c r="R1784" s="1">
        <v>0</v>
      </c>
      <c r="S1784" s="1" t="s">
        <v>31</v>
      </c>
      <c r="T1784" s="1" t="s">
        <v>33</v>
      </c>
      <c r="U1784" s="1">
        <v>2</v>
      </c>
      <c r="V1784" s="1">
        <v>95387</v>
      </c>
      <c r="W1784" s="7">
        <v>1978.24</v>
      </c>
      <c r="X1784" s="1">
        <v>0.86</v>
      </c>
      <c r="Y1784" s="4">
        <v>45410</v>
      </c>
      <c r="Z1784" s="1" t="s">
        <v>32</v>
      </c>
      <c r="AA1784" s="1" t="s">
        <v>31</v>
      </c>
      <c r="AB1784" s="36" t="str" cm="1">
        <f t="array" ref="AB1784">_xlfn.IFS(K1784&gt;650,"LOW",K1784&gt;=550,"MEDIUM",K1784&lt;550,"HIGH")</f>
        <v>HIGH</v>
      </c>
    </row>
    <row r="1785" spans="3:28" x14ac:dyDescent="0.3">
      <c r="C1785" s="35" t="s">
        <v>2524</v>
      </c>
      <c r="D1785" s="1" t="s">
        <v>554</v>
      </c>
      <c r="E1785" s="1">
        <v>56</v>
      </c>
      <c r="F1785" s="1" t="s">
        <v>44</v>
      </c>
      <c r="G1785" s="1" t="s">
        <v>56</v>
      </c>
      <c r="H1785" s="1" t="s">
        <v>28</v>
      </c>
      <c r="I1785" s="1" t="s">
        <v>59</v>
      </c>
      <c r="J1785" s="7">
        <v>78901</v>
      </c>
      <c r="K1785" s="1">
        <v>363</v>
      </c>
      <c r="L1785" s="7">
        <v>43751</v>
      </c>
      <c r="M1785" s="1">
        <v>24</v>
      </c>
      <c r="N1785" s="6">
        <v>0.11630000000000001</v>
      </c>
      <c r="O1785" s="1" t="s">
        <v>41</v>
      </c>
      <c r="P1785" s="1" t="s">
        <v>50</v>
      </c>
      <c r="Q1785" s="1">
        <v>7</v>
      </c>
      <c r="R1785" s="1">
        <v>0</v>
      </c>
      <c r="S1785" s="1" t="s">
        <v>31</v>
      </c>
      <c r="T1785" s="1" t="s">
        <v>33</v>
      </c>
      <c r="U1785" s="1">
        <v>0</v>
      </c>
      <c r="V1785" s="1">
        <v>1907</v>
      </c>
      <c r="W1785" s="7">
        <v>991.99</v>
      </c>
      <c r="X1785" s="1">
        <v>0.72</v>
      </c>
      <c r="Y1785" s="4">
        <v>44389</v>
      </c>
      <c r="Z1785" s="1" t="s">
        <v>38</v>
      </c>
      <c r="AA1785" s="1" t="s">
        <v>33</v>
      </c>
      <c r="AB1785" s="36" t="str" cm="1">
        <f t="array" ref="AB1785">_xlfn.IFS(K1785&gt;650,"LOW",K1785&gt;=550,"MEDIUM",K1785&lt;550,"HIGH")</f>
        <v>HIGH</v>
      </c>
    </row>
    <row r="1786" spans="3:28" x14ac:dyDescent="0.3">
      <c r="C1786" s="35" t="s">
        <v>2848</v>
      </c>
      <c r="D1786" s="1" t="s">
        <v>876</v>
      </c>
      <c r="E1786" s="1">
        <v>46</v>
      </c>
      <c r="F1786" s="1" t="s">
        <v>26</v>
      </c>
      <c r="G1786" s="1" t="s">
        <v>45</v>
      </c>
      <c r="H1786" s="1" t="s">
        <v>36</v>
      </c>
      <c r="I1786" s="1" t="s">
        <v>29</v>
      </c>
      <c r="J1786" s="7">
        <v>91749</v>
      </c>
      <c r="K1786" s="1">
        <v>363</v>
      </c>
      <c r="L1786" s="7">
        <v>1597</v>
      </c>
      <c r="M1786" s="1">
        <v>12</v>
      </c>
      <c r="N1786" s="6">
        <v>0.14319999999999999</v>
      </c>
      <c r="O1786" s="1" t="s">
        <v>46</v>
      </c>
      <c r="P1786" s="1" t="s">
        <v>30</v>
      </c>
      <c r="Q1786" s="1">
        <v>12</v>
      </c>
      <c r="R1786" s="1">
        <v>1</v>
      </c>
      <c r="S1786" s="1" t="s">
        <v>33</v>
      </c>
      <c r="T1786" s="1" t="s">
        <v>31</v>
      </c>
      <c r="U1786" s="1">
        <v>0</v>
      </c>
      <c r="V1786" s="1">
        <v>172236</v>
      </c>
      <c r="W1786" s="7">
        <v>1637.98</v>
      </c>
      <c r="X1786" s="1">
        <v>0.22</v>
      </c>
      <c r="Y1786" s="4">
        <v>44210</v>
      </c>
      <c r="Z1786" s="1" t="s">
        <v>38</v>
      </c>
      <c r="AA1786" s="1" t="s">
        <v>33</v>
      </c>
      <c r="AB1786" s="36" t="str" cm="1">
        <f t="array" ref="AB1786">_xlfn.IFS(K1786&gt;650,"LOW",K1786&gt;=550,"MEDIUM",K1786&lt;550,"HIGH")</f>
        <v>HIGH</v>
      </c>
    </row>
    <row r="1787" spans="3:28" x14ac:dyDescent="0.3">
      <c r="C1787" s="35" t="s">
        <v>3469</v>
      </c>
      <c r="D1787" s="1" t="s">
        <v>1487</v>
      </c>
      <c r="E1787" s="1">
        <v>32</v>
      </c>
      <c r="F1787" s="1" t="s">
        <v>44</v>
      </c>
      <c r="G1787" s="1" t="s">
        <v>27</v>
      </c>
      <c r="H1787" s="1" t="s">
        <v>28</v>
      </c>
      <c r="I1787" s="1" t="s">
        <v>57</v>
      </c>
      <c r="J1787" s="7">
        <v>59220</v>
      </c>
      <c r="K1787" s="1">
        <v>363</v>
      </c>
      <c r="L1787" s="7">
        <v>48606</v>
      </c>
      <c r="M1787" s="1">
        <v>48</v>
      </c>
      <c r="N1787" s="6">
        <v>0.14380000000000001</v>
      </c>
      <c r="O1787" s="1" t="s">
        <v>37</v>
      </c>
      <c r="P1787" s="1" t="s">
        <v>50</v>
      </c>
      <c r="Q1787" s="1">
        <v>2</v>
      </c>
      <c r="R1787" s="1">
        <v>1</v>
      </c>
      <c r="S1787" s="1" t="s">
        <v>33</v>
      </c>
      <c r="T1787" s="1" t="s">
        <v>31</v>
      </c>
      <c r="U1787" s="1">
        <v>3</v>
      </c>
      <c r="V1787" s="1">
        <v>68337</v>
      </c>
      <c r="W1787" s="7">
        <v>1754.45</v>
      </c>
      <c r="X1787" s="1">
        <v>0.23</v>
      </c>
      <c r="Y1787" s="4">
        <v>45614</v>
      </c>
      <c r="Z1787" s="1" t="s">
        <v>32</v>
      </c>
      <c r="AA1787" s="1" t="s">
        <v>33</v>
      </c>
      <c r="AB1787" s="36" t="str" cm="1">
        <f t="array" ref="AB1787">_xlfn.IFS(K1787&gt;650,"LOW",K1787&gt;=550,"MEDIUM",K1787&lt;550,"HIGH")</f>
        <v>HIGH</v>
      </c>
    </row>
    <row r="1788" spans="3:28" x14ac:dyDescent="0.3">
      <c r="C1788" s="35" t="s">
        <v>2513</v>
      </c>
      <c r="D1788" s="1" t="s">
        <v>543</v>
      </c>
      <c r="E1788" s="1">
        <v>28</v>
      </c>
      <c r="F1788" s="1" t="s">
        <v>26</v>
      </c>
      <c r="G1788" s="1" t="s">
        <v>35</v>
      </c>
      <c r="H1788" s="1" t="s">
        <v>28</v>
      </c>
      <c r="I1788" s="1" t="s">
        <v>29</v>
      </c>
      <c r="J1788" s="7">
        <v>148355</v>
      </c>
      <c r="K1788" s="1">
        <v>362</v>
      </c>
      <c r="L1788" s="7">
        <v>11360</v>
      </c>
      <c r="M1788" s="1">
        <v>12</v>
      </c>
      <c r="N1788" s="6">
        <v>0.183</v>
      </c>
      <c r="O1788" s="1" t="s">
        <v>41</v>
      </c>
      <c r="P1788" s="1" t="s">
        <v>30</v>
      </c>
      <c r="Q1788" s="1">
        <v>2</v>
      </c>
      <c r="R1788" s="1">
        <v>1</v>
      </c>
      <c r="S1788" s="1" t="s">
        <v>33</v>
      </c>
      <c r="T1788" s="1" t="s">
        <v>31</v>
      </c>
      <c r="U1788" s="1">
        <v>2</v>
      </c>
      <c r="V1788" s="1">
        <v>59871</v>
      </c>
      <c r="W1788" s="7">
        <v>621.99</v>
      </c>
      <c r="X1788" s="1">
        <v>0.12</v>
      </c>
      <c r="Y1788" s="4">
        <v>44376</v>
      </c>
      <c r="Z1788" s="1" t="s">
        <v>38</v>
      </c>
      <c r="AA1788" s="1" t="s">
        <v>31</v>
      </c>
      <c r="AB1788" s="36" t="str" cm="1">
        <f t="array" ref="AB1788">_xlfn.IFS(K1788&gt;650,"LOW",K1788&gt;=550,"MEDIUM",K1788&lt;550,"HIGH")</f>
        <v>HIGH</v>
      </c>
    </row>
    <row r="1789" spans="3:28" x14ac:dyDescent="0.3">
      <c r="C1789" s="35" t="s">
        <v>2936</v>
      </c>
      <c r="D1789" s="1" t="s">
        <v>964</v>
      </c>
      <c r="E1789" s="1">
        <v>32</v>
      </c>
      <c r="F1789" s="1" t="s">
        <v>44</v>
      </c>
      <c r="G1789" s="1" t="s">
        <v>27</v>
      </c>
      <c r="H1789" s="1" t="s">
        <v>54</v>
      </c>
      <c r="I1789" s="1" t="s">
        <v>40</v>
      </c>
      <c r="J1789" s="7">
        <v>65406</v>
      </c>
      <c r="K1789" s="1">
        <v>362</v>
      </c>
      <c r="L1789" s="7">
        <v>18883</v>
      </c>
      <c r="M1789" s="1">
        <v>36</v>
      </c>
      <c r="N1789" s="6">
        <v>8.09E-2</v>
      </c>
      <c r="O1789" s="1" t="s">
        <v>52</v>
      </c>
      <c r="P1789" s="1" t="s">
        <v>47</v>
      </c>
      <c r="Q1789" s="1">
        <v>1</v>
      </c>
      <c r="R1789" s="1">
        <v>3</v>
      </c>
      <c r="S1789" s="1" t="s">
        <v>31</v>
      </c>
      <c r="T1789" s="1" t="s">
        <v>33</v>
      </c>
      <c r="U1789" s="1">
        <v>4</v>
      </c>
      <c r="V1789" s="1">
        <v>27161</v>
      </c>
      <c r="W1789" s="7">
        <v>928.74</v>
      </c>
      <c r="X1789" s="1">
        <v>0.27</v>
      </c>
      <c r="Y1789" s="4">
        <v>44229</v>
      </c>
      <c r="Z1789" s="1" t="s">
        <v>32</v>
      </c>
      <c r="AA1789" s="1" t="s">
        <v>33</v>
      </c>
      <c r="AB1789" s="36" t="str" cm="1">
        <f t="array" ref="AB1789">_xlfn.IFS(K1789&gt;650,"LOW",K1789&gt;=550,"MEDIUM",K1789&lt;550,"HIGH")</f>
        <v>HIGH</v>
      </c>
    </row>
    <row r="1790" spans="3:28" x14ac:dyDescent="0.3">
      <c r="C1790" s="35" t="s">
        <v>2303</v>
      </c>
      <c r="D1790" s="1" t="s">
        <v>334</v>
      </c>
      <c r="E1790" s="1">
        <v>22</v>
      </c>
      <c r="F1790" s="1" t="s">
        <v>44</v>
      </c>
      <c r="G1790" s="1" t="s">
        <v>45</v>
      </c>
      <c r="H1790" s="1" t="s">
        <v>61</v>
      </c>
      <c r="I1790" s="1" t="s">
        <v>59</v>
      </c>
      <c r="J1790" s="7">
        <v>49685</v>
      </c>
      <c r="K1790" s="1">
        <v>361</v>
      </c>
      <c r="L1790" s="7">
        <v>49744</v>
      </c>
      <c r="M1790" s="1">
        <v>12</v>
      </c>
      <c r="N1790" s="6">
        <v>0.15439999999999998</v>
      </c>
      <c r="O1790" s="1" t="s">
        <v>5</v>
      </c>
      <c r="P1790" s="1" t="s">
        <v>50</v>
      </c>
      <c r="Q1790" s="1">
        <v>17</v>
      </c>
      <c r="R1790" s="1">
        <v>3</v>
      </c>
      <c r="S1790" s="1" t="s">
        <v>33</v>
      </c>
      <c r="T1790" s="1" t="s">
        <v>31</v>
      </c>
      <c r="U1790" s="1">
        <v>1</v>
      </c>
      <c r="V1790" s="1">
        <v>197009</v>
      </c>
      <c r="W1790" s="7">
        <v>201.16</v>
      </c>
      <c r="X1790" s="1">
        <v>0.17</v>
      </c>
      <c r="Y1790" s="4">
        <v>45141</v>
      </c>
      <c r="Z1790" s="1" t="s">
        <v>38</v>
      </c>
      <c r="AA1790" s="1" t="s">
        <v>33</v>
      </c>
      <c r="AB1790" s="36" t="str" cm="1">
        <f t="array" ref="AB1790">_xlfn.IFS(K1790&gt;650,"LOW",K1790&gt;=550,"MEDIUM",K1790&lt;550,"HIGH")</f>
        <v>HIGH</v>
      </c>
    </row>
    <row r="1791" spans="3:28" x14ac:dyDescent="0.3">
      <c r="C1791" s="35" t="s">
        <v>3091</v>
      </c>
      <c r="D1791" s="1" t="s">
        <v>1116</v>
      </c>
      <c r="E1791" s="1">
        <v>25</v>
      </c>
      <c r="F1791" s="1" t="s">
        <v>44</v>
      </c>
      <c r="G1791" s="1" t="s">
        <v>45</v>
      </c>
      <c r="H1791" s="1" t="s">
        <v>28</v>
      </c>
      <c r="I1791" s="1" t="s">
        <v>59</v>
      </c>
      <c r="J1791" s="7">
        <v>125331</v>
      </c>
      <c r="K1791" s="1">
        <v>361</v>
      </c>
      <c r="L1791" s="7">
        <v>31262</v>
      </c>
      <c r="M1791" s="1">
        <v>60</v>
      </c>
      <c r="N1791" s="6">
        <v>0.13400000000000001</v>
      </c>
      <c r="O1791" s="1" t="s">
        <v>46</v>
      </c>
      <c r="P1791" s="1" t="s">
        <v>30</v>
      </c>
      <c r="Q1791" s="1">
        <v>2</v>
      </c>
      <c r="R1791" s="1">
        <v>3</v>
      </c>
      <c r="S1791" s="1" t="s">
        <v>31</v>
      </c>
      <c r="T1791" s="1" t="s">
        <v>33</v>
      </c>
      <c r="U1791" s="1">
        <v>1</v>
      </c>
      <c r="V1791" s="1">
        <v>165635</v>
      </c>
      <c r="W1791" s="7">
        <v>1502.56</v>
      </c>
      <c r="X1791" s="1">
        <v>0.57999999999999996</v>
      </c>
      <c r="Y1791" s="4">
        <v>45199</v>
      </c>
      <c r="Z1791" s="1" t="s">
        <v>38</v>
      </c>
      <c r="AA1791" s="1" t="s">
        <v>33</v>
      </c>
      <c r="AB1791" s="36" t="str" cm="1">
        <f t="array" ref="AB1791">_xlfn.IFS(K1791&gt;650,"LOW",K1791&gt;=550,"MEDIUM",K1791&lt;550,"HIGH")</f>
        <v>HIGH</v>
      </c>
    </row>
    <row r="1792" spans="3:28" x14ac:dyDescent="0.3">
      <c r="C1792" s="35" t="s">
        <v>3664</v>
      </c>
      <c r="D1792" s="1" t="s">
        <v>1676</v>
      </c>
      <c r="E1792" s="1">
        <v>42</v>
      </c>
      <c r="F1792" s="1" t="s">
        <v>26</v>
      </c>
      <c r="G1792" s="1" t="s">
        <v>35</v>
      </c>
      <c r="H1792" s="1" t="s">
        <v>54</v>
      </c>
      <c r="I1792" s="1" t="s">
        <v>40</v>
      </c>
      <c r="J1792" s="7">
        <v>75568</v>
      </c>
      <c r="K1792" s="1">
        <v>361</v>
      </c>
      <c r="L1792" s="7">
        <v>12859</v>
      </c>
      <c r="M1792" s="1">
        <v>36</v>
      </c>
      <c r="N1792" s="6">
        <v>0.1827</v>
      </c>
      <c r="O1792" s="1" t="s">
        <v>52</v>
      </c>
      <c r="P1792" s="1" t="s">
        <v>47</v>
      </c>
      <c r="Q1792" s="1">
        <v>16</v>
      </c>
      <c r="R1792" s="1">
        <v>0</v>
      </c>
      <c r="S1792" s="1" t="s">
        <v>33</v>
      </c>
      <c r="T1792" s="1" t="s">
        <v>31</v>
      </c>
      <c r="U1792" s="1">
        <v>3</v>
      </c>
      <c r="V1792" s="1">
        <v>31104</v>
      </c>
      <c r="W1792" s="7">
        <v>1939.11</v>
      </c>
      <c r="X1792" s="1">
        <v>0.99</v>
      </c>
      <c r="Y1792" s="4">
        <v>45667</v>
      </c>
      <c r="Z1792" s="1" t="s">
        <v>32</v>
      </c>
      <c r="AA1792" s="1" t="s">
        <v>31</v>
      </c>
      <c r="AB1792" s="36" t="str" cm="1">
        <f t="array" ref="AB1792">_xlfn.IFS(K1792&gt;650,"LOW",K1792&gt;=550,"MEDIUM",K1792&lt;550,"HIGH")</f>
        <v>HIGH</v>
      </c>
    </row>
    <row r="1793" spans="3:28" x14ac:dyDescent="0.3">
      <c r="C1793" s="35" t="s">
        <v>2538</v>
      </c>
      <c r="D1793" s="1" t="s">
        <v>568</v>
      </c>
      <c r="E1793" s="1">
        <v>44</v>
      </c>
      <c r="F1793" s="1" t="s">
        <v>26</v>
      </c>
      <c r="G1793" s="1" t="s">
        <v>56</v>
      </c>
      <c r="H1793" s="1" t="s">
        <v>54</v>
      </c>
      <c r="I1793" s="1" t="s">
        <v>29</v>
      </c>
      <c r="J1793" s="7">
        <v>76655</v>
      </c>
      <c r="K1793" s="1">
        <v>360</v>
      </c>
      <c r="L1793" s="7">
        <v>21221</v>
      </c>
      <c r="M1793" s="1">
        <v>24</v>
      </c>
      <c r="N1793" s="6">
        <v>0.129</v>
      </c>
      <c r="O1793" s="1" t="s">
        <v>41</v>
      </c>
      <c r="P1793" s="1" t="s">
        <v>47</v>
      </c>
      <c r="Q1793" s="1">
        <v>21</v>
      </c>
      <c r="R1793" s="1">
        <v>1</v>
      </c>
      <c r="S1793" s="1" t="s">
        <v>33</v>
      </c>
      <c r="T1793" s="1" t="s">
        <v>31</v>
      </c>
      <c r="U1793" s="1">
        <v>4</v>
      </c>
      <c r="V1793" s="1">
        <v>108447</v>
      </c>
      <c r="W1793" s="7">
        <v>537.58000000000004</v>
      </c>
      <c r="X1793" s="1">
        <v>0.52</v>
      </c>
      <c r="Y1793" s="4">
        <v>44300</v>
      </c>
      <c r="Z1793" s="1" t="s">
        <v>32</v>
      </c>
      <c r="AA1793" s="1" t="s">
        <v>33</v>
      </c>
      <c r="AB1793" s="36" t="str" cm="1">
        <f t="array" ref="AB1793">_xlfn.IFS(K1793&gt;650,"LOW",K1793&gt;=550,"MEDIUM",K1793&lt;550,"HIGH")</f>
        <v>HIGH</v>
      </c>
    </row>
    <row r="1794" spans="3:28" x14ac:dyDescent="0.3">
      <c r="C1794" s="35" t="s">
        <v>2905</v>
      </c>
      <c r="D1794" s="1" t="s">
        <v>933</v>
      </c>
      <c r="E1794" s="1">
        <v>23</v>
      </c>
      <c r="F1794" s="1" t="s">
        <v>44</v>
      </c>
      <c r="G1794" s="1" t="s">
        <v>35</v>
      </c>
      <c r="H1794" s="1" t="s">
        <v>28</v>
      </c>
      <c r="I1794" s="1" t="s">
        <v>57</v>
      </c>
      <c r="J1794" s="7">
        <v>26749</v>
      </c>
      <c r="K1794" s="1">
        <v>360</v>
      </c>
      <c r="L1794" s="7">
        <v>47932</v>
      </c>
      <c r="M1794" s="1">
        <v>48</v>
      </c>
      <c r="N1794" s="6">
        <v>0.14730000000000001</v>
      </c>
      <c r="O1794" s="1" t="s">
        <v>63</v>
      </c>
      <c r="P1794" s="1" t="s">
        <v>47</v>
      </c>
      <c r="Q1794" s="1">
        <v>22</v>
      </c>
      <c r="R1794" s="1">
        <v>2</v>
      </c>
      <c r="S1794" s="1" t="s">
        <v>33</v>
      </c>
      <c r="T1794" s="1" t="s">
        <v>31</v>
      </c>
      <c r="U1794" s="1">
        <v>1</v>
      </c>
      <c r="V1794" s="1">
        <v>34973</v>
      </c>
      <c r="W1794" s="7">
        <v>1908.06</v>
      </c>
      <c r="X1794" s="1">
        <v>0.63</v>
      </c>
      <c r="Y1794" s="4">
        <v>45740</v>
      </c>
      <c r="Z1794" s="1" t="s">
        <v>32</v>
      </c>
      <c r="AA1794" s="1" t="s">
        <v>31</v>
      </c>
      <c r="AB1794" s="36" t="str" cm="1">
        <f t="array" ref="AB1794">_xlfn.IFS(K1794&gt;650,"LOW",K1794&gt;=550,"MEDIUM",K1794&lt;550,"HIGH")</f>
        <v>HIGH</v>
      </c>
    </row>
    <row r="1795" spans="3:28" x14ac:dyDescent="0.3">
      <c r="C1795" s="35" t="s">
        <v>3036</v>
      </c>
      <c r="D1795" s="1" t="s">
        <v>1063</v>
      </c>
      <c r="E1795" s="1">
        <v>53</v>
      </c>
      <c r="F1795" s="1" t="s">
        <v>44</v>
      </c>
      <c r="G1795" s="1" t="s">
        <v>27</v>
      </c>
      <c r="H1795" s="1" t="s">
        <v>54</v>
      </c>
      <c r="I1795" s="1" t="s">
        <v>29</v>
      </c>
      <c r="J1795" s="7">
        <v>118644</v>
      </c>
      <c r="K1795" s="1">
        <v>360</v>
      </c>
      <c r="L1795" s="7">
        <v>22119</v>
      </c>
      <c r="M1795" s="1">
        <v>60</v>
      </c>
      <c r="N1795" s="6">
        <v>0.13070000000000001</v>
      </c>
      <c r="O1795" s="1" t="s">
        <v>46</v>
      </c>
      <c r="P1795" s="1" t="s">
        <v>50</v>
      </c>
      <c r="Q1795" s="1">
        <v>4</v>
      </c>
      <c r="R1795" s="1">
        <v>2</v>
      </c>
      <c r="S1795" s="1" t="s">
        <v>33</v>
      </c>
      <c r="T1795" s="1" t="s">
        <v>31</v>
      </c>
      <c r="U1795" s="1">
        <v>2</v>
      </c>
      <c r="V1795" s="1">
        <v>79625</v>
      </c>
      <c r="W1795" s="7">
        <v>1781.34</v>
      </c>
      <c r="X1795" s="1">
        <v>0.77</v>
      </c>
      <c r="Y1795" s="4">
        <v>45569</v>
      </c>
      <c r="Z1795" s="1" t="s">
        <v>38</v>
      </c>
      <c r="AA1795" s="1" t="s">
        <v>33</v>
      </c>
      <c r="AB1795" s="36" t="str" cm="1">
        <f t="array" ref="AB1795">_xlfn.IFS(K1795&gt;650,"LOW",K1795&gt;=550,"MEDIUM",K1795&lt;550,"HIGH")</f>
        <v>HIGH</v>
      </c>
    </row>
    <row r="1796" spans="3:28" x14ac:dyDescent="0.3">
      <c r="C1796" s="35" t="s">
        <v>3601</v>
      </c>
      <c r="D1796" s="1" t="s">
        <v>1615</v>
      </c>
      <c r="E1796" s="1">
        <v>55</v>
      </c>
      <c r="F1796" s="1" t="s">
        <v>44</v>
      </c>
      <c r="G1796" s="1" t="s">
        <v>45</v>
      </c>
      <c r="H1796" s="1" t="s">
        <v>61</v>
      </c>
      <c r="I1796" s="1" t="s">
        <v>40</v>
      </c>
      <c r="J1796" s="7">
        <v>114830</v>
      </c>
      <c r="K1796" s="1">
        <v>360</v>
      </c>
      <c r="L1796" s="7">
        <v>8274</v>
      </c>
      <c r="M1796" s="1">
        <v>36</v>
      </c>
      <c r="N1796" s="6">
        <v>7.0499999999999993E-2</v>
      </c>
      <c r="O1796" s="1" t="s">
        <v>46</v>
      </c>
      <c r="P1796" s="1" t="s">
        <v>50</v>
      </c>
      <c r="Q1796" s="1">
        <v>23</v>
      </c>
      <c r="R1796" s="1">
        <v>0</v>
      </c>
      <c r="S1796" s="1" t="s">
        <v>31</v>
      </c>
      <c r="T1796" s="1" t="s">
        <v>31</v>
      </c>
      <c r="U1796" s="1">
        <v>4</v>
      </c>
      <c r="V1796" s="1">
        <v>23557</v>
      </c>
      <c r="W1796" s="7">
        <v>572.21</v>
      </c>
      <c r="X1796" s="1">
        <v>0.75</v>
      </c>
      <c r="Y1796" s="4">
        <v>45090</v>
      </c>
      <c r="Z1796" s="1" t="s">
        <v>32</v>
      </c>
      <c r="AA1796" s="1" t="s">
        <v>33</v>
      </c>
      <c r="AB1796" s="36" t="str" cm="1">
        <f t="array" ref="AB1796">_xlfn.IFS(K1796&gt;650,"LOW",K1796&gt;=550,"MEDIUM",K1796&lt;550,"HIGH")</f>
        <v>HIGH</v>
      </c>
    </row>
    <row r="1797" spans="3:28" x14ac:dyDescent="0.3">
      <c r="C1797" s="35" t="s">
        <v>3642</v>
      </c>
      <c r="D1797" s="1" t="s">
        <v>1654</v>
      </c>
      <c r="E1797" s="1">
        <v>35</v>
      </c>
      <c r="F1797" s="1" t="s">
        <v>26</v>
      </c>
      <c r="G1797" s="1" t="s">
        <v>35</v>
      </c>
      <c r="H1797" s="1" t="s">
        <v>28</v>
      </c>
      <c r="I1797" s="1" t="s">
        <v>29</v>
      </c>
      <c r="J1797" s="7">
        <v>103245</v>
      </c>
      <c r="K1797" s="1">
        <v>360</v>
      </c>
      <c r="L1797" s="7">
        <v>4280</v>
      </c>
      <c r="M1797" s="1">
        <v>24</v>
      </c>
      <c r="N1797" s="6">
        <v>0.18149999999999999</v>
      </c>
      <c r="O1797" s="1" t="s">
        <v>52</v>
      </c>
      <c r="P1797" s="1" t="s">
        <v>47</v>
      </c>
      <c r="Q1797" s="1">
        <v>12</v>
      </c>
      <c r="R1797" s="1">
        <v>1</v>
      </c>
      <c r="S1797" s="1" t="s">
        <v>33</v>
      </c>
      <c r="T1797" s="1" t="s">
        <v>33</v>
      </c>
      <c r="U1797" s="1">
        <v>4</v>
      </c>
      <c r="V1797" s="1">
        <v>96571</v>
      </c>
      <c r="W1797" s="7">
        <v>578.22</v>
      </c>
      <c r="X1797" s="1">
        <v>0.36</v>
      </c>
      <c r="Y1797" s="4">
        <v>45005</v>
      </c>
      <c r="Z1797" s="1" t="s">
        <v>32</v>
      </c>
      <c r="AA1797" s="1" t="s">
        <v>33</v>
      </c>
      <c r="AB1797" s="36" t="str" cm="1">
        <f t="array" ref="AB1797">_xlfn.IFS(K1797&gt;650,"LOW",K1797&gt;=550,"MEDIUM",K1797&lt;550,"HIGH")</f>
        <v>HIGH</v>
      </c>
    </row>
    <row r="1798" spans="3:28" x14ac:dyDescent="0.3">
      <c r="C1798" s="35" t="s">
        <v>3745</v>
      </c>
      <c r="D1798" s="1" t="s">
        <v>1753</v>
      </c>
      <c r="E1798" s="1">
        <v>52</v>
      </c>
      <c r="F1798" s="1" t="s">
        <v>44</v>
      </c>
      <c r="G1798" s="1" t="s">
        <v>27</v>
      </c>
      <c r="H1798" s="1" t="s">
        <v>61</v>
      </c>
      <c r="I1798" s="1" t="s">
        <v>57</v>
      </c>
      <c r="J1798" s="7">
        <v>76326</v>
      </c>
      <c r="K1798" s="1">
        <v>360</v>
      </c>
      <c r="L1798" s="7">
        <v>10088</v>
      </c>
      <c r="M1798" s="1">
        <v>60</v>
      </c>
      <c r="N1798" s="6">
        <v>0.192</v>
      </c>
      <c r="O1798" s="1" t="s">
        <v>5</v>
      </c>
      <c r="P1798" s="1" t="s">
        <v>30</v>
      </c>
      <c r="Q1798" s="1">
        <v>8</v>
      </c>
      <c r="R1798" s="1">
        <v>3</v>
      </c>
      <c r="S1798" s="1" t="s">
        <v>31</v>
      </c>
      <c r="T1798" s="1" t="s">
        <v>33</v>
      </c>
      <c r="U1798" s="1">
        <v>0</v>
      </c>
      <c r="V1798" s="1">
        <v>49545</v>
      </c>
      <c r="W1798" s="7">
        <v>1094.46</v>
      </c>
      <c r="X1798" s="1">
        <v>0.37</v>
      </c>
      <c r="Y1798" s="4">
        <v>45801</v>
      </c>
      <c r="Z1798" s="1" t="s">
        <v>32</v>
      </c>
      <c r="AA1798" s="1" t="s">
        <v>31</v>
      </c>
      <c r="AB1798" s="36" t="str" cm="1">
        <f t="array" ref="AB1798">_xlfn.IFS(K1798&gt;650,"LOW",K1798&gt;=550,"MEDIUM",K1798&lt;550,"HIGH")</f>
        <v>HIGH</v>
      </c>
    </row>
    <row r="1799" spans="3:28" x14ac:dyDescent="0.3">
      <c r="C1799" s="35" t="s">
        <v>2299</v>
      </c>
      <c r="D1799" s="1" t="s">
        <v>330</v>
      </c>
      <c r="E1799" s="1">
        <v>45</v>
      </c>
      <c r="F1799" s="1" t="s">
        <v>26</v>
      </c>
      <c r="G1799" s="1" t="s">
        <v>45</v>
      </c>
      <c r="H1799" s="1" t="s">
        <v>36</v>
      </c>
      <c r="I1799" s="1" t="s">
        <v>40</v>
      </c>
      <c r="J1799" s="7">
        <v>61445</v>
      </c>
      <c r="K1799" s="1">
        <v>359</v>
      </c>
      <c r="L1799" s="7">
        <v>11302</v>
      </c>
      <c r="M1799" s="1">
        <v>24</v>
      </c>
      <c r="N1799" s="6">
        <v>0.18710000000000002</v>
      </c>
      <c r="O1799" s="1" t="s">
        <v>41</v>
      </c>
      <c r="P1799" s="1" t="s">
        <v>47</v>
      </c>
      <c r="Q1799" s="1">
        <v>2</v>
      </c>
      <c r="R1799" s="1">
        <v>0</v>
      </c>
      <c r="S1799" s="1" t="s">
        <v>33</v>
      </c>
      <c r="T1799" s="1" t="s">
        <v>33</v>
      </c>
      <c r="U1799" s="1">
        <v>0</v>
      </c>
      <c r="V1799" s="1">
        <v>47368</v>
      </c>
      <c r="W1799" s="7">
        <v>726.66</v>
      </c>
      <c r="X1799" s="1">
        <v>0.11</v>
      </c>
      <c r="Y1799" s="4">
        <v>45802</v>
      </c>
      <c r="Z1799" s="1" t="s">
        <v>38</v>
      </c>
      <c r="AA1799" s="1" t="s">
        <v>33</v>
      </c>
      <c r="AB1799" s="36" t="str" cm="1">
        <f t="array" ref="AB1799">_xlfn.IFS(K1799&gt;650,"LOW",K1799&gt;=550,"MEDIUM",K1799&lt;550,"HIGH")</f>
        <v>HIGH</v>
      </c>
    </row>
    <row r="1800" spans="3:28" x14ac:dyDescent="0.3">
      <c r="C1800" s="35" t="s">
        <v>2814</v>
      </c>
      <c r="D1800" s="1" t="s">
        <v>842</v>
      </c>
      <c r="E1800" s="1">
        <v>48</v>
      </c>
      <c r="F1800" s="1" t="s">
        <v>26</v>
      </c>
      <c r="G1800" s="1" t="s">
        <v>56</v>
      </c>
      <c r="H1800" s="1" t="s">
        <v>54</v>
      </c>
      <c r="I1800" s="1" t="s">
        <v>57</v>
      </c>
      <c r="J1800" s="7">
        <v>87306</v>
      </c>
      <c r="K1800" s="1">
        <v>359</v>
      </c>
      <c r="L1800" s="7">
        <v>21323</v>
      </c>
      <c r="M1800" s="1">
        <v>12</v>
      </c>
      <c r="N1800" s="6">
        <v>0.127</v>
      </c>
      <c r="O1800" s="1" t="s">
        <v>37</v>
      </c>
      <c r="P1800" s="1" t="s">
        <v>30</v>
      </c>
      <c r="Q1800" s="1">
        <v>22</v>
      </c>
      <c r="R1800" s="1">
        <v>0</v>
      </c>
      <c r="S1800" s="1" t="s">
        <v>33</v>
      </c>
      <c r="T1800" s="1" t="s">
        <v>31</v>
      </c>
      <c r="U1800" s="1">
        <v>4</v>
      </c>
      <c r="V1800" s="1">
        <v>199982</v>
      </c>
      <c r="W1800" s="7">
        <v>1828.64</v>
      </c>
      <c r="X1800" s="1">
        <v>0.87</v>
      </c>
      <c r="Y1800" s="4">
        <v>45376</v>
      </c>
      <c r="Z1800" s="1" t="s">
        <v>38</v>
      </c>
      <c r="AA1800" s="1" t="s">
        <v>31</v>
      </c>
      <c r="AB1800" s="36" t="str" cm="1">
        <f t="array" ref="AB1800">_xlfn.IFS(K1800&gt;650,"LOW",K1800&gt;=550,"MEDIUM",K1800&lt;550,"HIGH")</f>
        <v>HIGH</v>
      </c>
    </row>
    <row r="1801" spans="3:28" x14ac:dyDescent="0.3">
      <c r="C1801" s="35" t="s">
        <v>2850</v>
      </c>
      <c r="D1801" s="1" t="s">
        <v>878</v>
      </c>
      <c r="E1801" s="1">
        <v>27</v>
      </c>
      <c r="F1801" s="1" t="s">
        <v>44</v>
      </c>
      <c r="G1801" s="1" t="s">
        <v>56</v>
      </c>
      <c r="H1801" s="1" t="s">
        <v>54</v>
      </c>
      <c r="I1801" s="1" t="s">
        <v>59</v>
      </c>
      <c r="J1801" s="7">
        <v>100021</v>
      </c>
      <c r="K1801" s="1">
        <v>359</v>
      </c>
      <c r="L1801" s="7">
        <v>16025</v>
      </c>
      <c r="M1801" s="1">
        <v>48</v>
      </c>
      <c r="N1801" s="6">
        <v>0.17929999999999999</v>
      </c>
      <c r="O1801" s="1" t="s">
        <v>52</v>
      </c>
      <c r="P1801" s="1" t="s">
        <v>30</v>
      </c>
      <c r="Q1801" s="1">
        <v>7</v>
      </c>
      <c r="R1801" s="1">
        <v>4</v>
      </c>
      <c r="S1801" s="1" t="s">
        <v>33</v>
      </c>
      <c r="T1801" s="1" t="s">
        <v>33</v>
      </c>
      <c r="U1801" s="1">
        <v>0</v>
      </c>
      <c r="V1801" s="1">
        <v>185323</v>
      </c>
      <c r="W1801" s="7">
        <v>499.63</v>
      </c>
      <c r="X1801" s="1">
        <v>0.4</v>
      </c>
      <c r="Y1801" s="4">
        <v>45305</v>
      </c>
      <c r="Z1801" s="1" t="s">
        <v>32</v>
      </c>
      <c r="AA1801" s="1" t="s">
        <v>33</v>
      </c>
      <c r="AB1801" s="36" t="str" cm="1">
        <f t="array" ref="AB1801">_xlfn.IFS(K1801&gt;650,"LOW",K1801&gt;=550,"MEDIUM",K1801&lt;550,"HIGH")</f>
        <v>HIGH</v>
      </c>
    </row>
    <row r="1802" spans="3:28" x14ac:dyDescent="0.3">
      <c r="C1802" s="35" t="s">
        <v>3452</v>
      </c>
      <c r="D1802" s="1" t="s">
        <v>1470</v>
      </c>
      <c r="E1802" s="1">
        <v>40</v>
      </c>
      <c r="F1802" s="1" t="s">
        <v>44</v>
      </c>
      <c r="G1802" s="1" t="s">
        <v>45</v>
      </c>
      <c r="H1802" s="1" t="s">
        <v>36</v>
      </c>
      <c r="I1802" s="1" t="s">
        <v>40</v>
      </c>
      <c r="J1802" s="7">
        <v>93173</v>
      </c>
      <c r="K1802" s="1">
        <v>359</v>
      </c>
      <c r="L1802" s="7">
        <v>5263</v>
      </c>
      <c r="M1802" s="1">
        <v>24</v>
      </c>
      <c r="N1802" s="6">
        <v>7.6799999999999993E-2</v>
      </c>
      <c r="O1802" s="1" t="s">
        <v>41</v>
      </c>
      <c r="P1802" s="1" t="s">
        <v>30</v>
      </c>
      <c r="Q1802" s="1">
        <v>17</v>
      </c>
      <c r="R1802" s="1">
        <v>0</v>
      </c>
      <c r="S1802" s="1" t="s">
        <v>31</v>
      </c>
      <c r="T1802" s="1" t="s">
        <v>33</v>
      </c>
      <c r="U1802" s="1">
        <v>2</v>
      </c>
      <c r="V1802" s="1">
        <v>145979</v>
      </c>
      <c r="W1802" s="7">
        <v>642.75</v>
      </c>
      <c r="X1802" s="1">
        <v>0.77</v>
      </c>
      <c r="Y1802" s="4">
        <v>44315</v>
      </c>
      <c r="Z1802" s="1" t="s">
        <v>32</v>
      </c>
      <c r="AA1802" s="1" t="s">
        <v>31</v>
      </c>
      <c r="AB1802" s="36" t="str" cm="1">
        <f t="array" ref="AB1802">_xlfn.IFS(K1802&gt;650,"LOW",K1802&gt;=550,"MEDIUM",K1802&lt;550,"HIGH")</f>
        <v>HIGH</v>
      </c>
    </row>
    <row r="1803" spans="3:28" x14ac:dyDescent="0.3">
      <c r="C1803" s="35" t="s">
        <v>2511</v>
      </c>
      <c r="D1803" s="1" t="s">
        <v>541</v>
      </c>
      <c r="E1803" s="1">
        <v>37</v>
      </c>
      <c r="F1803" s="1" t="s">
        <v>44</v>
      </c>
      <c r="G1803" s="1" t="s">
        <v>56</v>
      </c>
      <c r="H1803" s="1" t="s">
        <v>28</v>
      </c>
      <c r="I1803" s="1" t="s">
        <v>59</v>
      </c>
      <c r="J1803" s="7">
        <v>116612</v>
      </c>
      <c r="K1803" s="1">
        <v>358</v>
      </c>
      <c r="L1803" s="7">
        <v>49651</v>
      </c>
      <c r="M1803" s="1">
        <v>12</v>
      </c>
      <c r="N1803" s="6">
        <v>8.6199999999999999E-2</v>
      </c>
      <c r="O1803" s="1" t="s">
        <v>63</v>
      </c>
      <c r="P1803" s="1" t="s">
        <v>47</v>
      </c>
      <c r="Q1803" s="1">
        <v>10</v>
      </c>
      <c r="R1803" s="1">
        <v>1</v>
      </c>
      <c r="S1803" s="1" t="s">
        <v>31</v>
      </c>
      <c r="T1803" s="1" t="s">
        <v>31</v>
      </c>
      <c r="U1803" s="1">
        <v>3</v>
      </c>
      <c r="V1803" s="1">
        <v>92334</v>
      </c>
      <c r="W1803" s="7">
        <v>328.04</v>
      </c>
      <c r="X1803" s="1">
        <v>0.79</v>
      </c>
      <c r="Y1803" s="4">
        <v>45068</v>
      </c>
      <c r="Z1803" s="1" t="s">
        <v>38</v>
      </c>
      <c r="AA1803" s="1" t="s">
        <v>33</v>
      </c>
      <c r="AB1803" s="36" t="str" cm="1">
        <f t="array" ref="AB1803">_xlfn.IFS(K1803&gt;650,"LOW",K1803&gt;=550,"MEDIUM",K1803&lt;550,"HIGH")</f>
        <v>HIGH</v>
      </c>
    </row>
    <row r="1804" spans="3:28" x14ac:dyDescent="0.3">
      <c r="C1804" s="35" t="s">
        <v>2980</v>
      </c>
      <c r="D1804" s="1" t="s">
        <v>1008</v>
      </c>
      <c r="E1804" s="1">
        <v>21</v>
      </c>
      <c r="F1804" s="1" t="s">
        <v>44</v>
      </c>
      <c r="G1804" s="1" t="s">
        <v>56</v>
      </c>
      <c r="H1804" s="1" t="s">
        <v>61</v>
      </c>
      <c r="I1804" s="1" t="s">
        <v>40</v>
      </c>
      <c r="J1804" s="7">
        <v>145942</v>
      </c>
      <c r="K1804" s="1">
        <v>358</v>
      </c>
      <c r="L1804" s="7">
        <v>2161</v>
      </c>
      <c r="M1804" s="1">
        <v>12</v>
      </c>
      <c r="N1804" s="6">
        <v>0.1797</v>
      </c>
      <c r="O1804" s="1" t="s">
        <v>37</v>
      </c>
      <c r="P1804" s="1" t="s">
        <v>50</v>
      </c>
      <c r="Q1804" s="1">
        <v>28</v>
      </c>
      <c r="R1804" s="1">
        <v>1</v>
      </c>
      <c r="S1804" s="1" t="s">
        <v>33</v>
      </c>
      <c r="T1804" s="1" t="s">
        <v>31</v>
      </c>
      <c r="U1804" s="1">
        <v>4</v>
      </c>
      <c r="V1804" s="1">
        <v>30472</v>
      </c>
      <c r="W1804" s="7">
        <v>323.98</v>
      </c>
      <c r="X1804" s="1">
        <v>0.11</v>
      </c>
      <c r="Y1804" s="4">
        <v>45604</v>
      </c>
      <c r="Z1804" s="1" t="s">
        <v>32</v>
      </c>
      <c r="AA1804" s="1" t="s">
        <v>33</v>
      </c>
      <c r="AB1804" s="36" t="str" cm="1">
        <f t="array" ref="AB1804">_xlfn.IFS(K1804&gt;650,"LOW",K1804&gt;=550,"MEDIUM",K1804&lt;550,"HIGH")</f>
        <v>HIGH</v>
      </c>
    </row>
    <row r="1805" spans="3:28" x14ac:dyDescent="0.3">
      <c r="C1805" s="35" t="s">
        <v>3160</v>
      </c>
      <c r="D1805" s="1" t="s">
        <v>1184</v>
      </c>
      <c r="E1805" s="1">
        <v>39</v>
      </c>
      <c r="F1805" s="1" t="s">
        <v>44</v>
      </c>
      <c r="G1805" s="1" t="s">
        <v>56</v>
      </c>
      <c r="H1805" s="1" t="s">
        <v>28</v>
      </c>
      <c r="I1805" s="1" t="s">
        <v>40</v>
      </c>
      <c r="J1805" s="7">
        <v>27526</v>
      </c>
      <c r="K1805" s="1">
        <v>358</v>
      </c>
      <c r="L1805" s="7">
        <v>5231</v>
      </c>
      <c r="M1805" s="1">
        <v>60</v>
      </c>
      <c r="N1805" s="6">
        <v>9.0899999999999995E-2</v>
      </c>
      <c r="O1805" s="1" t="s">
        <v>5</v>
      </c>
      <c r="P1805" s="1" t="s">
        <v>50</v>
      </c>
      <c r="Q1805" s="1">
        <v>10</v>
      </c>
      <c r="R1805" s="1">
        <v>3</v>
      </c>
      <c r="S1805" s="1" t="s">
        <v>31</v>
      </c>
      <c r="T1805" s="1" t="s">
        <v>33</v>
      </c>
      <c r="U1805" s="1">
        <v>3</v>
      </c>
      <c r="V1805" s="1">
        <v>645</v>
      </c>
      <c r="W1805" s="7">
        <v>1681.44</v>
      </c>
      <c r="X1805" s="1">
        <v>0.69</v>
      </c>
      <c r="Y1805" s="4">
        <v>45309</v>
      </c>
      <c r="Z1805" s="1" t="s">
        <v>38</v>
      </c>
      <c r="AA1805" s="1" t="s">
        <v>33</v>
      </c>
      <c r="AB1805" s="36" t="str" cm="1">
        <f t="array" ref="AB1805">_xlfn.IFS(K1805&gt;650,"LOW",K1805&gt;=550,"MEDIUM",K1805&lt;550,"HIGH")</f>
        <v>HIGH</v>
      </c>
    </row>
    <row r="1806" spans="3:28" x14ac:dyDescent="0.3">
      <c r="C1806" s="35" t="s">
        <v>3233</v>
      </c>
      <c r="D1806" s="1" t="s">
        <v>1257</v>
      </c>
      <c r="E1806" s="1">
        <v>31</v>
      </c>
      <c r="F1806" s="1" t="s">
        <v>26</v>
      </c>
      <c r="G1806" s="1" t="s">
        <v>27</v>
      </c>
      <c r="H1806" s="1" t="s">
        <v>28</v>
      </c>
      <c r="I1806" s="1" t="s">
        <v>40</v>
      </c>
      <c r="J1806" s="7">
        <v>97926</v>
      </c>
      <c r="K1806" s="1">
        <v>358</v>
      </c>
      <c r="L1806" s="7">
        <v>42368</v>
      </c>
      <c r="M1806" s="1">
        <v>36</v>
      </c>
      <c r="N1806" s="6">
        <v>0.1211</v>
      </c>
      <c r="O1806" s="1" t="s">
        <v>5</v>
      </c>
      <c r="P1806" s="1" t="s">
        <v>50</v>
      </c>
      <c r="Q1806" s="1">
        <v>11</v>
      </c>
      <c r="R1806" s="1">
        <v>3</v>
      </c>
      <c r="S1806" s="1" t="s">
        <v>33</v>
      </c>
      <c r="T1806" s="1" t="s">
        <v>31</v>
      </c>
      <c r="U1806" s="1">
        <v>4</v>
      </c>
      <c r="V1806" s="1">
        <v>152665</v>
      </c>
      <c r="W1806" s="7">
        <v>782.67</v>
      </c>
      <c r="X1806" s="1">
        <v>0.42</v>
      </c>
      <c r="Y1806" s="4">
        <v>44819</v>
      </c>
      <c r="Z1806" s="1" t="s">
        <v>32</v>
      </c>
      <c r="AA1806" s="1" t="s">
        <v>33</v>
      </c>
      <c r="AB1806" s="36" t="str" cm="1">
        <f t="array" ref="AB1806">_xlfn.IFS(K1806&gt;650,"LOW",K1806&gt;=550,"MEDIUM",K1806&lt;550,"HIGH")</f>
        <v>HIGH</v>
      </c>
    </row>
    <row r="1807" spans="3:28" x14ac:dyDescent="0.3">
      <c r="C1807" s="35" t="s">
        <v>3416</v>
      </c>
      <c r="D1807" s="1" t="s">
        <v>1436</v>
      </c>
      <c r="E1807" s="1">
        <v>46</v>
      </c>
      <c r="F1807" s="1" t="s">
        <v>26</v>
      </c>
      <c r="G1807" s="1" t="s">
        <v>56</v>
      </c>
      <c r="H1807" s="1" t="s">
        <v>36</v>
      </c>
      <c r="I1807" s="1" t="s">
        <v>57</v>
      </c>
      <c r="J1807" s="7">
        <v>123376</v>
      </c>
      <c r="K1807" s="1">
        <v>358</v>
      </c>
      <c r="L1807" s="7">
        <v>23745</v>
      </c>
      <c r="M1807" s="1">
        <v>60</v>
      </c>
      <c r="N1807" s="6">
        <v>7.1800000000000003E-2</v>
      </c>
      <c r="O1807" s="1" t="s">
        <v>37</v>
      </c>
      <c r="P1807" s="1" t="s">
        <v>30</v>
      </c>
      <c r="Q1807" s="1">
        <v>15</v>
      </c>
      <c r="R1807" s="1">
        <v>4</v>
      </c>
      <c r="S1807" s="1" t="s">
        <v>31</v>
      </c>
      <c r="T1807" s="1" t="s">
        <v>31</v>
      </c>
      <c r="U1807" s="1">
        <v>2</v>
      </c>
      <c r="V1807" s="1">
        <v>11367</v>
      </c>
      <c r="W1807" s="7">
        <v>1708.94</v>
      </c>
      <c r="X1807" s="1">
        <v>0.27</v>
      </c>
      <c r="Y1807" s="4">
        <v>44416</v>
      </c>
      <c r="Z1807" s="1" t="s">
        <v>32</v>
      </c>
      <c r="AA1807" s="1" t="s">
        <v>31</v>
      </c>
      <c r="AB1807" s="36" t="str" cm="1">
        <f t="array" ref="AB1807">_xlfn.IFS(K1807&gt;650,"LOW",K1807&gt;=550,"MEDIUM",K1807&lt;550,"HIGH")</f>
        <v>HIGH</v>
      </c>
    </row>
    <row r="1808" spans="3:28" x14ac:dyDescent="0.3">
      <c r="C1808" s="35" t="s">
        <v>3782</v>
      </c>
      <c r="D1808" s="1" t="s">
        <v>1789</v>
      </c>
      <c r="E1808" s="1">
        <v>59</v>
      </c>
      <c r="F1808" s="1" t="s">
        <v>26</v>
      </c>
      <c r="G1808" s="1" t="s">
        <v>35</v>
      </c>
      <c r="H1808" s="1" t="s">
        <v>54</v>
      </c>
      <c r="I1808" s="1" t="s">
        <v>57</v>
      </c>
      <c r="J1808" s="7">
        <v>66219</v>
      </c>
      <c r="K1808" s="1">
        <v>358</v>
      </c>
      <c r="L1808" s="7">
        <v>45397</v>
      </c>
      <c r="M1808" s="1">
        <v>24</v>
      </c>
      <c r="N1808" s="6">
        <v>0.12659999999999999</v>
      </c>
      <c r="O1808" s="1" t="s">
        <v>46</v>
      </c>
      <c r="P1808" s="1" t="s">
        <v>50</v>
      </c>
      <c r="Q1808" s="1">
        <v>4</v>
      </c>
      <c r="R1808" s="1">
        <v>4</v>
      </c>
      <c r="S1808" s="1" t="s">
        <v>33</v>
      </c>
      <c r="T1808" s="1" t="s">
        <v>33</v>
      </c>
      <c r="U1808" s="1">
        <v>0</v>
      </c>
      <c r="V1808" s="1">
        <v>45869</v>
      </c>
      <c r="W1808" s="7">
        <v>1616.18</v>
      </c>
      <c r="X1808" s="1">
        <v>0.88</v>
      </c>
      <c r="Y1808" s="4">
        <v>44793</v>
      </c>
      <c r="Z1808" s="1" t="s">
        <v>38</v>
      </c>
      <c r="AA1808" s="1" t="s">
        <v>33</v>
      </c>
      <c r="AB1808" s="36" t="str" cm="1">
        <f t="array" ref="AB1808">_xlfn.IFS(K1808&gt;650,"LOW",K1808&gt;=550,"MEDIUM",K1808&lt;550,"HIGH")</f>
        <v>HIGH</v>
      </c>
    </row>
    <row r="1809" spans="3:28" x14ac:dyDescent="0.3">
      <c r="C1809" s="35" t="s">
        <v>3855</v>
      </c>
      <c r="D1809" s="1" t="s">
        <v>1861</v>
      </c>
      <c r="E1809" s="1">
        <v>62</v>
      </c>
      <c r="F1809" s="1" t="s">
        <v>26</v>
      </c>
      <c r="G1809" s="1" t="s">
        <v>45</v>
      </c>
      <c r="H1809" s="1" t="s">
        <v>36</v>
      </c>
      <c r="I1809" s="1" t="s">
        <v>57</v>
      </c>
      <c r="J1809" s="7">
        <v>73413</v>
      </c>
      <c r="K1809" s="1">
        <v>358</v>
      </c>
      <c r="L1809" s="7">
        <v>28796</v>
      </c>
      <c r="M1809" s="1">
        <v>60</v>
      </c>
      <c r="N1809" s="6">
        <v>0.16420000000000001</v>
      </c>
      <c r="O1809" s="1" t="s">
        <v>46</v>
      </c>
      <c r="P1809" s="1" t="s">
        <v>50</v>
      </c>
      <c r="Q1809" s="1">
        <v>4</v>
      </c>
      <c r="R1809" s="1">
        <v>2</v>
      </c>
      <c r="S1809" s="1" t="s">
        <v>31</v>
      </c>
      <c r="T1809" s="1" t="s">
        <v>31</v>
      </c>
      <c r="U1809" s="1">
        <v>0</v>
      </c>
      <c r="V1809" s="1">
        <v>125955</v>
      </c>
      <c r="W1809" s="7">
        <v>469.78</v>
      </c>
      <c r="X1809" s="1">
        <v>0.7</v>
      </c>
      <c r="Y1809" s="4">
        <v>44615</v>
      </c>
      <c r="Z1809" s="1" t="s">
        <v>38</v>
      </c>
      <c r="AA1809" s="1" t="s">
        <v>33</v>
      </c>
      <c r="AB1809" s="36" t="str" cm="1">
        <f t="array" ref="AB1809">_xlfn.IFS(K1809&gt;650,"LOW",K1809&gt;=550,"MEDIUM",K1809&lt;550,"HIGH")</f>
        <v>HIGH</v>
      </c>
    </row>
    <row r="1810" spans="3:28" x14ac:dyDescent="0.3">
      <c r="C1810" s="35" t="s">
        <v>3864</v>
      </c>
      <c r="D1810" s="1" t="s">
        <v>1870</v>
      </c>
      <c r="E1810" s="1">
        <v>46</v>
      </c>
      <c r="F1810" s="1" t="s">
        <v>26</v>
      </c>
      <c r="G1810" s="1" t="s">
        <v>35</v>
      </c>
      <c r="H1810" s="1" t="s">
        <v>54</v>
      </c>
      <c r="I1810" s="1" t="s">
        <v>29</v>
      </c>
      <c r="J1810" s="7">
        <v>105435</v>
      </c>
      <c r="K1810" s="1">
        <v>358</v>
      </c>
      <c r="L1810" s="7">
        <v>29000</v>
      </c>
      <c r="M1810" s="1">
        <v>12</v>
      </c>
      <c r="N1810" s="6">
        <v>8.7599999999999997E-2</v>
      </c>
      <c r="O1810" s="1" t="s">
        <v>41</v>
      </c>
      <c r="P1810" s="1" t="s">
        <v>47</v>
      </c>
      <c r="Q1810" s="1">
        <v>16</v>
      </c>
      <c r="R1810" s="1">
        <v>2</v>
      </c>
      <c r="S1810" s="1" t="s">
        <v>33</v>
      </c>
      <c r="T1810" s="1" t="s">
        <v>31</v>
      </c>
      <c r="U1810" s="1">
        <v>0</v>
      </c>
      <c r="V1810" s="1">
        <v>171253</v>
      </c>
      <c r="W1810" s="7">
        <v>1383.52</v>
      </c>
      <c r="X1810" s="1">
        <v>0.11</v>
      </c>
      <c r="Y1810" s="4">
        <v>45684</v>
      </c>
      <c r="Z1810" s="1" t="s">
        <v>38</v>
      </c>
      <c r="AA1810" s="1" t="s">
        <v>33</v>
      </c>
      <c r="AB1810" s="36" t="str" cm="1">
        <f t="array" ref="AB1810">_xlfn.IFS(K1810&gt;650,"LOW",K1810&gt;=550,"MEDIUM",K1810&lt;550,"HIGH")</f>
        <v>HIGH</v>
      </c>
    </row>
    <row r="1811" spans="3:28" x14ac:dyDescent="0.3">
      <c r="C1811" s="35" t="s">
        <v>2678</v>
      </c>
      <c r="D1811" s="1" t="s">
        <v>708</v>
      </c>
      <c r="E1811" s="1">
        <v>56</v>
      </c>
      <c r="F1811" s="1" t="s">
        <v>26</v>
      </c>
      <c r="G1811" s="1" t="s">
        <v>35</v>
      </c>
      <c r="H1811" s="1" t="s">
        <v>61</v>
      </c>
      <c r="I1811" s="1" t="s">
        <v>29</v>
      </c>
      <c r="J1811" s="7">
        <v>35078</v>
      </c>
      <c r="K1811" s="1">
        <v>357</v>
      </c>
      <c r="L1811" s="7">
        <v>43800</v>
      </c>
      <c r="M1811" s="1">
        <v>48</v>
      </c>
      <c r="N1811" s="6">
        <v>0.11869999999999999</v>
      </c>
      <c r="O1811" s="1" t="s">
        <v>37</v>
      </c>
      <c r="P1811" s="1" t="s">
        <v>50</v>
      </c>
      <c r="Q1811" s="1">
        <v>24</v>
      </c>
      <c r="R1811" s="1">
        <v>2</v>
      </c>
      <c r="S1811" s="1" t="s">
        <v>33</v>
      </c>
      <c r="T1811" s="1" t="s">
        <v>33</v>
      </c>
      <c r="U1811" s="1">
        <v>2</v>
      </c>
      <c r="V1811" s="1">
        <v>69543</v>
      </c>
      <c r="W1811" s="7">
        <v>1307.27</v>
      </c>
      <c r="X1811" s="1">
        <v>0.38</v>
      </c>
      <c r="Y1811" s="4">
        <v>45565</v>
      </c>
      <c r="Z1811" s="1" t="s">
        <v>38</v>
      </c>
      <c r="AA1811" s="1" t="s">
        <v>33</v>
      </c>
      <c r="AB1811" s="36" t="str" cm="1">
        <f t="array" ref="AB1811">_xlfn.IFS(K1811&gt;650,"LOW",K1811&gt;=550,"MEDIUM",K1811&lt;550,"HIGH")</f>
        <v>HIGH</v>
      </c>
    </row>
    <row r="1812" spans="3:28" x14ac:dyDescent="0.3">
      <c r="C1812" s="35" t="s">
        <v>2133</v>
      </c>
      <c r="D1812" s="1" t="s">
        <v>164</v>
      </c>
      <c r="E1812" s="1">
        <v>44</v>
      </c>
      <c r="F1812" s="1" t="s">
        <v>44</v>
      </c>
      <c r="G1812" s="1" t="s">
        <v>27</v>
      </c>
      <c r="H1812" s="1" t="s">
        <v>28</v>
      </c>
      <c r="I1812" s="1" t="s">
        <v>40</v>
      </c>
      <c r="J1812" s="7">
        <v>52930</v>
      </c>
      <c r="K1812" s="1">
        <v>356</v>
      </c>
      <c r="L1812" s="7">
        <v>26568</v>
      </c>
      <c r="M1812" s="1">
        <v>60</v>
      </c>
      <c r="N1812" s="6">
        <v>0.1235</v>
      </c>
      <c r="O1812" s="1" t="s">
        <v>63</v>
      </c>
      <c r="P1812" s="1" t="s">
        <v>30</v>
      </c>
      <c r="Q1812" s="1">
        <v>13</v>
      </c>
      <c r="R1812" s="1">
        <v>2</v>
      </c>
      <c r="S1812" s="1" t="s">
        <v>33</v>
      </c>
      <c r="T1812" s="1" t="s">
        <v>33</v>
      </c>
      <c r="U1812" s="1">
        <v>1</v>
      </c>
      <c r="V1812" s="1">
        <v>13381</v>
      </c>
      <c r="W1812" s="7">
        <v>1421.92</v>
      </c>
      <c r="X1812" s="1">
        <v>0.13</v>
      </c>
      <c r="Y1812" s="4">
        <v>45087</v>
      </c>
      <c r="Z1812" s="1" t="s">
        <v>32</v>
      </c>
      <c r="AA1812" s="1" t="s">
        <v>33</v>
      </c>
      <c r="AB1812" s="36" t="str" cm="1">
        <f t="array" ref="AB1812">_xlfn.IFS(K1812&gt;650,"LOW",K1812&gt;=550,"MEDIUM",K1812&lt;550,"HIGH")</f>
        <v>HIGH</v>
      </c>
    </row>
    <row r="1813" spans="3:28" x14ac:dyDescent="0.3">
      <c r="C1813" s="35" t="s">
        <v>2184</v>
      </c>
      <c r="D1813" s="1" t="s">
        <v>215</v>
      </c>
      <c r="E1813" s="1">
        <v>31</v>
      </c>
      <c r="F1813" s="1" t="s">
        <v>44</v>
      </c>
      <c r="G1813" s="1" t="s">
        <v>35</v>
      </c>
      <c r="H1813" s="1" t="s">
        <v>36</v>
      </c>
      <c r="I1813" s="1" t="s">
        <v>29</v>
      </c>
      <c r="J1813" s="7">
        <v>27170</v>
      </c>
      <c r="K1813" s="1">
        <v>356</v>
      </c>
      <c r="L1813" s="7">
        <v>29020</v>
      </c>
      <c r="M1813" s="1">
        <v>36</v>
      </c>
      <c r="N1813" s="6">
        <v>6.83E-2</v>
      </c>
      <c r="O1813" s="1" t="s">
        <v>52</v>
      </c>
      <c r="P1813" s="1" t="s">
        <v>30</v>
      </c>
      <c r="Q1813" s="1">
        <v>26</v>
      </c>
      <c r="R1813" s="1">
        <v>2</v>
      </c>
      <c r="S1813" s="1" t="s">
        <v>33</v>
      </c>
      <c r="T1813" s="1" t="s">
        <v>31</v>
      </c>
      <c r="U1813" s="1">
        <v>3</v>
      </c>
      <c r="V1813" s="1">
        <v>23359</v>
      </c>
      <c r="W1813" s="7">
        <v>251.06</v>
      </c>
      <c r="X1813" s="1">
        <v>0.67</v>
      </c>
      <c r="Y1813" s="4">
        <v>45306</v>
      </c>
      <c r="Z1813" s="1" t="s">
        <v>38</v>
      </c>
      <c r="AA1813" s="1" t="s">
        <v>33</v>
      </c>
      <c r="AB1813" s="36" t="str" cm="1">
        <f t="array" ref="AB1813">_xlfn.IFS(K1813&gt;650,"LOW",K1813&gt;=550,"MEDIUM",K1813&lt;550,"HIGH")</f>
        <v>HIGH</v>
      </c>
    </row>
    <row r="1814" spans="3:28" x14ac:dyDescent="0.3">
      <c r="C1814" s="35" t="s">
        <v>2557</v>
      </c>
      <c r="D1814" s="1" t="s">
        <v>587</v>
      </c>
      <c r="E1814" s="1">
        <v>61</v>
      </c>
      <c r="F1814" s="1" t="s">
        <v>26</v>
      </c>
      <c r="G1814" s="1" t="s">
        <v>27</v>
      </c>
      <c r="H1814" s="1" t="s">
        <v>61</v>
      </c>
      <c r="I1814" s="1" t="s">
        <v>40</v>
      </c>
      <c r="J1814" s="7">
        <v>26073</v>
      </c>
      <c r="K1814" s="1">
        <v>356</v>
      </c>
      <c r="L1814" s="7">
        <v>14769</v>
      </c>
      <c r="M1814" s="1">
        <v>60</v>
      </c>
      <c r="N1814" s="6">
        <v>0.15289999999999998</v>
      </c>
      <c r="O1814" s="1" t="s">
        <v>46</v>
      </c>
      <c r="P1814" s="1" t="s">
        <v>47</v>
      </c>
      <c r="Q1814" s="1">
        <v>11</v>
      </c>
      <c r="R1814" s="1">
        <v>2</v>
      </c>
      <c r="S1814" s="1" t="s">
        <v>33</v>
      </c>
      <c r="T1814" s="1" t="s">
        <v>31</v>
      </c>
      <c r="U1814" s="1">
        <v>4</v>
      </c>
      <c r="V1814" s="1">
        <v>83290</v>
      </c>
      <c r="W1814" s="7">
        <v>576.97</v>
      </c>
      <c r="X1814" s="1">
        <v>0.97</v>
      </c>
      <c r="Y1814" s="4">
        <v>45138</v>
      </c>
      <c r="Z1814" s="1" t="s">
        <v>32</v>
      </c>
      <c r="AA1814" s="1" t="s">
        <v>33</v>
      </c>
      <c r="AB1814" s="36" t="str" cm="1">
        <f t="array" ref="AB1814">_xlfn.IFS(K1814&gt;650,"LOW",K1814&gt;=550,"MEDIUM",K1814&lt;550,"HIGH")</f>
        <v>HIGH</v>
      </c>
    </row>
    <row r="1815" spans="3:28" x14ac:dyDescent="0.3">
      <c r="C1815" s="35" t="s">
        <v>2883</v>
      </c>
      <c r="D1815" s="1" t="s">
        <v>911</v>
      </c>
      <c r="E1815" s="1">
        <v>64</v>
      </c>
      <c r="F1815" s="1" t="s">
        <v>44</v>
      </c>
      <c r="G1815" s="1" t="s">
        <v>35</v>
      </c>
      <c r="H1815" s="1" t="s">
        <v>61</v>
      </c>
      <c r="I1815" s="1" t="s">
        <v>40</v>
      </c>
      <c r="J1815" s="7">
        <v>90434</v>
      </c>
      <c r="K1815" s="1">
        <v>356</v>
      </c>
      <c r="L1815" s="7">
        <v>11412</v>
      </c>
      <c r="M1815" s="1">
        <v>24</v>
      </c>
      <c r="N1815" s="6">
        <v>6.2300000000000001E-2</v>
      </c>
      <c r="O1815" s="1" t="s">
        <v>37</v>
      </c>
      <c r="P1815" s="1" t="s">
        <v>30</v>
      </c>
      <c r="Q1815" s="1">
        <v>10</v>
      </c>
      <c r="R1815" s="1">
        <v>1</v>
      </c>
      <c r="S1815" s="1" t="s">
        <v>31</v>
      </c>
      <c r="T1815" s="1" t="s">
        <v>31</v>
      </c>
      <c r="U1815" s="1">
        <v>2</v>
      </c>
      <c r="V1815" s="1">
        <v>75191</v>
      </c>
      <c r="W1815" s="7">
        <v>744.72</v>
      </c>
      <c r="X1815" s="1">
        <v>0.7</v>
      </c>
      <c r="Y1815" s="4">
        <v>45590</v>
      </c>
      <c r="Z1815" s="1" t="s">
        <v>32</v>
      </c>
      <c r="AA1815" s="1" t="s">
        <v>33</v>
      </c>
      <c r="AB1815" s="36" t="str" cm="1">
        <f t="array" ref="AB1815">_xlfn.IFS(K1815&gt;650,"LOW",K1815&gt;=550,"MEDIUM",K1815&lt;550,"HIGH")</f>
        <v>HIGH</v>
      </c>
    </row>
    <row r="1816" spans="3:28" x14ac:dyDescent="0.3">
      <c r="C1816" s="35" t="s">
        <v>3960</v>
      </c>
      <c r="D1816" s="1" t="s">
        <v>1962</v>
      </c>
      <c r="E1816" s="1">
        <v>62</v>
      </c>
      <c r="F1816" s="1" t="s">
        <v>44</v>
      </c>
      <c r="G1816" s="1" t="s">
        <v>56</v>
      </c>
      <c r="H1816" s="1" t="s">
        <v>61</v>
      </c>
      <c r="I1816" s="1" t="s">
        <v>57</v>
      </c>
      <c r="J1816" s="7">
        <v>40607</v>
      </c>
      <c r="K1816" s="1">
        <v>356</v>
      </c>
      <c r="L1816" s="7">
        <v>38170</v>
      </c>
      <c r="M1816" s="1">
        <v>36</v>
      </c>
      <c r="N1816" s="6">
        <v>0.10210000000000001</v>
      </c>
      <c r="O1816" s="1" t="s">
        <v>37</v>
      </c>
      <c r="P1816" s="1" t="s">
        <v>47</v>
      </c>
      <c r="Q1816" s="1">
        <v>16</v>
      </c>
      <c r="R1816" s="1">
        <v>2</v>
      </c>
      <c r="S1816" s="1" t="s">
        <v>33</v>
      </c>
      <c r="T1816" s="1" t="s">
        <v>31</v>
      </c>
      <c r="U1816" s="1">
        <v>0</v>
      </c>
      <c r="V1816" s="1">
        <v>78167</v>
      </c>
      <c r="W1816" s="7">
        <v>1885.21</v>
      </c>
      <c r="X1816" s="1">
        <v>0.68</v>
      </c>
      <c r="Y1816" s="4">
        <v>45559</v>
      </c>
      <c r="Z1816" s="1" t="s">
        <v>38</v>
      </c>
      <c r="AA1816" s="1" t="s">
        <v>33</v>
      </c>
      <c r="AB1816" s="36" t="str" cm="1">
        <f t="array" ref="AB1816">_xlfn.IFS(K1816&gt;650,"LOW",K1816&gt;=550,"MEDIUM",K1816&lt;550,"HIGH")</f>
        <v>HIGH</v>
      </c>
    </row>
    <row r="1817" spans="3:28" x14ac:dyDescent="0.3">
      <c r="C1817" s="35" t="s">
        <v>2100</v>
      </c>
      <c r="D1817" s="1" t="s">
        <v>131</v>
      </c>
      <c r="E1817" s="1">
        <v>44</v>
      </c>
      <c r="F1817" s="1" t="s">
        <v>26</v>
      </c>
      <c r="G1817" s="1" t="s">
        <v>56</v>
      </c>
      <c r="H1817" s="1" t="s">
        <v>54</v>
      </c>
      <c r="I1817" s="1" t="s">
        <v>40</v>
      </c>
      <c r="J1817" s="7">
        <v>149392</v>
      </c>
      <c r="K1817" s="1">
        <v>355</v>
      </c>
      <c r="L1817" s="7">
        <v>9640</v>
      </c>
      <c r="M1817" s="1">
        <v>48</v>
      </c>
      <c r="N1817" s="6">
        <v>9.1899999999999996E-2</v>
      </c>
      <c r="O1817" s="1" t="s">
        <v>46</v>
      </c>
      <c r="P1817" s="1" t="s">
        <v>50</v>
      </c>
      <c r="Q1817" s="1">
        <v>17</v>
      </c>
      <c r="R1817" s="1">
        <v>1</v>
      </c>
      <c r="S1817" s="1" t="s">
        <v>33</v>
      </c>
      <c r="T1817" s="1" t="s">
        <v>31</v>
      </c>
      <c r="U1817" s="1">
        <v>4</v>
      </c>
      <c r="V1817" s="1">
        <v>66355</v>
      </c>
      <c r="W1817" s="7">
        <v>472.12</v>
      </c>
      <c r="X1817" s="1">
        <v>0.81</v>
      </c>
      <c r="Y1817" s="4">
        <v>45111</v>
      </c>
      <c r="Z1817" s="1" t="s">
        <v>32</v>
      </c>
      <c r="AA1817" s="1" t="s">
        <v>33</v>
      </c>
      <c r="AB1817" s="36" t="str" cm="1">
        <f t="array" ref="AB1817">_xlfn.IFS(K1817&gt;650,"LOW",K1817&gt;=550,"MEDIUM",K1817&lt;550,"HIGH")</f>
        <v>HIGH</v>
      </c>
    </row>
    <row r="1818" spans="3:28" x14ac:dyDescent="0.3">
      <c r="C1818" s="35" t="s">
        <v>2180</v>
      </c>
      <c r="D1818" s="1" t="s">
        <v>211</v>
      </c>
      <c r="E1818" s="1">
        <v>64</v>
      </c>
      <c r="F1818" s="1" t="s">
        <v>44</v>
      </c>
      <c r="G1818" s="1" t="s">
        <v>56</v>
      </c>
      <c r="H1818" s="1" t="s">
        <v>61</v>
      </c>
      <c r="I1818" s="1" t="s">
        <v>59</v>
      </c>
      <c r="J1818" s="7">
        <v>104146</v>
      </c>
      <c r="K1818" s="1">
        <v>355</v>
      </c>
      <c r="L1818" s="7">
        <v>4017</v>
      </c>
      <c r="M1818" s="1">
        <v>60</v>
      </c>
      <c r="N1818" s="6">
        <v>0.1193</v>
      </c>
      <c r="O1818" s="1" t="s">
        <v>5</v>
      </c>
      <c r="P1818" s="1" t="s">
        <v>30</v>
      </c>
      <c r="Q1818" s="1">
        <v>13</v>
      </c>
      <c r="R1818" s="1">
        <v>0</v>
      </c>
      <c r="S1818" s="1" t="s">
        <v>31</v>
      </c>
      <c r="T1818" s="1" t="s">
        <v>31</v>
      </c>
      <c r="U1818" s="1">
        <v>0</v>
      </c>
      <c r="V1818" s="1">
        <v>13410</v>
      </c>
      <c r="W1818" s="7">
        <v>1562.22</v>
      </c>
      <c r="X1818" s="1">
        <v>0.31</v>
      </c>
      <c r="Y1818" s="4">
        <v>45606</v>
      </c>
      <c r="Z1818" s="1" t="s">
        <v>32</v>
      </c>
      <c r="AA1818" s="1" t="s">
        <v>31</v>
      </c>
      <c r="AB1818" s="36" t="str" cm="1">
        <f t="array" ref="AB1818">_xlfn.IFS(K1818&gt;650,"LOW",K1818&gt;=550,"MEDIUM",K1818&lt;550,"HIGH")</f>
        <v>HIGH</v>
      </c>
    </row>
    <row r="1819" spans="3:28" x14ac:dyDescent="0.3">
      <c r="C1819" s="35" t="s">
        <v>2236</v>
      </c>
      <c r="D1819" s="1" t="s">
        <v>267</v>
      </c>
      <c r="E1819" s="1">
        <v>54</v>
      </c>
      <c r="F1819" s="1" t="s">
        <v>26</v>
      </c>
      <c r="G1819" s="1" t="s">
        <v>35</v>
      </c>
      <c r="H1819" s="1" t="s">
        <v>36</v>
      </c>
      <c r="I1819" s="1" t="s">
        <v>40</v>
      </c>
      <c r="J1819" s="7">
        <v>138972</v>
      </c>
      <c r="K1819" s="1">
        <v>355</v>
      </c>
      <c r="L1819" s="7">
        <v>32269</v>
      </c>
      <c r="M1819" s="1">
        <v>60</v>
      </c>
      <c r="N1819" s="6">
        <v>0.18840000000000001</v>
      </c>
      <c r="O1819" s="1" t="s">
        <v>37</v>
      </c>
      <c r="P1819" s="1" t="s">
        <v>47</v>
      </c>
      <c r="Q1819" s="1">
        <v>21</v>
      </c>
      <c r="R1819" s="1">
        <v>4</v>
      </c>
      <c r="S1819" s="1" t="s">
        <v>31</v>
      </c>
      <c r="T1819" s="1" t="s">
        <v>33</v>
      </c>
      <c r="U1819" s="1">
        <v>2</v>
      </c>
      <c r="V1819" s="1">
        <v>135141</v>
      </c>
      <c r="W1819" s="7">
        <v>450.5</v>
      </c>
      <c r="X1819" s="1">
        <v>0.84</v>
      </c>
      <c r="Y1819" s="4">
        <v>45217</v>
      </c>
      <c r="Z1819" s="1" t="s">
        <v>32</v>
      </c>
      <c r="AA1819" s="1" t="s">
        <v>33</v>
      </c>
      <c r="AB1819" s="36" t="str" cm="1">
        <f t="array" ref="AB1819">_xlfn.IFS(K1819&gt;650,"LOW",K1819&gt;=550,"MEDIUM",K1819&lt;550,"HIGH")</f>
        <v>HIGH</v>
      </c>
    </row>
    <row r="1820" spans="3:28" x14ac:dyDescent="0.3">
      <c r="C1820" s="35" t="s">
        <v>2691</v>
      </c>
      <c r="D1820" s="1" t="s">
        <v>721</v>
      </c>
      <c r="E1820" s="1">
        <v>25</v>
      </c>
      <c r="F1820" s="1" t="s">
        <v>44</v>
      </c>
      <c r="G1820" s="1" t="s">
        <v>45</v>
      </c>
      <c r="H1820" s="1" t="s">
        <v>36</v>
      </c>
      <c r="I1820" s="1" t="s">
        <v>57</v>
      </c>
      <c r="J1820" s="7">
        <v>101899</v>
      </c>
      <c r="K1820" s="1">
        <v>355</v>
      </c>
      <c r="L1820" s="7">
        <v>7929</v>
      </c>
      <c r="M1820" s="1">
        <v>36</v>
      </c>
      <c r="N1820" s="6">
        <v>0.1265</v>
      </c>
      <c r="O1820" s="1" t="s">
        <v>41</v>
      </c>
      <c r="P1820" s="1" t="s">
        <v>50</v>
      </c>
      <c r="Q1820" s="1">
        <v>2</v>
      </c>
      <c r="R1820" s="1">
        <v>0</v>
      </c>
      <c r="S1820" s="1" t="s">
        <v>33</v>
      </c>
      <c r="T1820" s="1" t="s">
        <v>33</v>
      </c>
      <c r="U1820" s="1">
        <v>0</v>
      </c>
      <c r="V1820" s="1">
        <v>110269</v>
      </c>
      <c r="W1820" s="7">
        <v>1744.47</v>
      </c>
      <c r="X1820" s="1">
        <v>0.7</v>
      </c>
      <c r="Y1820" s="4">
        <v>44350</v>
      </c>
      <c r="Z1820" s="1" t="s">
        <v>32</v>
      </c>
      <c r="AA1820" s="1" t="s">
        <v>33</v>
      </c>
      <c r="AB1820" s="36" t="str" cm="1">
        <f t="array" ref="AB1820">_xlfn.IFS(K1820&gt;650,"LOW",K1820&gt;=550,"MEDIUM",K1820&lt;550,"HIGH")</f>
        <v>HIGH</v>
      </c>
    </row>
    <row r="1821" spans="3:28" x14ac:dyDescent="0.3">
      <c r="C1821" s="35" t="s">
        <v>2867</v>
      </c>
      <c r="D1821" s="1" t="s">
        <v>895</v>
      </c>
      <c r="E1821" s="1">
        <v>64</v>
      </c>
      <c r="F1821" s="1" t="s">
        <v>44</v>
      </c>
      <c r="G1821" s="1" t="s">
        <v>27</v>
      </c>
      <c r="H1821" s="1" t="s">
        <v>28</v>
      </c>
      <c r="I1821" s="1" t="s">
        <v>57</v>
      </c>
      <c r="J1821" s="7">
        <v>131316</v>
      </c>
      <c r="K1821" s="1">
        <v>355</v>
      </c>
      <c r="L1821" s="7">
        <v>36690</v>
      </c>
      <c r="M1821" s="1">
        <v>48</v>
      </c>
      <c r="N1821" s="6">
        <v>8.4399999999999989E-2</v>
      </c>
      <c r="O1821" s="1" t="s">
        <v>46</v>
      </c>
      <c r="P1821" s="1" t="s">
        <v>30</v>
      </c>
      <c r="Q1821" s="1">
        <v>25</v>
      </c>
      <c r="R1821" s="1">
        <v>2</v>
      </c>
      <c r="S1821" s="1" t="s">
        <v>31</v>
      </c>
      <c r="T1821" s="1" t="s">
        <v>31</v>
      </c>
      <c r="U1821" s="1">
        <v>3</v>
      </c>
      <c r="V1821" s="1">
        <v>168405</v>
      </c>
      <c r="W1821" s="7">
        <v>124.63</v>
      </c>
      <c r="X1821" s="1">
        <v>0.78</v>
      </c>
      <c r="Y1821" s="4">
        <v>44942</v>
      </c>
      <c r="Z1821" s="1" t="s">
        <v>38</v>
      </c>
      <c r="AA1821" s="1" t="s">
        <v>33</v>
      </c>
      <c r="AB1821" s="36" t="str" cm="1">
        <f t="array" ref="AB1821">_xlfn.IFS(K1821&gt;650,"LOW",K1821&gt;=550,"MEDIUM",K1821&lt;550,"HIGH")</f>
        <v>HIGH</v>
      </c>
    </row>
    <row r="1822" spans="3:28" x14ac:dyDescent="0.3">
      <c r="C1822" s="35" t="s">
        <v>3216</v>
      </c>
      <c r="D1822" s="1" t="s">
        <v>1240</v>
      </c>
      <c r="E1822" s="1">
        <v>51</v>
      </c>
      <c r="F1822" s="1" t="s">
        <v>26</v>
      </c>
      <c r="G1822" s="1" t="s">
        <v>45</v>
      </c>
      <c r="H1822" s="1" t="s">
        <v>28</v>
      </c>
      <c r="I1822" s="1" t="s">
        <v>59</v>
      </c>
      <c r="J1822" s="7">
        <v>95536</v>
      </c>
      <c r="K1822" s="1">
        <v>355</v>
      </c>
      <c r="L1822" s="7">
        <v>18866</v>
      </c>
      <c r="M1822" s="1">
        <v>36</v>
      </c>
      <c r="N1822" s="6">
        <v>7.4099999999999999E-2</v>
      </c>
      <c r="O1822" s="1" t="s">
        <v>63</v>
      </c>
      <c r="P1822" s="1" t="s">
        <v>30</v>
      </c>
      <c r="Q1822" s="1">
        <v>29</v>
      </c>
      <c r="R1822" s="1">
        <v>0</v>
      </c>
      <c r="S1822" s="1" t="s">
        <v>33</v>
      </c>
      <c r="T1822" s="1" t="s">
        <v>31</v>
      </c>
      <c r="U1822" s="1">
        <v>3</v>
      </c>
      <c r="V1822" s="1">
        <v>75048</v>
      </c>
      <c r="W1822" s="7">
        <v>523.25</v>
      </c>
      <c r="X1822" s="1">
        <v>0.79</v>
      </c>
      <c r="Y1822" s="4">
        <v>44318</v>
      </c>
      <c r="Z1822" s="1" t="s">
        <v>38</v>
      </c>
      <c r="AA1822" s="1" t="s">
        <v>33</v>
      </c>
      <c r="AB1822" s="36" t="str" cm="1">
        <f t="array" ref="AB1822">_xlfn.IFS(K1822&gt;650,"LOW",K1822&gt;=550,"MEDIUM",K1822&lt;550,"HIGH")</f>
        <v>HIGH</v>
      </c>
    </row>
    <row r="1823" spans="3:28" x14ac:dyDescent="0.3">
      <c r="C1823" s="35" t="s">
        <v>3337</v>
      </c>
      <c r="D1823" s="1" t="s">
        <v>1359</v>
      </c>
      <c r="E1823" s="1">
        <v>37</v>
      </c>
      <c r="F1823" s="1" t="s">
        <v>26</v>
      </c>
      <c r="G1823" s="1" t="s">
        <v>56</v>
      </c>
      <c r="H1823" s="1" t="s">
        <v>36</v>
      </c>
      <c r="I1823" s="1" t="s">
        <v>29</v>
      </c>
      <c r="J1823" s="7">
        <v>97028</v>
      </c>
      <c r="K1823" s="1">
        <v>355</v>
      </c>
      <c r="L1823" s="7">
        <v>12226</v>
      </c>
      <c r="M1823" s="1">
        <v>12</v>
      </c>
      <c r="N1823" s="6">
        <v>6.6299999999999998E-2</v>
      </c>
      <c r="O1823" s="1" t="s">
        <v>5</v>
      </c>
      <c r="P1823" s="1" t="s">
        <v>50</v>
      </c>
      <c r="Q1823" s="1">
        <v>11</v>
      </c>
      <c r="R1823" s="1">
        <v>0</v>
      </c>
      <c r="S1823" s="1" t="s">
        <v>33</v>
      </c>
      <c r="T1823" s="1" t="s">
        <v>33</v>
      </c>
      <c r="U1823" s="1">
        <v>1</v>
      </c>
      <c r="V1823" s="1">
        <v>55746</v>
      </c>
      <c r="W1823" s="7">
        <v>108.54</v>
      </c>
      <c r="X1823" s="1">
        <v>0.76</v>
      </c>
      <c r="Y1823" s="4">
        <v>44273</v>
      </c>
      <c r="Z1823" s="1" t="s">
        <v>32</v>
      </c>
      <c r="AA1823" s="1" t="s">
        <v>33</v>
      </c>
      <c r="AB1823" s="36" t="str" cm="1">
        <f t="array" ref="AB1823">_xlfn.IFS(K1823&gt;650,"LOW",K1823&gt;=550,"MEDIUM",K1823&lt;550,"HIGH")</f>
        <v>HIGH</v>
      </c>
    </row>
    <row r="1824" spans="3:28" x14ac:dyDescent="0.3">
      <c r="C1824" s="35" t="s">
        <v>2537</v>
      </c>
      <c r="D1824" s="1" t="s">
        <v>567</v>
      </c>
      <c r="E1824" s="1">
        <v>52</v>
      </c>
      <c r="F1824" s="1" t="s">
        <v>26</v>
      </c>
      <c r="G1824" s="1" t="s">
        <v>56</v>
      </c>
      <c r="H1824" s="1" t="s">
        <v>54</v>
      </c>
      <c r="I1824" s="1" t="s">
        <v>29</v>
      </c>
      <c r="J1824" s="7">
        <v>82224</v>
      </c>
      <c r="K1824" s="1">
        <v>354</v>
      </c>
      <c r="L1824" s="7">
        <v>23829</v>
      </c>
      <c r="M1824" s="1">
        <v>36</v>
      </c>
      <c r="N1824" s="6">
        <v>0.14949999999999999</v>
      </c>
      <c r="O1824" s="1" t="s">
        <v>41</v>
      </c>
      <c r="P1824" s="1" t="s">
        <v>50</v>
      </c>
      <c r="Q1824" s="1">
        <v>2</v>
      </c>
      <c r="R1824" s="1">
        <v>3</v>
      </c>
      <c r="S1824" s="1" t="s">
        <v>31</v>
      </c>
      <c r="T1824" s="1" t="s">
        <v>31</v>
      </c>
      <c r="U1824" s="1">
        <v>1</v>
      </c>
      <c r="V1824" s="1">
        <v>48703</v>
      </c>
      <c r="W1824" s="7">
        <v>396.19</v>
      </c>
      <c r="X1824" s="1">
        <v>0.34</v>
      </c>
      <c r="Y1824" s="4">
        <v>45023</v>
      </c>
      <c r="Z1824" s="1" t="s">
        <v>32</v>
      </c>
      <c r="AA1824" s="1" t="s">
        <v>33</v>
      </c>
      <c r="AB1824" s="36" t="str" cm="1">
        <f t="array" ref="AB1824">_xlfn.IFS(K1824&gt;650,"LOW",K1824&gt;=550,"MEDIUM",K1824&lt;550,"HIGH")</f>
        <v>HIGH</v>
      </c>
    </row>
    <row r="1825" spans="3:28" x14ac:dyDescent="0.3">
      <c r="C1825" s="35" t="s">
        <v>3046</v>
      </c>
      <c r="D1825" s="1" t="s">
        <v>1073</v>
      </c>
      <c r="E1825" s="1">
        <v>53</v>
      </c>
      <c r="F1825" s="1" t="s">
        <v>44</v>
      </c>
      <c r="G1825" s="1" t="s">
        <v>56</v>
      </c>
      <c r="H1825" s="1" t="s">
        <v>28</v>
      </c>
      <c r="I1825" s="1" t="s">
        <v>59</v>
      </c>
      <c r="J1825" s="7">
        <v>72127</v>
      </c>
      <c r="K1825" s="1">
        <v>354</v>
      </c>
      <c r="L1825" s="7">
        <v>24608</v>
      </c>
      <c r="M1825" s="1">
        <v>36</v>
      </c>
      <c r="N1825" s="6">
        <v>6.8400000000000002E-2</v>
      </c>
      <c r="O1825" s="1" t="s">
        <v>46</v>
      </c>
      <c r="P1825" s="1" t="s">
        <v>47</v>
      </c>
      <c r="Q1825" s="1">
        <v>10</v>
      </c>
      <c r="R1825" s="1">
        <v>0</v>
      </c>
      <c r="S1825" s="1" t="s">
        <v>33</v>
      </c>
      <c r="T1825" s="1" t="s">
        <v>33</v>
      </c>
      <c r="U1825" s="1">
        <v>0</v>
      </c>
      <c r="V1825" s="1">
        <v>87051</v>
      </c>
      <c r="W1825" s="7">
        <v>1561.58</v>
      </c>
      <c r="X1825" s="1">
        <v>0.49</v>
      </c>
      <c r="Y1825" s="4">
        <v>44023</v>
      </c>
      <c r="Z1825" s="1" t="s">
        <v>32</v>
      </c>
      <c r="AA1825" s="1" t="s">
        <v>33</v>
      </c>
      <c r="AB1825" s="36" t="str" cm="1">
        <f t="array" ref="AB1825">_xlfn.IFS(K1825&gt;650,"LOW",K1825&gt;=550,"MEDIUM",K1825&lt;550,"HIGH")</f>
        <v>HIGH</v>
      </c>
    </row>
    <row r="1826" spans="3:28" x14ac:dyDescent="0.3">
      <c r="C1826" s="35" t="s">
        <v>3507</v>
      </c>
      <c r="D1826" s="1" t="s">
        <v>1524</v>
      </c>
      <c r="E1826" s="1">
        <v>33</v>
      </c>
      <c r="F1826" s="1" t="s">
        <v>26</v>
      </c>
      <c r="G1826" s="1" t="s">
        <v>45</v>
      </c>
      <c r="H1826" s="1" t="s">
        <v>61</v>
      </c>
      <c r="I1826" s="1" t="s">
        <v>57</v>
      </c>
      <c r="J1826" s="7">
        <v>131259</v>
      </c>
      <c r="K1826" s="1">
        <v>354</v>
      </c>
      <c r="L1826" s="7">
        <v>18533</v>
      </c>
      <c r="M1826" s="1">
        <v>36</v>
      </c>
      <c r="N1826" s="6">
        <v>5.9299999999999999E-2</v>
      </c>
      <c r="O1826" s="1" t="s">
        <v>5</v>
      </c>
      <c r="P1826" s="1" t="s">
        <v>50</v>
      </c>
      <c r="Q1826" s="1">
        <v>11</v>
      </c>
      <c r="R1826" s="1">
        <v>2</v>
      </c>
      <c r="S1826" s="1" t="s">
        <v>31</v>
      </c>
      <c r="T1826" s="1" t="s">
        <v>31</v>
      </c>
      <c r="U1826" s="1">
        <v>2</v>
      </c>
      <c r="V1826" s="1">
        <v>20931</v>
      </c>
      <c r="W1826" s="7">
        <v>1759.89</v>
      </c>
      <c r="X1826" s="1">
        <v>0.28999999999999998</v>
      </c>
      <c r="Y1826" s="4">
        <v>44672</v>
      </c>
      <c r="Z1826" s="1" t="s">
        <v>38</v>
      </c>
      <c r="AA1826" s="1" t="s">
        <v>33</v>
      </c>
      <c r="AB1826" s="36" t="str" cm="1">
        <f t="array" ref="AB1826">_xlfn.IFS(K1826&gt;650,"LOW",K1826&gt;=550,"MEDIUM",K1826&lt;550,"HIGH")</f>
        <v>HIGH</v>
      </c>
    </row>
    <row r="1827" spans="3:28" x14ac:dyDescent="0.3">
      <c r="C1827" s="35" t="s">
        <v>3573</v>
      </c>
      <c r="D1827" s="1" t="s">
        <v>1590</v>
      </c>
      <c r="E1827" s="1">
        <v>63</v>
      </c>
      <c r="F1827" s="1" t="s">
        <v>44</v>
      </c>
      <c r="G1827" s="1" t="s">
        <v>35</v>
      </c>
      <c r="H1827" s="1" t="s">
        <v>54</v>
      </c>
      <c r="I1827" s="1" t="s">
        <v>57</v>
      </c>
      <c r="J1827" s="7">
        <v>58346</v>
      </c>
      <c r="K1827" s="1">
        <v>354</v>
      </c>
      <c r="L1827" s="7">
        <v>38594</v>
      </c>
      <c r="M1827" s="1">
        <v>36</v>
      </c>
      <c r="N1827" s="6">
        <v>0.14330000000000001</v>
      </c>
      <c r="O1827" s="1" t="s">
        <v>63</v>
      </c>
      <c r="P1827" s="1" t="s">
        <v>47</v>
      </c>
      <c r="Q1827" s="1">
        <v>17</v>
      </c>
      <c r="R1827" s="1">
        <v>4</v>
      </c>
      <c r="S1827" s="1" t="s">
        <v>33</v>
      </c>
      <c r="T1827" s="1" t="s">
        <v>31</v>
      </c>
      <c r="U1827" s="1">
        <v>0</v>
      </c>
      <c r="V1827" s="1">
        <v>101810</v>
      </c>
      <c r="W1827" s="7">
        <v>1035.6600000000001</v>
      </c>
      <c r="X1827" s="1">
        <v>0.78</v>
      </c>
      <c r="Y1827" s="4">
        <v>45825</v>
      </c>
      <c r="Z1827" s="1" t="s">
        <v>32</v>
      </c>
      <c r="AA1827" s="1" t="s">
        <v>33</v>
      </c>
      <c r="AB1827" s="36" t="str" cm="1">
        <f t="array" ref="AB1827">_xlfn.IFS(K1827&gt;650,"LOW",K1827&gt;=550,"MEDIUM",K1827&lt;550,"HIGH")</f>
        <v>HIGH</v>
      </c>
    </row>
    <row r="1828" spans="3:28" x14ac:dyDescent="0.3">
      <c r="C1828" s="35" t="s">
        <v>2359</v>
      </c>
      <c r="D1828" s="1" t="s">
        <v>241</v>
      </c>
      <c r="E1828" s="1">
        <v>62</v>
      </c>
      <c r="F1828" s="1" t="s">
        <v>44</v>
      </c>
      <c r="G1828" s="1" t="s">
        <v>56</v>
      </c>
      <c r="H1828" s="1" t="s">
        <v>28</v>
      </c>
      <c r="I1828" s="1" t="s">
        <v>29</v>
      </c>
      <c r="J1828" s="7">
        <v>86262</v>
      </c>
      <c r="K1828" s="1">
        <v>353</v>
      </c>
      <c r="L1828" s="7">
        <v>9437</v>
      </c>
      <c r="M1828" s="1">
        <v>48</v>
      </c>
      <c r="N1828" s="6">
        <v>5.9000000000000004E-2</v>
      </c>
      <c r="O1828" s="1" t="s">
        <v>41</v>
      </c>
      <c r="P1828" s="1" t="s">
        <v>30</v>
      </c>
      <c r="Q1828" s="1">
        <v>17</v>
      </c>
      <c r="R1828" s="1">
        <v>1</v>
      </c>
      <c r="S1828" s="1" t="s">
        <v>33</v>
      </c>
      <c r="T1828" s="1" t="s">
        <v>33</v>
      </c>
      <c r="U1828" s="1">
        <v>1</v>
      </c>
      <c r="V1828" s="1">
        <v>57564</v>
      </c>
      <c r="W1828" s="7">
        <v>942.67</v>
      </c>
      <c r="X1828" s="1">
        <v>0.11</v>
      </c>
      <c r="Y1828" s="4">
        <v>44064</v>
      </c>
      <c r="Z1828" s="1" t="s">
        <v>32</v>
      </c>
      <c r="AA1828" s="1" t="s">
        <v>31</v>
      </c>
      <c r="AB1828" s="36" t="str" cm="1">
        <f t="array" ref="AB1828">_xlfn.IFS(K1828&gt;650,"LOW",K1828&gt;=550,"MEDIUM",K1828&lt;550,"HIGH")</f>
        <v>HIGH</v>
      </c>
    </row>
    <row r="1829" spans="3:28" x14ac:dyDescent="0.3">
      <c r="C1829" s="35" t="s">
        <v>2673</v>
      </c>
      <c r="D1829" s="1" t="s">
        <v>703</v>
      </c>
      <c r="E1829" s="1">
        <v>28</v>
      </c>
      <c r="F1829" s="1" t="s">
        <v>26</v>
      </c>
      <c r="G1829" s="1" t="s">
        <v>45</v>
      </c>
      <c r="H1829" s="1" t="s">
        <v>28</v>
      </c>
      <c r="I1829" s="1" t="s">
        <v>59</v>
      </c>
      <c r="J1829" s="7">
        <v>81869</v>
      </c>
      <c r="K1829" s="1">
        <v>353</v>
      </c>
      <c r="L1829" s="7">
        <v>38823</v>
      </c>
      <c r="M1829" s="1">
        <v>48</v>
      </c>
      <c r="N1829" s="6">
        <v>0.16789999999999999</v>
      </c>
      <c r="O1829" s="1" t="s">
        <v>63</v>
      </c>
      <c r="P1829" s="1" t="s">
        <v>47</v>
      </c>
      <c r="Q1829" s="1">
        <v>10</v>
      </c>
      <c r="R1829" s="1">
        <v>0</v>
      </c>
      <c r="S1829" s="1" t="s">
        <v>31</v>
      </c>
      <c r="T1829" s="1" t="s">
        <v>31</v>
      </c>
      <c r="U1829" s="1">
        <v>0</v>
      </c>
      <c r="V1829" s="1">
        <v>152382</v>
      </c>
      <c r="W1829" s="7">
        <v>1171.81</v>
      </c>
      <c r="X1829" s="1">
        <v>0.19</v>
      </c>
      <c r="Y1829" s="4">
        <v>44173</v>
      </c>
      <c r="Z1829" s="1" t="s">
        <v>32</v>
      </c>
      <c r="AA1829" s="1" t="s">
        <v>31</v>
      </c>
      <c r="AB1829" s="36" t="str" cm="1">
        <f t="array" ref="AB1829">_xlfn.IFS(K1829&gt;650,"LOW",K1829&gt;=550,"MEDIUM",K1829&lt;550,"HIGH")</f>
        <v>HIGH</v>
      </c>
    </row>
    <row r="1830" spans="3:28" x14ac:dyDescent="0.3">
      <c r="C1830" s="35" t="s">
        <v>3791</v>
      </c>
      <c r="D1830" s="1" t="s">
        <v>1797</v>
      </c>
      <c r="E1830" s="1">
        <v>27</v>
      </c>
      <c r="F1830" s="1" t="s">
        <v>26</v>
      </c>
      <c r="G1830" s="1" t="s">
        <v>56</v>
      </c>
      <c r="H1830" s="1" t="s">
        <v>61</v>
      </c>
      <c r="I1830" s="1" t="s">
        <v>59</v>
      </c>
      <c r="J1830" s="7">
        <v>78008</v>
      </c>
      <c r="K1830" s="1">
        <v>353</v>
      </c>
      <c r="L1830" s="7">
        <v>28430</v>
      </c>
      <c r="M1830" s="1">
        <v>48</v>
      </c>
      <c r="N1830" s="6">
        <v>6.5299999999999997E-2</v>
      </c>
      <c r="O1830" s="1" t="s">
        <v>46</v>
      </c>
      <c r="P1830" s="1" t="s">
        <v>50</v>
      </c>
      <c r="Q1830" s="1">
        <v>12</v>
      </c>
      <c r="R1830" s="1">
        <v>0</v>
      </c>
      <c r="S1830" s="1" t="s">
        <v>31</v>
      </c>
      <c r="T1830" s="1" t="s">
        <v>33</v>
      </c>
      <c r="U1830" s="1">
        <v>0</v>
      </c>
      <c r="V1830" s="1">
        <v>24811</v>
      </c>
      <c r="W1830" s="7">
        <v>693.81</v>
      </c>
      <c r="X1830" s="1">
        <v>0.77</v>
      </c>
      <c r="Y1830" s="4">
        <v>45767</v>
      </c>
      <c r="Z1830" s="1" t="s">
        <v>32</v>
      </c>
      <c r="AA1830" s="1" t="s">
        <v>31</v>
      </c>
      <c r="AB1830" s="36" t="str" cm="1">
        <f t="array" ref="AB1830">_xlfn.IFS(K1830&gt;650,"LOW",K1830&gt;=550,"MEDIUM",K1830&lt;550,"HIGH")</f>
        <v>HIGH</v>
      </c>
    </row>
    <row r="1831" spans="3:28" x14ac:dyDescent="0.3">
      <c r="C1831" s="35" t="s">
        <v>2375</v>
      </c>
      <c r="D1831" s="1" t="s">
        <v>405</v>
      </c>
      <c r="E1831" s="1">
        <v>29</v>
      </c>
      <c r="F1831" s="1" t="s">
        <v>26</v>
      </c>
      <c r="G1831" s="1" t="s">
        <v>35</v>
      </c>
      <c r="H1831" s="1" t="s">
        <v>36</v>
      </c>
      <c r="I1831" s="1" t="s">
        <v>59</v>
      </c>
      <c r="J1831" s="7">
        <v>127648</v>
      </c>
      <c r="K1831" s="1">
        <v>352</v>
      </c>
      <c r="L1831" s="7">
        <v>26230</v>
      </c>
      <c r="M1831" s="1">
        <v>60</v>
      </c>
      <c r="N1831" s="6">
        <v>0.18940000000000001</v>
      </c>
      <c r="O1831" s="1" t="s">
        <v>46</v>
      </c>
      <c r="P1831" s="1" t="s">
        <v>30</v>
      </c>
      <c r="Q1831" s="1">
        <v>19</v>
      </c>
      <c r="R1831" s="1">
        <v>0</v>
      </c>
      <c r="S1831" s="1" t="s">
        <v>31</v>
      </c>
      <c r="T1831" s="1" t="s">
        <v>33</v>
      </c>
      <c r="U1831" s="1">
        <v>4</v>
      </c>
      <c r="V1831" s="1">
        <v>13515</v>
      </c>
      <c r="W1831" s="7">
        <v>1001.16</v>
      </c>
      <c r="X1831" s="1">
        <v>0.2</v>
      </c>
      <c r="Y1831" s="4">
        <v>45550</v>
      </c>
      <c r="Z1831" s="1" t="s">
        <v>38</v>
      </c>
      <c r="AA1831" s="1" t="s">
        <v>33</v>
      </c>
      <c r="AB1831" s="36" t="str" cm="1">
        <f t="array" ref="AB1831">_xlfn.IFS(K1831&gt;650,"LOW",K1831&gt;=550,"MEDIUM",K1831&lt;550,"HIGH")</f>
        <v>HIGH</v>
      </c>
    </row>
    <row r="1832" spans="3:28" x14ac:dyDescent="0.3">
      <c r="C1832" s="35" t="s">
        <v>2467</v>
      </c>
      <c r="D1832" s="1" t="s">
        <v>497</v>
      </c>
      <c r="E1832" s="1">
        <v>50</v>
      </c>
      <c r="F1832" s="1" t="s">
        <v>26</v>
      </c>
      <c r="G1832" s="1" t="s">
        <v>45</v>
      </c>
      <c r="H1832" s="1" t="s">
        <v>54</v>
      </c>
      <c r="I1832" s="1" t="s">
        <v>40</v>
      </c>
      <c r="J1832" s="7">
        <v>48930</v>
      </c>
      <c r="K1832" s="1">
        <v>352</v>
      </c>
      <c r="L1832" s="7">
        <v>19886</v>
      </c>
      <c r="M1832" s="1">
        <v>24</v>
      </c>
      <c r="N1832" s="6">
        <v>0.16800000000000001</v>
      </c>
      <c r="O1832" s="1" t="s">
        <v>5</v>
      </c>
      <c r="P1832" s="1" t="s">
        <v>50</v>
      </c>
      <c r="Q1832" s="1">
        <v>8</v>
      </c>
      <c r="R1832" s="1">
        <v>4</v>
      </c>
      <c r="S1832" s="1" t="s">
        <v>33</v>
      </c>
      <c r="T1832" s="1" t="s">
        <v>33</v>
      </c>
      <c r="U1832" s="1">
        <v>3</v>
      </c>
      <c r="V1832" s="1">
        <v>95360</v>
      </c>
      <c r="W1832" s="7">
        <v>1798.56</v>
      </c>
      <c r="X1832" s="1">
        <v>0.4</v>
      </c>
      <c r="Y1832" s="4">
        <v>44058</v>
      </c>
      <c r="Z1832" s="1" t="s">
        <v>38</v>
      </c>
      <c r="AA1832" s="1" t="s">
        <v>33</v>
      </c>
      <c r="AB1832" s="36" t="str" cm="1">
        <f t="array" ref="AB1832">_xlfn.IFS(K1832&gt;650,"LOW",K1832&gt;=550,"MEDIUM",K1832&lt;550,"HIGH")</f>
        <v>HIGH</v>
      </c>
    </row>
    <row r="1833" spans="3:28" x14ac:dyDescent="0.3">
      <c r="C1833" s="35" t="s">
        <v>2671</v>
      </c>
      <c r="D1833" s="1" t="s">
        <v>701</v>
      </c>
      <c r="E1833" s="1">
        <v>56</v>
      </c>
      <c r="F1833" s="1" t="s">
        <v>44</v>
      </c>
      <c r="G1833" s="1" t="s">
        <v>35</v>
      </c>
      <c r="H1833" s="1" t="s">
        <v>61</v>
      </c>
      <c r="I1833" s="1" t="s">
        <v>40</v>
      </c>
      <c r="J1833" s="7">
        <v>147037</v>
      </c>
      <c r="K1833" s="1">
        <v>352</v>
      </c>
      <c r="L1833" s="7">
        <v>44372</v>
      </c>
      <c r="M1833" s="1">
        <v>24</v>
      </c>
      <c r="N1833" s="6">
        <v>5.7300000000000004E-2</v>
      </c>
      <c r="O1833" s="1" t="s">
        <v>46</v>
      </c>
      <c r="P1833" s="1" t="s">
        <v>50</v>
      </c>
      <c r="Q1833" s="1">
        <v>7</v>
      </c>
      <c r="R1833" s="1">
        <v>3</v>
      </c>
      <c r="S1833" s="1" t="s">
        <v>33</v>
      </c>
      <c r="T1833" s="1" t="s">
        <v>33</v>
      </c>
      <c r="U1833" s="1">
        <v>4</v>
      </c>
      <c r="V1833" s="1">
        <v>96383</v>
      </c>
      <c r="W1833" s="7">
        <v>670.86</v>
      </c>
      <c r="X1833" s="1">
        <v>0.4</v>
      </c>
      <c r="Y1833" s="4">
        <v>44372</v>
      </c>
      <c r="Z1833" s="1" t="s">
        <v>32</v>
      </c>
      <c r="AA1833" s="1" t="s">
        <v>33</v>
      </c>
      <c r="AB1833" s="36" t="str" cm="1">
        <f t="array" ref="AB1833">_xlfn.IFS(K1833&gt;650,"LOW",K1833&gt;=550,"MEDIUM",K1833&lt;550,"HIGH")</f>
        <v>HIGH</v>
      </c>
    </row>
    <row r="1834" spans="3:28" x14ac:dyDescent="0.3">
      <c r="C1834" s="35" t="s">
        <v>3304</v>
      </c>
      <c r="D1834" s="1" t="s">
        <v>1327</v>
      </c>
      <c r="E1834" s="1">
        <v>22</v>
      </c>
      <c r="F1834" s="1" t="s">
        <v>44</v>
      </c>
      <c r="G1834" s="1" t="s">
        <v>35</v>
      </c>
      <c r="H1834" s="1" t="s">
        <v>28</v>
      </c>
      <c r="I1834" s="1" t="s">
        <v>57</v>
      </c>
      <c r="J1834" s="7">
        <v>75698</v>
      </c>
      <c r="K1834" s="1">
        <v>352</v>
      </c>
      <c r="L1834" s="7">
        <v>20703</v>
      </c>
      <c r="M1834" s="1">
        <v>24</v>
      </c>
      <c r="N1834" s="6">
        <v>7.3899999999999993E-2</v>
      </c>
      <c r="O1834" s="1" t="s">
        <v>52</v>
      </c>
      <c r="P1834" s="1" t="s">
        <v>47</v>
      </c>
      <c r="Q1834" s="1">
        <v>7</v>
      </c>
      <c r="R1834" s="1">
        <v>4</v>
      </c>
      <c r="S1834" s="1" t="s">
        <v>31</v>
      </c>
      <c r="T1834" s="1" t="s">
        <v>31</v>
      </c>
      <c r="U1834" s="1">
        <v>3</v>
      </c>
      <c r="V1834" s="1">
        <v>2387</v>
      </c>
      <c r="W1834" s="7">
        <v>634.69000000000005</v>
      </c>
      <c r="X1834" s="1">
        <v>0.93</v>
      </c>
      <c r="Y1834" s="4">
        <v>45527</v>
      </c>
      <c r="Z1834" s="1" t="s">
        <v>38</v>
      </c>
      <c r="AA1834" s="1" t="s">
        <v>33</v>
      </c>
      <c r="AB1834" s="36" t="str" cm="1">
        <f t="array" ref="AB1834">_xlfn.IFS(K1834&gt;650,"LOW",K1834&gt;=550,"MEDIUM",K1834&lt;550,"HIGH")</f>
        <v>HIGH</v>
      </c>
    </row>
    <row r="1835" spans="3:28" x14ac:dyDescent="0.3">
      <c r="C1835" s="35" t="s">
        <v>2084</v>
      </c>
      <c r="D1835" s="1" t="s">
        <v>115</v>
      </c>
      <c r="E1835" s="1">
        <v>38</v>
      </c>
      <c r="F1835" s="1" t="s">
        <v>44</v>
      </c>
      <c r="G1835" s="1" t="s">
        <v>45</v>
      </c>
      <c r="H1835" s="1" t="s">
        <v>61</v>
      </c>
      <c r="I1835" s="1" t="s">
        <v>29</v>
      </c>
      <c r="J1835" s="7">
        <v>140364</v>
      </c>
      <c r="K1835" s="1">
        <v>351</v>
      </c>
      <c r="L1835" s="7">
        <v>4822</v>
      </c>
      <c r="M1835" s="1">
        <v>48</v>
      </c>
      <c r="N1835" s="6">
        <v>0.16370000000000001</v>
      </c>
      <c r="O1835" s="1" t="s">
        <v>37</v>
      </c>
      <c r="P1835" s="1" t="s">
        <v>30</v>
      </c>
      <c r="Q1835" s="1">
        <v>4</v>
      </c>
      <c r="R1835" s="1">
        <v>2</v>
      </c>
      <c r="S1835" s="1" t="s">
        <v>33</v>
      </c>
      <c r="T1835" s="1" t="s">
        <v>33</v>
      </c>
      <c r="U1835" s="1">
        <v>0</v>
      </c>
      <c r="V1835" s="1">
        <v>64853</v>
      </c>
      <c r="W1835" s="7">
        <v>995.79</v>
      </c>
      <c r="X1835" s="1">
        <v>0.66</v>
      </c>
      <c r="Y1835" s="4">
        <v>45058</v>
      </c>
      <c r="Z1835" s="1" t="s">
        <v>38</v>
      </c>
      <c r="AA1835" s="1" t="s">
        <v>33</v>
      </c>
      <c r="AB1835" s="36" t="str" cm="1">
        <f t="array" ref="AB1835">_xlfn.IFS(K1835&gt;650,"LOW",K1835&gt;=550,"MEDIUM",K1835&lt;550,"HIGH")</f>
        <v>HIGH</v>
      </c>
    </row>
    <row r="1836" spans="3:28" x14ac:dyDescent="0.3">
      <c r="C1836" s="35" t="s">
        <v>2576</v>
      </c>
      <c r="D1836" s="1" t="s">
        <v>606</v>
      </c>
      <c r="E1836" s="1">
        <v>62</v>
      </c>
      <c r="F1836" s="1" t="s">
        <v>44</v>
      </c>
      <c r="G1836" s="1" t="s">
        <v>56</v>
      </c>
      <c r="H1836" s="1" t="s">
        <v>28</v>
      </c>
      <c r="I1836" s="1" t="s">
        <v>59</v>
      </c>
      <c r="J1836" s="7">
        <v>50562</v>
      </c>
      <c r="K1836" s="1">
        <v>351</v>
      </c>
      <c r="L1836" s="7">
        <v>36886</v>
      </c>
      <c r="M1836" s="1">
        <v>48</v>
      </c>
      <c r="N1836" s="6">
        <v>0.18739999999999998</v>
      </c>
      <c r="O1836" s="1" t="s">
        <v>63</v>
      </c>
      <c r="P1836" s="1" t="s">
        <v>47</v>
      </c>
      <c r="Q1836" s="1">
        <v>11</v>
      </c>
      <c r="R1836" s="1">
        <v>3</v>
      </c>
      <c r="S1836" s="1" t="s">
        <v>33</v>
      </c>
      <c r="T1836" s="1" t="s">
        <v>33</v>
      </c>
      <c r="U1836" s="1">
        <v>0</v>
      </c>
      <c r="V1836" s="1">
        <v>172345</v>
      </c>
      <c r="W1836" s="7">
        <v>1634.69</v>
      </c>
      <c r="X1836" s="1">
        <v>0.48</v>
      </c>
      <c r="Y1836" s="4">
        <v>44308</v>
      </c>
      <c r="Z1836" s="1" t="s">
        <v>32</v>
      </c>
      <c r="AA1836" s="1" t="s">
        <v>33</v>
      </c>
      <c r="AB1836" s="36" t="str" cm="1">
        <f t="array" ref="AB1836">_xlfn.IFS(K1836&gt;650,"LOW",K1836&gt;=550,"MEDIUM",K1836&lt;550,"HIGH")</f>
        <v>HIGH</v>
      </c>
    </row>
    <row r="1837" spans="3:28" x14ac:dyDescent="0.3">
      <c r="C1837" s="35" t="s">
        <v>2660</v>
      </c>
      <c r="D1837" s="1" t="s">
        <v>690</v>
      </c>
      <c r="E1837" s="1">
        <v>32</v>
      </c>
      <c r="F1837" s="1" t="s">
        <v>44</v>
      </c>
      <c r="G1837" s="1" t="s">
        <v>35</v>
      </c>
      <c r="H1837" s="1" t="s">
        <v>61</v>
      </c>
      <c r="I1837" s="1" t="s">
        <v>57</v>
      </c>
      <c r="J1837" s="7">
        <v>54929</v>
      </c>
      <c r="K1837" s="1">
        <v>351</v>
      </c>
      <c r="L1837" s="7">
        <v>23725</v>
      </c>
      <c r="M1837" s="1">
        <v>48</v>
      </c>
      <c r="N1837" s="6">
        <v>9.4499999999999987E-2</v>
      </c>
      <c r="O1837" s="1" t="s">
        <v>5</v>
      </c>
      <c r="P1837" s="1" t="s">
        <v>50</v>
      </c>
      <c r="Q1837" s="1">
        <v>24</v>
      </c>
      <c r="R1837" s="1">
        <v>3</v>
      </c>
      <c r="S1837" s="1" t="s">
        <v>31</v>
      </c>
      <c r="T1837" s="1" t="s">
        <v>31</v>
      </c>
      <c r="U1837" s="1">
        <v>4</v>
      </c>
      <c r="V1837" s="1">
        <v>32676</v>
      </c>
      <c r="W1837" s="7">
        <v>1024.3499999999999</v>
      </c>
      <c r="X1837" s="1">
        <v>0.54</v>
      </c>
      <c r="Y1837" s="4">
        <v>44485</v>
      </c>
      <c r="Z1837" s="1" t="s">
        <v>38</v>
      </c>
      <c r="AA1837" s="1" t="s">
        <v>33</v>
      </c>
      <c r="AB1837" s="36" t="str" cm="1">
        <f t="array" ref="AB1837">_xlfn.IFS(K1837&gt;650,"LOW",K1837&gt;=550,"MEDIUM",K1837&lt;550,"HIGH")</f>
        <v>HIGH</v>
      </c>
    </row>
    <row r="1838" spans="3:28" x14ac:dyDescent="0.3">
      <c r="C1838" s="35" t="s">
        <v>2989</v>
      </c>
      <c r="D1838" s="1" t="s">
        <v>1016</v>
      </c>
      <c r="E1838" s="1">
        <v>50</v>
      </c>
      <c r="F1838" s="1" t="s">
        <v>26</v>
      </c>
      <c r="G1838" s="1" t="s">
        <v>27</v>
      </c>
      <c r="H1838" s="1" t="s">
        <v>54</v>
      </c>
      <c r="I1838" s="1" t="s">
        <v>40</v>
      </c>
      <c r="J1838" s="7">
        <v>82119</v>
      </c>
      <c r="K1838" s="1">
        <v>351</v>
      </c>
      <c r="L1838" s="7">
        <v>34637</v>
      </c>
      <c r="M1838" s="1">
        <v>12</v>
      </c>
      <c r="N1838" s="6">
        <v>0.1321</v>
      </c>
      <c r="O1838" s="1" t="s">
        <v>52</v>
      </c>
      <c r="P1838" s="1" t="s">
        <v>30</v>
      </c>
      <c r="Q1838" s="1">
        <v>25</v>
      </c>
      <c r="R1838" s="1">
        <v>0</v>
      </c>
      <c r="S1838" s="1" t="s">
        <v>31</v>
      </c>
      <c r="T1838" s="1" t="s">
        <v>31</v>
      </c>
      <c r="U1838" s="1">
        <v>1</v>
      </c>
      <c r="V1838" s="1">
        <v>27151</v>
      </c>
      <c r="W1838" s="7">
        <v>399.09</v>
      </c>
      <c r="X1838" s="1">
        <v>0.51</v>
      </c>
      <c r="Y1838" s="4">
        <v>45698</v>
      </c>
      <c r="Z1838" s="1" t="s">
        <v>32</v>
      </c>
      <c r="AA1838" s="1" t="s">
        <v>33</v>
      </c>
      <c r="AB1838" s="36" t="str" cm="1">
        <f t="array" ref="AB1838">_xlfn.IFS(K1838&gt;650,"LOW",K1838&gt;=550,"MEDIUM",K1838&lt;550,"HIGH")</f>
        <v>HIGH</v>
      </c>
    </row>
    <row r="1839" spans="3:28" x14ac:dyDescent="0.3">
      <c r="C1839" s="35" t="s">
        <v>2153</v>
      </c>
      <c r="D1839" s="1" t="s">
        <v>184</v>
      </c>
      <c r="E1839" s="1">
        <v>35</v>
      </c>
      <c r="F1839" s="1" t="s">
        <v>44</v>
      </c>
      <c r="G1839" s="1" t="s">
        <v>45</v>
      </c>
      <c r="H1839" s="1" t="s">
        <v>54</v>
      </c>
      <c r="I1839" s="1" t="s">
        <v>29</v>
      </c>
      <c r="J1839" s="7">
        <v>141324</v>
      </c>
      <c r="K1839" s="1">
        <v>350</v>
      </c>
      <c r="L1839" s="7">
        <v>18059</v>
      </c>
      <c r="M1839" s="1">
        <v>12</v>
      </c>
      <c r="N1839" s="6">
        <v>0.17059999999999997</v>
      </c>
      <c r="O1839" s="1" t="s">
        <v>5</v>
      </c>
      <c r="P1839" s="1" t="s">
        <v>50</v>
      </c>
      <c r="Q1839" s="1">
        <v>5</v>
      </c>
      <c r="R1839" s="1">
        <v>4</v>
      </c>
      <c r="S1839" s="1" t="s">
        <v>31</v>
      </c>
      <c r="T1839" s="1" t="s">
        <v>33</v>
      </c>
      <c r="U1839" s="1">
        <v>3</v>
      </c>
      <c r="V1839" s="1">
        <v>8209</v>
      </c>
      <c r="W1839" s="7">
        <v>1509.51</v>
      </c>
      <c r="X1839" s="1">
        <v>0.5</v>
      </c>
      <c r="Y1839" s="4">
        <v>45204</v>
      </c>
      <c r="Z1839" s="1" t="s">
        <v>38</v>
      </c>
      <c r="AA1839" s="1" t="s">
        <v>33</v>
      </c>
      <c r="AB1839" s="36" t="str" cm="1">
        <f t="array" ref="AB1839">_xlfn.IFS(K1839&gt;650,"LOW",K1839&gt;=550,"MEDIUM",K1839&lt;550,"HIGH")</f>
        <v>HIGH</v>
      </c>
    </row>
    <row r="1840" spans="3:28" x14ac:dyDescent="0.3">
      <c r="C1840" s="35" t="s">
        <v>2581</v>
      </c>
      <c r="D1840" s="1" t="s">
        <v>611</v>
      </c>
      <c r="E1840" s="1">
        <v>55</v>
      </c>
      <c r="F1840" s="1" t="s">
        <v>26</v>
      </c>
      <c r="G1840" s="1" t="s">
        <v>45</v>
      </c>
      <c r="H1840" s="1" t="s">
        <v>54</v>
      </c>
      <c r="I1840" s="1" t="s">
        <v>29</v>
      </c>
      <c r="J1840" s="7">
        <v>128575</v>
      </c>
      <c r="K1840" s="1">
        <v>350</v>
      </c>
      <c r="L1840" s="7">
        <v>15859</v>
      </c>
      <c r="M1840" s="1">
        <v>60</v>
      </c>
      <c r="N1840" s="6">
        <v>0.10550000000000001</v>
      </c>
      <c r="O1840" s="1" t="s">
        <v>46</v>
      </c>
      <c r="P1840" s="1" t="s">
        <v>50</v>
      </c>
      <c r="Q1840" s="1">
        <v>27</v>
      </c>
      <c r="R1840" s="1">
        <v>4</v>
      </c>
      <c r="S1840" s="1" t="s">
        <v>31</v>
      </c>
      <c r="T1840" s="1" t="s">
        <v>33</v>
      </c>
      <c r="U1840" s="1">
        <v>2</v>
      </c>
      <c r="V1840" s="1">
        <v>46116</v>
      </c>
      <c r="W1840" s="7">
        <v>1056.8499999999999</v>
      </c>
      <c r="X1840" s="1">
        <v>0.69</v>
      </c>
      <c r="Y1840" s="4">
        <v>44108</v>
      </c>
      <c r="Z1840" s="1" t="s">
        <v>32</v>
      </c>
      <c r="AA1840" s="1" t="s">
        <v>31</v>
      </c>
      <c r="AB1840" s="36" t="str" cm="1">
        <f t="array" ref="AB1840">_xlfn.IFS(K1840&gt;650,"LOW",K1840&gt;=550,"MEDIUM",K1840&lt;550,"HIGH")</f>
        <v>HIGH</v>
      </c>
    </row>
    <row r="1841" spans="3:28" x14ac:dyDescent="0.3">
      <c r="C1841" s="35" t="s">
        <v>2745</v>
      </c>
      <c r="D1841" s="1" t="s">
        <v>775</v>
      </c>
      <c r="E1841" s="1">
        <v>23</v>
      </c>
      <c r="F1841" s="1" t="s">
        <v>44</v>
      </c>
      <c r="G1841" s="1" t="s">
        <v>45</v>
      </c>
      <c r="H1841" s="1" t="s">
        <v>61</v>
      </c>
      <c r="I1841" s="1" t="s">
        <v>29</v>
      </c>
      <c r="J1841" s="7">
        <v>81108</v>
      </c>
      <c r="K1841" s="1">
        <v>350</v>
      </c>
      <c r="L1841" s="7">
        <v>11336</v>
      </c>
      <c r="M1841" s="1">
        <v>24</v>
      </c>
      <c r="N1841" s="6">
        <v>0.19519999999999998</v>
      </c>
      <c r="O1841" s="1" t="s">
        <v>41</v>
      </c>
      <c r="P1841" s="1" t="s">
        <v>50</v>
      </c>
      <c r="Q1841" s="1">
        <v>12</v>
      </c>
      <c r="R1841" s="1">
        <v>4</v>
      </c>
      <c r="S1841" s="1" t="s">
        <v>33</v>
      </c>
      <c r="T1841" s="1" t="s">
        <v>31</v>
      </c>
      <c r="U1841" s="1">
        <v>4</v>
      </c>
      <c r="V1841" s="1">
        <v>152250</v>
      </c>
      <c r="W1841" s="7">
        <v>1607.27</v>
      </c>
      <c r="X1841" s="1">
        <v>0.73</v>
      </c>
      <c r="Y1841" s="4">
        <v>44910</v>
      </c>
      <c r="Z1841" s="1" t="s">
        <v>32</v>
      </c>
      <c r="AA1841" s="1" t="s">
        <v>33</v>
      </c>
      <c r="AB1841" s="36" t="str" cm="1">
        <f t="array" ref="AB1841">_xlfn.IFS(K1841&gt;650,"LOW",K1841&gt;=550,"MEDIUM",K1841&lt;550,"HIGH")</f>
        <v>HIGH</v>
      </c>
    </row>
    <row r="1842" spans="3:28" x14ac:dyDescent="0.3">
      <c r="C1842" s="35" t="s">
        <v>2998</v>
      </c>
      <c r="D1842" s="1" t="s">
        <v>1025</v>
      </c>
      <c r="E1842" s="1">
        <v>45</v>
      </c>
      <c r="F1842" s="1" t="s">
        <v>44</v>
      </c>
      <c r="G1842" s="1" t="s">
        <v>56</v>
      </c>
      <c r="H1842" s="1" t="s">
        <v>54</v>
      </c>
      <c r="I1842" s="1" t="s">
        <v>29</v>
      </c>
      <c r="J1842" s="7">
        <v>38733</v>
      </c>
      <c r="K1842" s="1">
        <v>350</v>
      </c>
      <c r="L1842" s="7">
        <v>49487</v>
      </c>
      <c r="M1842" s="1">
        <v>60</v>
      </c>
      <c r="N1842" s="6">
        <v>8.7799999999999989E-2</v>
      </c>
      <c r="O1842" s="1" t="s">
        <v>52</v>
      </c>
      <c r="P1842" s="1" t="s">
        <v>30</v>
      </c>
      <c r="Q1842" s="1">
        <v>28</v>
      </c>
      <c r="R1842" s="1">
        <v>1</v>
      </c>
      <c r="S1842" s="1" t="s">
        <v>33</v>
      </c>
      <c r="T1842" s="1" t="s">
        <v>31</v>
      </c>
      <c r="U1842" s="1">
        <v>4</v>
      </c>
      <c r="V1842" s="1">
        <v>120813</v>
      </c>
      <c r="W1842" s="7">
        <v>1141.3699999999999</v>
      </c>
      <c r="X1842" s="1">
        <v>0.45</v>
      </c>
      <c r="Y1842" s="4">
        <v>44174</v>
      </c>
      <c r="Z1842" s="1" t="s">
        <v>38</v>
      </c>
      <c r="AA1842" s="1" t="s">
        <v>33</v>
      </c>
      <c r="AB1842" s="36" t="str" cm="1">
        <f t="array" ref="AB1842">_xlfn.IFS(K1842&gt;650,"LOW",K1842&gt;=550,"MEDIUM",K1842&lt;550,"HIGH")</f>
        <v>HIGH</v>
      </c>
    </row>
    <row r="1843" spans="3:28" x14ac:dyDescent="0.3">
      <c r="C1843" s="35" t="s">
        <v>3531</v>
      </c>
      <c r="D1843" s="1" t="s">
        <v>1548</v>
      </c>
      <c r="E1843" s="1">
        <v>54</v>
      </c>
      <c r="F1843" s="1" t="s">
        <v>26</v>
      </c>
      <c r="G1843" s="1" t="s">
        <v>56</v>
      </c>
      <c r="H1843" s="1" t="s">
        <v>36</v>
      </c>
      <c r="I1843" s="1" t="s">
        <v>29</v>
      </c>
      <c r="J1843" s="7">
        <v>22105</v>
      </c>
      <c r="K1843" s="1">
        <v>350</v>
      </c>
      <c r="L1843" s="7">
        <v>21504</v>
      </c>
      <c r="M1843" s="1">
        <v>24</v>
      </c>
      <c r="N1843" s="6">
        <v>0.11380000000000001</v>
      </c>
      <c r="O1843" s="1" t="s">
        <v>52</v>
      </c>
      <c r="P1843" s="1" t="s">
        <v>30</v>
      </c>
      <c r="Q1843" s="1">
        <v>29</v>
      </c>
      <c r="R1843" s="1">
        <v>3</v>
      </c>
      <c r="S1843" s="1" t="s">
        <v>33</v>
      </c>
      <c r="T1843" s="1" t="s">
        <v>33</v>
      </c>
      <c r="U1843" s="1">
        <v>0</v>
      </c>
      <c r="V1843" s="1">
        <v>165952</v>
      </c>
      <c r="W1843" s="7">
        <v>769.86</v>
      </c>
      <c r="X1843" s="1">
        <v>0.16</v>
      </c>
      <c r="Y1843" s="4">
        <v>45562</v>
      </c>
      <c r="Z1843" s="1" t="s">
        <v>32</v>
      </c>
      <c r="AA1843" s="1" t="s">
        <v>33</v>
      </c>
      <c r="AB1843" s="36" t="str" cm="1">
        <f t="array" ref="AB1843">_xlfn.IFS(K1843&gt;650,"LOW",K1843&gt;=550,"MEDIUM",K1843&lt;550,"HIGH")</f>
        <v>HIGH</v>
      </c>
    </row>
    <row r="1844" spans="3:28" x14ac:dyDescent="0.3">
      <c r="C1844" s="35" t="s">
        <v>2022</v>
      </c>
      <c r="D1844" s="1" t="s">
        <v>39</v>
      </c>
      <c r="E1844" s="1">
        <v>35</v>
      </c>
      <c r="F1844" s="1" t="s">
        <v>26</v>
      </c>
      <c r="G1844" s="1" t="s">
        <v>35</v>
      </c>
      <c r="H1844" s="1" t="s">
        <v>36</v>
      </c>
      <c r="I1844" s="1" t="s">
        <v>40</v>
      </c>
      <c r="J1844" s="7">
        <v>71638</v>
      </c>
      <c r="K1844" s="1">
        <v>348</v>
      </c>
      <c r="L1844" s="7">
        <v>32589</v>
      </c>
      <c r="M1844" s="1">
        <v>36</v>
      </c>
      <c r="N1844" s="6">
        <v>9.6999999999999989E-2</v>
      </c>
      <c r="O1844" s="1" t="s">
        <v>41</v>
      </c>
      <c r="P1844" s="1" t="s">
        <v>30</v>
      </c>
      <c r="Q1844" s="1">
        <v>24</v>
      </c>
      <c r="R1844" s="1">
        <v>2</v>
      </c>
      <c r="S1844" s="1" t="s">
        <v>33</v>
      </c>
      <c r="T1844" s="1" t="s">
        <v>31</v>
      </c>
      <c r="U1844" s="1">
        <v>0</v>
      </c>
      <c r="V1844" s="1">
        <v>190646</v>
      </c>
      <c r="W1844" s="7">
        <v>1171.17</v>
      </c>
      <c r="X1844" s="1">
        <v>0.38</v>
      </c>
      <c r="Y1844" s="4">
        <v>45553</v>
      </c>
      <c r="Z1844" s="1" t="s">
        <v>38</v>
      </c>
      <c r="AA1844" s="1" t="s">
        <v>33</v>
      </c>
      <c r="AB1844" s="36" t="str" cm="1">
        <f t="array" ref="AB1844">_xlfn.IFS(K1844&gt;650,"LOW",K1844&gt;=550,"MEDIUM",K1844&lt;550,"HIGH")</f>
        <v>HIGH</v>
      </c>
    </row>
    <row r="1845" spans="3:28" x14ac:dyDescent="0.3">
      <c r="C1845" s="35" t="s">
        <v>2552</v>
      </c>
      <c r="D1845" s="1" t="s">
        <v>582</v>
      </c>
      <c r="E1845" s="1">
        <v>42</v>
      </c>
      <c r="F1845" s="1" t="s">
        <v>26</v>
      </c>
      <c r="G1845" s="1" t="s">
        <v>45</v>
      </c>
      <c r="H1845" s="1" t="s">
        <v>54</v>
      </c>
      <c r="I1845" s="1" t="s">
        <v>29</v>
      </c>
      <c r="J1845" s="7">
        <v>43610</v>
      </c>
      <c r="K1845" s="1">
        <v>348</v>
      </c>
      <c r="L1845" s="7">
        <v>16295</v>
      </c>
      <c r="M1845" s="1">
        <v>24</v>
      </c>
      <c r="N1845" s="6">
        <v>6.7199999999999996E-2</v>
      </c>
      <c r="O1845" s="1" t="s">
        <v>52</v>
      </c>
      <c r="P1845" s="1" t="s">
        <v>50</v>
      </c>
      <c r="Q1845" s="1">
        <v>1</v>
      </c>
      <c r="R1845" s="1">
        <v>2</v>
      </c>
      <c r="S1845" s="1" t="s">
        <v>33</v>
      </c>
      <c r="T1845" s="1" t="s">
        <v>31</v>
      </c>
      <c r="U1845" s="1">
        <v>2</v>
      </c>
      <c r="V1845" s="1">
        <v>154514</v>
      </c>
      <c r="W1845" s="7">
        <v>1478.82</v>
      </c>
      <c r="X1845" s="1">
        <v>0.11</v>
      </c>
      <c r="Y1845" s="4">
        <v>45514</v>
      </c>
      <c r="Z1845" s="1" t="s">
        <v>32</v>
      </c>
      <c r="AA1845" s="1" t="s">
        <v>33</v>
      </c>
      <c r="AB1845" s="36" t="str" cm="1">
        <f t="array" ref="AB1845">_xlfn.IFS(K1845&gt;650,"LOW",K1845&gt;=550,"MEDIUM",K1845&lt;550,"HIGH")</f>
        <v>HIGH</v>
      </c>
    </row>
    <row r="1846" spans="3:28" x14ac:dyDescent="0.3">
      <c r="C1846" s="35" t="s">
        <v>2873</v>
      </c>
      <c r="D1846" s="1" t="s">
        <v>901</v>
      </c>
      <c r="E1846" s="1">
        <v>24</v>
      </c>
      <c r="F1846" s="1" t="s">
        <v>26</v>
      </c>
      <c r="G1846" s="1" t="s">
        <v>27</v>
      </c>
      <c r="H1846" s="1" t="s">
        <v>28</v>
      </c>
      <c r="I1846" s="1" t="s">
        <v>59</v>
      </c>
      <c r="J1846" s="7">
        <v>111656</v>
      </c>
      <c r="K1846" s="1">
        <v>348</v>
      </c>
      <c r="L1846" s="7">
        <v>41861</v>
      </c>
      <c r="M1846" s="1">
        <v>36</v>
      </c>
      <c r="N1846" s="6">
        <v>0.1429</v>
      </c>
      <c r="O1846" s="1" t="s">
        <v>46</v>
      </c>
      <c r="P1846" s="1" t="s">
        <v>47</v>
      </c>
      <c r="Q1846" s="1">
        <v>7</v>
      </c>
      <c r="R1846" s="1">
        <v>1</v>
      </c>
      <c r="S1846" s="1" t="s">
        <v>33</v>
      </c>
      <c r="T1846" s="1" t="s">
        <v>33</v>
      </c>
      <c r="U1846" s="1">
        <v>2</v>
      </c>
      <c r="V1846" s="1">
        <v>19062</v>
      </c>
      <c r="W1846" s="7">
        <v>1906.97</v>
      </c>
      <c r="X1846" s="1">
        <v>0.86</v>
      </c>
      <c r="Y1846" s="4">
        <v>45495</v>
      </c>
      <c r="Z1846" s="1" t="s">
        <v>38</v>
      </c>
      <c r="AA1846" s="1" t="s">
        <v>33</v>
      </c>
      <c r="AB1846" s="36" t="str" cm="1">
        <f t="array" ref="AB1846">_xlfn.IFS(K1846&gt;650,"LOW",K1846&gt;=550,"MEDIUM",K1846&lt;550,"HIGH")</f>
        <v>HIGH</v>
      </c>
    </row>
    <row r="1847" spans="3:28" x14ac:dyDescent="0.3">
      <c r="C1847" s="35" t="s">
        <v>3687</v>
      </c>
      <c r="D1847" s="1" t="s">
        <v>1698</v>
      </c>
      <c r="E1847" s="1">
        <v>32</v>
      </c>
      <c r="F1847" s="1" t="s">
        <v>44</v>
      </c>
      <c r="G1847" s="1" t="s">
        <v>35</v>
      </c>
      <c r="H1847" s="1" t="s">
        <v>61</v>
      </c>
      <c r="I1847" s="1" t="s">
        <v>57</v>
      </c>
      <c r="J1847" s="7">
        <v>36448</v>
      </c>
      <c r="K1847" s="1">
        <v>348</v>
      </c>
      <c r="L1847" s="7">
        <v>12517</v>
      </c>
      <c r="M1847" s="1">
        <v>36</v>
      </c>
      <c r="N1847" s="6">
        <v>0.1885</v>
      </c>
      <c r="O1847" s="1" t="s">
        <v>41</v>
      </c>
      <c r="P1847" s="1" t="s">
        <v>47</v>
      </c>
      <c r="Q1847" s="1">
        <v>7</v>
      </c>
      <c r="R1847" s="1">
        <v>3</v>
      </c>
      <c r="S1847" s="1" t="s">
        <v>31</v>
      </c>
      <c r="T1847" s="1" t="s">
        <v>31</v>
      </c>
      <c r="U1847" s="1">
        <v>0</v>
      </c>
      <c r="V1847" s="1">
        <v>31584</v>
      </c>
      <c r="W1847" s="7">
        <v>566.72</v>
      </c>
      <c r="X1847" s="1">
        <v>0.47</v>
      </c>
      <c r="Y1847" s="4">
        <v>45221</v>
      </c>
      <c r="Z1847" s="1" t="s">
        <v>32</v>
      </c>
      <c r="AA1847" s="1" t="s">
        <v>33</v>
      </c>
      <c r="AB1847" s="36" t="str" cm="1">
        <f t="array" ref="AB1847">_xlfn.IFS(K1847&gt;650,"LOW",K1847&gt;=550,"MEDIUM",K1847&lt;550,"HIGH")</f>
        <v>HIGH</v>
      </c>
    </row>
    <row r="1848" spans="3:28" x14ac:dyDescent="0.3">
      <c r="C1848" s="35" t="s">
        <v>2255</v>
      </c>
      <c r="D1848" s="1" t="s">
        <v>286</v>
      </c>
      <c r="E1848" s="1">
        <v>27</v>
      </c>
      <c r="F1848" s="1" t="s">
        <v>26</v>
      </c>
      <c r="G1848" s="1" t="s">
        <v>35</v>
      </c>
      <c r="H1848" s="1" t="s">
        <v>54</v>
      </c>
      <c r="I1848" s="1" t="s">
        <v>40</v>
      </c>
      <c r="J1848" s="7">
        <v>34292</v>
      </c>
      <c r="K1848" s="1">
        <v>347</v>
      </c>
      <c r="L1848" s="7">
        <v>4598</v>
      </c>
      <c r="M1848" s="1">
        <v>12</v>
      </c>
      <c r="N1848" s="6">
        <v>0.15490000000000001</v>
      </c>
      <c r="O1848" s="1" t="s">
        <v>63</v>
      </c>
      <c r="P1848" s="1" t="s">
        <v>47</v>
      </c>
      <c r="Q1848" s="1">
        <v>29</v>
      </c>
      <c r="R1848" s="1">
        <v>0</v>
      </c>
      <c r="S1848" s="1" t="s">
        <v>31</v>
      </c>
      <c r="T1848" s="1" t="s">
        <v>33</v>
      </c>
      <c r="U1848" s="1">
        <v>1</v>
      </c>
      <c r="V1848" s="1">
        <v>44659</v>
      </c>
      <c r="W1848" s="7">
        <v>832.71</v>
      </c>
      <c r="X1848" s="1">
        <v>0.98</v>
      </c>
      <c r="Y1848" s="4">
        <v>44972</v>
      </c>
      <c r="Z1848" s="1" t="s">
        <v>38</v>
      </c>
      <c r="AA1848" s="1" t="s">
        <v>33</v>
      </c>
      <c r="AB1848" s="36" t="str" cm="1">
        <f t="array" ref="AB1848">_xlfn.IFS(K1848&gt;650,"LOW",K1848&gt;=550,"MEDIUM",K1848&lt;550,"HIGH")</f>
        <v>HIGH</v>
      </c>
    </row>
    <row r="1849" spans="3:28" x14ac:dyDescent="0.3">
      <c r="C1849" s="35" t="s">
        <v>2863</v>
      </c>
      <c r="D1849" s="1" t="s">
        <v>891</v>
      </c>
      <c r="E1849" s="1">
        <v>37</v>
      </c>
      <c r="F1849" s="1" t="s">
        <v>44</v>
      </c>
      <c r="G1849" s="1" t="s">
        <v>27</v>
      </c>
      <c r="H1849" s="1" t="s">
        <v>54</v>
      </c>
      <c r="I1849" s="1" t="s">
        <v>57</v>
      </c>
      <c r="J1849" s="7">
        <v>115335</v>
      </c>
      <c r="K1849" s="1">
        <v>347</v>
      </c>
      <c r="L1849" s="7">
        <v>3160</v>
      </c>
      <c r="M1849" s="1">
        <v>24</v>
      </c>
      <c r="N1849" s="6">
        <v>0.12</v>
      </c>
      <c r="O1849" s="1" t="s">
        <v>5</v>
      </c>
      <c r="P1849" s="1" t="s">
        <v>47</v>
      </c>
      <c r="Q1849" s="1">
        <v>28</v>
      </c>
      <c r="R1849" s="1">
        <v>3</v>
      </c>
      <c r="S1849" s="1" t="s">
        <v>31</v>
      </c>
      <c r="T1849" s="1" t="s">
        <v>33</v>
      </c>
      <c r="U1849" s="1">
        <v>3</v>
      </c>
      <c r="V1849" s="1">
        <v>103955</v>
      </c>
      <c r="W1849" s="7">
        <v>1601.02</v>
      </c>
      <c r="X1849" s="1">
        <v>0.25</v>
      </c>
      <c r="Y1849" s="4">
        <v>44848</v>
      </c>
      <c r="Z1849" s="1" t="s">
        <v>32</v>
      </c>
      <c r="AA1849" s="1" t="s">
        <v>31</v>
      </c>
      <c r="AB1849" s="36" t="str" cm="1">
        <f t="array" ref="AB1849">_xlfn.IFS(K1849&gt;650,"LOW",K1849&gt;=550,"MEDIUM",K1849&lt;550,"HIGH")</f>
        <v>HIGH</v>
      </c>
    </row>
    <row r="1850" spans="3:28" x14ac:dyDescent="0.3">
      <c r="C1850" s="35" t="s">
        <v>3322</v>
      </c>
      <c r="D1850" s="1" t="s">
        <v>1345</v>
      </c>
      <c r="E1850" s="1">
        <v>53</v>
      </c>
      <c r="F1850" s="1" t="s">
        <v>26</v>
      </c>
      <c r="G1850" s="1" t="s">
        <v>45</v>
      </c>
      <c r="H1850" s="1" t="s">
        <v>61</v>
      </c>
      <c r="I1850" s="1" t="s">
        <v>29</v>
      </c>
      <c r="J1850" s="7">
        <v>77557</v>
      </c>
      <c r="K1850" s="1">
        <v>347</v>
      </c>
      <c r="L1850" s="7">
        <v>20171</v>
      </c>
      <c r="M1850" s="1">
        <v>36</v>
      </c>
      <c r="N1850" s="6">
        <v>0.1769</v>
      </c>
      <c r="O1850" s="1" t="s">
        <v>52</v>
      </c>
      <c r="P1850" s="1" t="s">
        <v>50</v>
      </c>
      <c r="Q1850" s="1">
        <v>29</v>
      </c>
      <c r="R1850" s="1">
        <v>3</v>
      </c>
      <c r="S1850" s="1" t="s">
        <v>33</v>
      </c>
      <c r="T1850" s="1" t="s">
        <v>31</v>
      </c>
      <c r="U1850" s="1">
        <v>3</v>
      </c>
      <c r="V1850" s="1">
        <v>69457</v>
      </c>
      <c r="W1850" s="7">
        <v>1735.64</v>
      </c>
      <c r="X1850" s="1">
        <v>0.78</v>
      </c>
      <c r="Y1850" s="4">
        <v>45289</v>
      </c>
      <c r="Z1850" s="1" t="s">
        <v>38</v>
      </c>
      <c r="AA1850" s="1" t="s">
        <v>33</v>
      </c>
      <c r="AB1850" s="36" t="str" cm="1">
        <f t="array" ref="AB1850">_xlfn.IFS(K1850&gt;650,"LOW",K1850&gt;=550,"MEDIUM",K1850&lt;550,"HIGH")</f>
        <v>HIGH</v>
      </c>
    </row>
    <row r="1851" spans="3:28" x14ac:dyDescent="0.3">
      <c r="C1851" s="35" t="s">
        <v>2412</v>
      </c>
      <c r="D1851" s="1" t="s">
        <v>442</v>
      </c>
      <c r="E1851" s="1">
        <v>64</v>
      </c>
      <c r="F1851" s="1" t="s">
        <v>44</v>
      </c>
      <c r="G1851" s="1" t="s">
        <v>35</v>
      </c>
      <c r="H1851" s="1" t="s">
        <v>54</v>
      </c>
      <c r="I1851" s="1" t="s">
        <v>59</v>
      </c>
      <c r="J1851" s="7">
        <v>97928</v>
      </c>
      <c r="K1851" s="1">
        <v>346</v>
      </c>
      <c r="L1851" s="7">
        <v>25563</v>
      </c>
      <c r="M1851" s="1">
        <v>48</v>
      </c>
      <c r="N1851" s="6">
        <v>7.9299999999999995E-2</v>
      </c>
      <c r="O1851" s="1" t="s">
        <v>37</v>
      </c>
      <c r="P1851" s="1" t="s">
        <v>47</v>
      </c>
      <c r="Q1851" s="1">
        <v>5</v>
      </c>
      <c r="R1851" s="1">
        <v>1</v>
      </c>
      <c r="S1851" s="1" t="s">
        <v>33</v>
      </c>
      <c r="T1851" s="1" t="s">
        <v>31</v>
      </c>
      <c r="U1851" s="1">
        <v>2</v>
      </c>
      <c r="V1851" s="1">
        <v>35394</v>
      </c>
      <c r="W1851" s="7">
        <v>352.37</v>
      </c>
      <c r="X1851" s="1">
        <v>0.88</v>
      </c>
      <c r="Y1851" s="4">
        <v>44058</v>
      </c>
      <c r="Z1851" s="1" t="s">
        <v>32</v>
      </c>
      <c r="AA1851" s="1" t="s">
        <v>33</v>
      </c>
      <c r="AB1851" s="36" t="str" cm="1">
        <f t="array" ref="AB1851">_xlfn.IFS(K1851&gt;650,"LOW",K1851&gt;=550,"MEDIUM",K1851&lt;550,"HIGH")</f>
        <v>HIGH</v>
      </c>
    </row>
    <row r="1852" spans="3:28" x14ac:dyDescent="0.3">
      <c r="C1852" s="35" t="s">
        <v>2470</v>
      </c>
      <c r="D1852" s="1" t="s">
        <v>500</v>
      </c>
      <c r="E1852" s="1">
        <v>30</v>
      </c>
      <c r="F1852" s="1" t="s">
        <v>44</v>
      </c>
      <c r="G1852" s="1" t="s">
        <v>56</v>
      </c>
      <c r="H1852" s="1" t="s">
        <v>61</v>
      </c>
      <c r="I1852" s="1" t="s">
        <v>40</v>
      </c>
      <c r="J1852" s="7">
        <v>120400</v>
      </c>
      <c r="K1852" s="1">
        <v>346</v>
      </c>
      <c r="L1852" s="7">
        <v>34744</v>
      </c>
      <c r="M1852" s="1">
        <v>36</v>
      </c>
      <c r="N1852" s="6">
        <v>0.1759</v>
      </c>
      <c r="O1852" s="1" t="s">
        <v>5</v>
      </c>
      <c r="P1852" s="1" t="s">
        <v>50</v>
      </c>
      <c r="Q1852" s="1">
        <v>23</v>
      </c>
      <c r="R1852" s="1">
        <v>2</v>
      </c>
      <c r="S1852" s="1" t="s">
        <v>31</v>
      </c>
      <c r="T1852" s="1" t="s">
        <v>33</v>
      </c>
      <c r="U1852" s="1">
        <v>2</v>
      </c>
      <c r="V1852" s="1">
        <v>120240</v>
      </c>
      <c r="W1852" s="7">
        <v>914.48</v>
      </c>
      <c r="X1852" s="1">
        <v>0.77</v>
      </c>
      <c r="Y1852" s="4">
        <v>45282</v>
      </c>
      <c r="Z1852" s="1" t="s">
        <v>32</v>
      </c>
      <c r="AA1852" s="1" t="s">
        <v>33</v>
      </c>
      <c r="AB1852" s="36" t="str" cm="1">
        <f t="array" ref="AB1852">_xlfn.IFS(K1852&gt;650,"LOW",K1852&gt;=550,"MEDIUM",K1852&lt;550,"HIGH")</f>
        <v>HIGH</v>
      </c>
    </row>
    <row r="1853" spans="3:28" x14ac:dyDescent="0.3">
      <c r="C1853" s="35" t="s">
        <v>2798</v>
      </c>
      <c r="D1853" s="1" t="s">
        <v>826</v>
      </c>
      <c r="E1853" s="1">
        <v>36</v>
      </c>
      <c r="F1853" s="1" t="s">
        <v>26</v>
      </c>
      <c r="G1853" s="1" t="s">
        <v>56</v>
      </c>
      <c r="H1853" s="1" t="s">
        <v>28</v>
      </c>
      <c r="I1853" s="1" t="s">
        <v>59</v>
      </c>
      <c r="J1853" s="7">
        <v>132260</v>
      </c>
      <c r="K1853" s="1">
        <v>346</v>
      </c>
      <c r="L1853" s="7">
        <v>8919</v>
      </c>
      <c r="M1853" s="1">
        <v>36</v>
      </c>
      <c r="N1853" s="6">
        <v>0.192</v>
      </c>
      <c r="O1853" s="1" t="s">
        <v>52</v>
      </c>
      <c r="P1853" s="1" t="s">
        <v>47</v>
      </c>
      <c r="Q1853" s="1">
        <v>18</v>
      </c>
      <c r="R1853" s="1">
        <v>1</v>
      </c>
      <c r="S1853" s="1" t="s">
        <v>31</v>
      </c>
      <c r="T1853" s="1" t="s">
        <v>31</v>
      </c>
      <c r="U1853" s="1">
        <v>0</v>
      </c>
      <c r="V1853" s="1">
        <v>92995</v>
      </c>
      <c r="W1853" s="7">
        <v>1347.41</v>
      </c>
      <c r="X1853" s="1">
        <v>0.56999999999999995</v>
      </c>
      <c r="Y1853" s="4">
        <v>44434</v>
      </c>
      <c r="Z1853" s="1" t="s">
        <v>38</v>
      </c>
      <c r="AA1853" s="1" t="s">
        <v>33</v>
      </c>
      <c r="AB1853" s="36" t="str" cm="1">
        <f t="array" ref="AB1853">_xlfn.IFS(K1853&gt;650,"LOW",K1853&gt;=550,"MEDIUM",K1853&lt;550,"HIGH")</f>
        <v>HIGH</v>
      </c>
    </row>
    <row r="1854" spans="3:28" x14ac:dyDescent="0.3">
      <c r="C1854" s="35" t="s">
        <v>2972</v>
      </c>
      <c r="D1854" s="1" t="s">
        <v>1000</v>
      </c>
      <c r="E1854" s="1">
        <v>64</v>
      </c>
      <c r="F1854" s="1" t="s">
        <v>44</v>
      </c>
      <c r="G1854" s="1" t="s">
        <v>56</v>
      </c>
      <c r="H1854" s="1" t="s">
        <v>54</v>
      </c>
      <c r="I1854" s="1" t="s">
        <v>40</v>
      </c>
      <c r="J1854" s="7">
        <v>115380</v>
      </c>
      <c r="K1854" s="1">
        <v>346</v>
      </c>
      <c r="L1854" s="7">
        <v>46320</v>
      </c>
      <c r="M1854" s="1">
        <v>60</v>
      </c>
      <c r="N1854" s="6">
        <v>0.17460000000000001</v>
      </c>
      <c r="O1854" s="1" t="s">
        <v>37</v>
      </c>
      <c r="P1854" s="1" t="s">
        <v>50</v>
      </c>
      <c r="Q1854" s="1">
        <v>3</v>
      </c>
      <c r="R1854" s="1">
        <v>2</v>
      </c>
      <c r="S1854" s="1" t="s">
        <v>33</v>
      </c>
      <c r="T1854" s="1" t="s">
        <v>31</v>
      </c>
      <c r="U1854" s="1">
        <v>4</v>
      </c>
      <c r="V1854" s="1">
        <v>37876</v>
      </c>
      <c r="W1854" s="7">
        <v>1454.15</v>
      </c>
      <c r="X1854" s="1">
        <v>0.38</v>
      </c>
      <c r="Y1854" s="4">
        <v>45030</v>
      </c>
      <c r="Z1854" s="1" t="s">
        <v>32</v>
      </c>
      <c r="AA1854" s="1" t="s">
        <v>33</v>
      </c>
      <c r="AB1854" s="36" t="str" cm="1">
        <f t="array" ref="AB1854">_xlfn.IFS(K1854&gt;650,"LOW",K1854&gt;=550,"MEDIUM",K1854&lt;550,"HIGH")</f>
        <v>HIGH</v>
      </c>
    </row>
    <row r="1855" spans="3:28" x14ac:dyDescent="0.3">
      <c r="C1855" s="35" t="s">
        <v>3257</v>
      </c>
      <c r="D1855" s="1" t="s">
        <v>1280</v>
      </c>
      <c r="E1855" s="1">
        <v>37</v>
      </c>
      <c r="F1855" s="1" t="s">
        <v>44</v>
      </c>
      <c r="G1855" s="1" t="s">
        <v>45</v>
      </c>
      <c r="H1855" s="1" t="s">
        <v>36</v>
      </c>
      <c r="I1855" s="1" t="s">
        <v>29</v>
      </c>
      <c r="J1855" s="7">
        <v>142652</v>
      </c>
      <c r="K1855" s="1">
        <v>346</v>
      </c>
      <c r="L1855" s="7">
        <v>48445</v>
      </c>
      <c r="M1855" s="1">
        <v>12</v>
      </c>
      <c r="N1855" s="6">
        <v>0.1464</v>
      </c>
      <c r="O1855" s="1" t="s">
        <v>41</v>
      </c>
      <c r="P1855" s="1" t="s">
        <v>50</v>
      </c>
      <c r="Q1855" s="1">
        <v>16</v>
      </c>
      <c r="R1855" s="1">
        <v>3</v>
      </c>
      <c r="S1855" s="1" t="s">
        <v>31</v>
      </c>
      <c r="T1855" s="1" t="s">
        <v>33</v>
      </c>
      <c r="U1855" s="1">
        <v>4</v>
      </c>
      <c r="V1855" s="1">
        <v>52763</v>
      </c>
      <c r="W1855" s="7">
        <v>628.05999999999995</v>
      </c>
      <c r="X1855" s="1">
        <v>0.84</v>
      </c>
      <c r="Y1855" s="4">
        <v>45312</v>
      </c>
      <c r="Z1855" s="1" t="s">
        <v>32</v>
      </c>
      <c r="AA1855" s="1" t="s">
        <v>33</v>
      </c>
      <c r="AB1855" s="36" t="str" cm="1">
        <f t="array" ref="AB1855">_xlfn.IFS(K1855&gt;650,"LOW",K1855&gt;=550,"MEDIUM",K1855&lt;550,"HIGH")</f>
        <v>HIGH</v>
      </c>
    </row>
    <row r="1856" spans="3:28" x14ac:dyDescent="0.3">
      <c r="C1856" s="35" t="s">
        <v>2103</v>
      </c>
      <c r="D1856" s="1" t="s">
        <v>134</v>
      </c>
      <c r="E1856" s="1">
        <v>61</v>
      </c>
      <c r="F1856" s="1" t="s">
        <v>44</v>
      </c>
      <c r="G1856" s="1" t="s">
        <v>45</v>
      </c>
      <c r="H1856" s="1" t="s">
        <v>61</v>
      </c>
      <c r="I1856" s="1" t="s">
        <v>59</v>
      </c>
      <c r="J1856" s="7">
        <v>113860</v>
      </c>
      <c r="K1856" s="1">
        <v>345</v>
      </c>
      <c r="L1856" s="7">
        <v>40046</v>
      </c>
      <c r="M1856" s="1">
        <v>12</v>
      </c>
      <c r="N1856" s="6">
        <v>8.9399999999999993E-2</v>
      </c>
      <c r="O1856" s="1" t="s">
        <v>63</v>
      </c>
      <c r="P1856" s="1" t="s">
        <v>50</v>
      </c>
      <c r="Q1856" s="1">
        <v>20</v>
      </c>
      <c r="R1856" s="1">
        <v>3</v>
      </c>
      <c r="S1856" s="1" t="s">
        <v>33</v>
      </c>
      <c r="T1856" s="1" t="s">
        <v>31</v>
      </c>
      <c r="U1856" s="1">
        <v>1</v>
      </c>
      <c r="V1856" s="1">
        <v>199754</v>
      </c>
      <c r="W1856" s="7">
        <v>332.6</v>
      </c>
      <c r="X1856" s="1">
        <v>0.87</v>
      </c>
      <c r="Y1856" s="4">
        <v>44047</v>
      </c>
      <c r="Z1856" s="1" t="s">
        <v>38</v>
      </c>
      <c r="AA1856" s="1" t="s">
        <v>31</v>
      </c>
      <c r="AB1856" s="36" t="str" cm="1">
        <f t="array" ref="AB1856">_xlfn.IFS(K1856&gt;650,"LOW",K1856&gt;=550,"MEDIUM",K1856&lt;550,"HIGH")</f>
        <v>HIGH</v>
      </c>
    </row>
    <row r="1857" spans="3:28" x14ac:dyDescent="0.3">
      <c r="C1857" s="35" t="s">
        <v>2805</v>
      </c>
      <c r="D1857" s="1" t="s">
        <v>833</v>
      </c>
      <c r="E1857" s="1">
        <v>52</v>
      </c>
      <c r="F1857" s="1" t="s">
        <v>26</v>
      </c>
      <c r="G1857" s="1" t="s">
        <v>45</v>
      </c>
      <c r="H1857" s="1" t="s">
        <v>54</v>
      </c>
      <c r="I1857" s="1" t="s">
        <v>40</v>
      </c>
      <c r="J1857" s="7">
        <v>48804</v>
      </c>
      <c r="K1857" s="1">
        <v>345</v>
      </c>
      <c r="L1857" s="7">
        <v>34706</v>
      </c>
      <c r="M1857" s="1">
        <v>12</v>
      </c>
      <c r="N1857" s="6">
        <v>9.1499999999999998E-2</v>
      </c>
      <c r="O1857" s="1" t="s">
        <v>5</v>
      </c>
      <c r="P1857" s="1" t="s">
        <v>47</v>
      </c>
      <c r="Q1857" s="1">
        <v>15</v>
      </c>
      <c r="R1857" s="1">
        <v>4</v>
      </c>
      <c r="S1857" s="1" t="s">
        <v>33</v>
      </c>
      <c r="T1857" s="1" t="s">
        <v>33</v>
      </c>
      <c r="U1857" s="1">
        <v>4</v>
      </c>
      <c r="V1857" s="1">
        <v>114644</v>
      </c>
      <c r="W1857" s="7">
        <v>761.63</v>
      </c>
      <c r="X1857" s="1">
        <v>0.34</v>
      </c>
      <c r="Y1857" s="4">
        <v>44931</v>
      </c>
      <c r="Z1857" s="1" t="s">
        <v>32</v>
      </c>
      <c r="AA1857" s="1" t="s">
        <v>33</v>
      </c>
      <c r="AB1857" s="36" t="str" cm="1">
        <f t="array" ref="AB1857">_xlfn.IFS(K1857&gt;650,"LOW",K1857&gt;=550,"MEDIUM",K1857&lt;550,"HIGH")</f>
        <v>HIGH</v>
      </c>
    </row>
    <row r="1858" spans="3:28" x14ac:dyDescent="0.3">
      <c r="C1858" s="35" t="s">
        <v>2886</v>
      </c>
      <c r="D1858" s="1" t="s">
        <v>914</v>
      </c>
      <c r="E1858" s="1">
        <v>61</v>
      </c>
      <c r="F1858" s="1" t="s">
        <v>26</v>
      </c>
      <c r="G1858" s="1" t="s">
        <v>56</v>
      </c>
      <c r="H1858" s="1" t="s">
        <v>61</v>
      </c>
      <c r="I1858" s="1" t="s">
        <v>40</v>
      </c>
      <c r="J1858" s="7">
        <v>84510</v>
      </c>
      <c r="K1858" s="1">
        <v>345</v>
      </c>
      <c r="L1858" s="7">
        <v>41655</v>
      </c>
      <c r="M1858" s="1">
        <v>60</v>
      </c>
      <c r="N1858" s="6">
        <v>0.16639999999999999</v>
      </c>
      <c r="O1858" s="1" t="s">
        <v>52</v>
      </c>
      <c r="P1858" s="1" t="s">
        <v>50</v>
      </c>
      <c r="Q1858" s="1">
        <v>9</v>
      </c>
      <c r="R1858" s="1">
        <v>3</v>
      </c>
      <c r="S1858" s="1" t="s">
        <v>31</v>
      </c>
      <c r="T1858" s="1" t="s">
        <v>31</v>
      </c>
      <c r="U1858" s="1">
        <v>1</v>
      </c>
      <c r="V1858" s="1">
        <v>43127</v>
      </c>
      <c r="W1858" s="7">
        <v>1942.21</v>
      </c>
      <c r="X1858" s="1">
        <v>0.44</v>
      </c>
      <c r="Y1858" s="4">
        <v>45009</v>
      </c>
      <c r="Z1858" s="1" t="s">
        <v>38</v>
      </c>
      <c r="AA1858" s="1" t="s">
        <v>31</v>
      </c>
      <c r="AB1858" s="36" t="str" cm="1">
        <f t="array" ref="AB1858">_xlfn.IFS(K1858&gt;650,"LOW",K1858&gt;=550,"MEDIUM",K1858&lt;550,"HIGH")</f>
        <v>HIGH</v>
      </c>
    </row>
    <row r="1859" spans="3:28" x14ac:dyDescent="0.3">
      <c r="C1859" s="35" t="s">
        <v>4003</v>
      </c>
      <c r="D1859" s="1" t="s">
        <v>2003</v>
      </c>
      <c r="E1859" s="1">
        <v>29</v>
      </c>
      <c r="F1859" s="1" t="s">
        <v>26</v>
      </c>
      <c r="G1859" s="1" t="s">
        <v>45</v>
      </c>
      <c r="H1859" s="1" t="s">
        <v>36</v>
      </c>
      <c r="I1859" s="1" t="s">
        <v>57</v>
      </c>
      <c r="J1859" s="7">
        <v>105311</v>
      </c>
      <c r="K1859" s="1">
        <v>344</v>
      </c>
      <c r="L1859" s="7">
        <v>18743</v>
      </c>
      <c r="M1859" s="1">
        <v>48</v>
      </c>
      <c r="N1859" s="6">
        <v>0.16059999999999999</v>
      </c>
      <c r="O1859" s="1" t="s">
        <v>5</v>
      </c>
      <c r="P1859" s="1" t="s">
        <v>30</v>
      </c>
      <c r="Q1859" s="1">
        <v>27</v>
      </c>
      <c r="R1859" s="1">
        <v>2</v>
      </c>
      <c r="S1859" s="1" t="s">
        <v>31</v>
      </c>
      <c r="T1859" s="1" t="s">
        <v>31</v>
      </c>
      <c r="U1859" s="1">
        <v>2</v>
      </c>
      <c r="V1859" s="1">
        <v>183258</v>
      </c>
      <c r="W1859" s="7">
        <v>538.15</v>
      </c>
      <c r="X1859" s="1">
        <v>0.68</v>
      </c>
      <c r="Y1859" s="4">
        <v>44604</v>
      </c>
      <c r="Z1859" s="1" t="s">
        <v>32</v>
      </c>
      <c r="AA1859" s="1" t="s">
        <v>33</v>
      </c>
      <c r="AB1859" s="36" t="str" cm="1">
        <f t="array" ref="AB1859">_xlfn.IFS(K1859&gt;650,"LOW",K1859&gt;=550,"MEDIUM",K1859&lt;550,"HIGH")</f>
        <v>HIGH</v>
      </c>
    </row>
    <row r="1860" spans="3:28" x14ac:dyDescent="0.3">
      <c r="C1860" s="35" t="s">
        <v>2758</v>
      </c>
      <c r="D1860" s="1" t="s">
        <v>787</v>
      </c>
      <c r="E1860" s="1">
        <v>22</v>
      </c>
      <c r="F1860" s="1" t="s">
        <v>44</v>
      </c>
      <c r="G1860" s="1" t="s">
        <v>35</v>
      </c>
      <c r="H1860" s="1" t="s">
        <v>28</v>
      </c>
      <c r="I1860" s="1" t="s">
        <v>29</v>
      </c>
      <c r="J1860" s="7">
        <v>144232</v>
      </c>
      <c r="K1860" s="1">
        <v>343</v>
      </c>
      <c r="L1860" s="7">
        <v>12741</v>
      </c>
      <c r="M1860" s="1">
        <v>12</v>
      </c>
      <c r="N1860" s="6">
        <v>0.17350000000000002</v>
      </c>
      <c r="O1860" s="1" t="s">
        <v>37</v>
      </c>
      <c r="P1860" s="1" t="s">
        <v>47</v>
      </c>
      <c r="Q1860" s="1">
        <v>4</v>
      </c>
      <c r="R1860" s="1">
        <v>0</v>
      </c>
      <c r="S1860" s="1" t="s">
        <v>33</v>
      </c>
      <c r="T1860" s="1" t="s">
        <v>31</v>
      </c>
      <c r="U1860" s="1">
        <v>3</v>
      </c>
      <c r="V1860" s="1">
        <v>142287</v>
      </c>
      <c r="W1860" s="7">
        <v>1674.45</v>
      </c>
      <c r="X1860" s="1">
        <v>0.23</v>
      </c>
      <c r="Y1860" s="4">
        <v>45170</v>
      </c>
      <c r="Z1860" s="1" t="s">
        <v>32</v>
      </c>
      <c r="AA1860" s="1" t="s">
        <v>33</v>
      </c>
      <c r="AB1860" s="36" t="str" cm="1">
        <f t="array" ref="AB1860">_xlfn.IFS(K1860&gt;650,"LOW",K1860&gt;=550,"MEDIUM",K1860&lt;550,"HIGH")</f>
        <v>HIGH</v>
      </c>
    </row>
    <row r="1861" spans="3:28" x14ac:dyDescent="0.3">
      <c r="C1861" s="35" t="s">
        <v>3041</v>
      </c>
      <c r="D1861" s="1" t="s">
        <v>1068</v>
      </c>
      <c r="E1861" s="1">
        <v>42</v>
      </c>
      <c r="F1861" s="1" t="s">
        <v>44</v>
      </c>
      <c r="G1861" s="1" t="s">
        <v>35</v>
      </c>
      <c r="H1861" s="1" t="s">
        <v>36</v>
      </c>
      <c r="I1861" s="1" t="s">
        <v>57</v>
      </c>
      <c r="J1861" s="7">
        <v>37043</v>
      </c>
      <c r="K1861" s="1">
        <v>343</v>
      </c>
      <c r="L1861" s="7">
        <v>4465</v>
      </c>
      <c r="M1861" s="1">
        <v>36</v>
      </c>
      <c r="N1861" s="6">
        <v>7.85E-2</v>
      </c>
      <c r="O1861" s="1" t="s">
        <v>52</v>
      </c>
      <c r="P1861" s="1" t="s">
        <v>47</v>
      </c>
      <c r="Q1861" s="1">
        <v>25</v>
      </c>
      <c r="R1861" s="1">
        <v>2</v>
      </c>
      <c r="S1861" s="1" t="s">
        <v>31</v>
      </c>
      <c r="T1861" s="1" t="s">
        <v>31</v>
      </c>
      <c r="U1861" s="1">
        <v>4</v>
      </c>
      <c r="V1861" s="1">
        <v>114235</v>
      </c>
      <c r="W1861" s="7">
        <v>1398.54</v>
      </c>
      <c r="X1861" s="1">
        <v>0.89</v>
      </c>
      <c r="Y1861" s="4">
        <v>44831</v>
      </c>
      <c r="Z1861" s="1" t="s">
        <v>32</v>
      </c>
      <c r="AA1861" s="1" t="s">
        <v>31</v>
      </c>
      <c r="AB1861" s="36" t="str" cm="1">
        <f t="array" ref="AB1861">_xlfn.IFS(K1861&gt;650,"LOW",K1861&gt;=550,"MEDIUM",K1861&lt;550,"HIGH")</f>
        <v>HIGH</v>
      </c>
    </row>
    <row r="1862" spans="3:28" x14ac:dyDescent="0.3">
      <c r="C1862" s="35" t="s">
        <v>3409</v>
      </c>
      <c r="D1862" s="1" t="s">
        <v>1429</v>
      </c>
      <c r="E1862" s="1">
        <v>55</v>
      </c>
      <c r="F1862" s="1" t="s">
        <v>44</v>
      </c>
      <c r="G1862" s="1" t="s">
        <v>27</v>
      </c>
      <c r="H1862" s="1" t="s">
        <v>28</v>
      </c>
      <c r="I1862" s="1" t="s">
        <v>57</v>
      </c>
      <c r="J1862" s="7">
        <v>123903</v>
      </c>
      <c r="K1862" s="1">
        <v>343</v>
      </c>
      <c r="L1862" s="7">
        <v>30283</v>
      </c>
      <c r="M1862" s="1">
        <v>36</v>
      </c>
      <c r="N1862" s="6">
        <v>0.17309999999999998</v>
      </c>
      <c r="O1862" s="1" t="s">
        <v>52</v>
      </c>
      <c r="P1862" s="1" t="s">
        <v>50</v>
      </c>
      <c r="Q1862" s="1">
        <v>26</v>
      </c>
      <c r="R1862" s="1">
        <v>2</v>
      </c>
      <c r="S1862" s="1" t="s">
        <v>31</v>
      </c>
      <c r="T1862" s="1" t="s">
        <v>33</v>
      </c>
      <c r="U1862" s="1">
        <v>3</v>
      </c>
      <c r="V1862" s="1">
        <v>186254</v>
      </c>
      <c r="W1862" s="7">
        <v>154.81</v>
      </c>
      <c r="X1862" s="1">
        <v>0.53</v>
      </c>
      <c r="Y1862" s="4">
        <v>44307</v>
      </c>
      <c r="Z1862" s="1" t="s">
        <v>32</v>
      </c>
      <c r="AA1862" s="1" t="s">
        <v>33</v>
      </c>
      <c r="AB1862" s="36" t="str" cm="1">
        <f t="array" ref="AB1862">_xlfn.IFS(K1862&gt;650,"LOW",K1862&gt;=550,"MEDIUM",K1862&lt;550,"HIGH")</f>
        <v>HIGH</v>
      </c>
    </row>
    <row r="1863" spans="3:28" x14ac:dyDescent="0.3">
      <c r="C1863" s="35" t="s">
        <v>2189</v>
      </c>
      <c r="D1863" s="1" t="s">
        <v>220</v>
      </c>
      <c r="E1863" s="1">
        <v>21</v>
      </c>
      <c r="F1863" s="1" t="s">
        <v>44</v>
      </c>
      <c r="G1863" s="1" t="s">
        <v>45</v>
      </c>
      <c r="H1863" s="1" t="s">
        <v>28</v>
      </c>
      <c r="I1863" s="1" t="s">
        <v>29</v>
      </c>
      <c r="J1863" s="7">
        <v>85034</v>
      </c>
      <c r="K1863" s="1">
        <v>342</v>
      </c>
      <c r="L1863" s="7">
        <v>10552</v>
      </c>
      <c r="M1863" s="1">
        <v>60</v>
      </c>
      <c r="N1863" s="6">
        <v>0.11960000000000001</v>
      </c>
      <c r="O1863" s="1" t="s">
        <v>41</v>
      </c>
      <c r="P1863" s="1" t="s">
        <v>30</v>
      </c>
      <c r="Q1863" s="1">
        <v>8</v>
      </c>
      <c r="R1863" s="1">
        <v>2</v>
      </c>
      <c r="S1863" s="1" t="s">
        <v>31</v>
      </c>
      <c r="T1863" s="1" t="s">
        <v>31</v>
      </c>
      <c r="U1863" s="1">
        <v>3</v>
      </c>
      <c r="V1863" s="1">
        <v>101879</v>
      </c>
      <c r="W1863" s="7">
        <v>382.5</v>
      </c>
      <c r="X1863" s="1">
        <v>0.3</v>
      </c>
      <c r="Y1863" s="4">
        <v>44427</v>
      </c>
      <c r="Z1863" s="1" t="s">
        <v>32</v>
      </c>
      <c r="AA1863" s="1" t="s">
        <v>33</v>
      </c>
      <c r="AB1863" s="36" t="str" cm="1">
        <f t="array" ref="AB1863">_xlfn.IFS(K1863&gt;650,"LOW",K1863&gt;=550,"MEDIUM",K1863&lt;550,"HIGH")</f>
        <v>HIGH</v>
      </c>
    </row>
    <row r="1864" spans="3:28" x14ac:dyDescent="0.3">
      <c r="C1864" s="35" t="s">
        <v>2365</v>
      </c>
      <c r="D1864" s="1" t="s">
        <v>395</v>
      </c>
      <c r="E1864" s="1">
        <v>42</v>
      </c>
      <c r="F1864" s="1" t="s">
        <v>26</v>
      </c>
      <c r="G1864" s="1" t="s">
        <v>56</v>
      </c>
      <c r="H1864" s="1" t="s">
        <v>28</v>
      </c>
      <c r="I1864" s="1" t="s">
        <v>40</v>
      </c>
      <c r="J1864" s="7">
        <v>32963</v>
      </c>
      <c r="K1864" s="1">
        <v>342</v>
      </c>
      <c r="L1864" s="7">
        <v>39015</v>
      </c>
      <c r="M1864" s="1">
        <v>24</v>
      </c>
      <c r="N1864" s="6">
        <v>8.9700000000000002E-2</v>
      </c>
      <c r="O1864" s="1" t="s">
        <v>5</v>
      </c>
      <c r="P1864" s="1" t="s">
        <v>47</v>
      </c>
      <c r="Q1864" s="1">
        <v>21</v>
      </c>
      <c r="R1864" s="1">
        <v>3</v>
      </c>
      <c r="S1864" s="1" t="s">
        <v>31</v>
      </c>
      <c r="T1864" s="1" t="s">
        <v>31</v>
      </c>
      <c r="U1864" s="1">
        <v>2</v>
      </c>
      <c r="V1864" s="1">
        <v>67950</v>
      </c>
      <c r="W1864" s="7">
        <v>355.67</v>
      </c>
      <c r="X1864" s="1">
        <v>0.13</v>
      </c>
      <c r="Y1864" s="4">
        <v>45581</v>
      </c>
      <c r="Z1864" s="1" t="s">
        <v>32</v>
      </c>
      <c r="AA1864" s="1" t="s">
        <v>33</v>
      </c>
      <c r="AB1864" s="36" t="str" cm="1">
        <f t="array" ref="AB1864">_xlfn.IFS(K1864&gt;650,"LOW",K1864&gt;=550,"MEDIUM",K1864&lt;550,"HIGH")</f>
        <v>HIGH</v>
      </c>
    </row>
    <row r="1865" spans="3:28" x14ac:dyDescent="0.3">
      <c r="C1865" s="35" t="s">
        <v>2504</v>
      </c>
      <c r="D1865" s="1" t="s">
        <v>534</v>
      </c>
      <c r="E1865" s="1">
        <v>49</v>
      </c>
      <c r="F1865" s="1" t="s">
        <v>26</v>
      </c>
      <c r="G1865" s="1" t="s">
        <v>27</v>
      </c>
      <c r="H1865" s="1" t="s">
        <v>54</v>
      </c>
      <c r="I1865" s="1" t="s">
        <v>40</v>
      </c>
      <c r="J1865" s="7">
        <v>132255</v>
      </c>
      <c r="K1865" s="1">
        <v>342</v>
      </c>
      <c r="L1865" s="7">
        <v>15167</v>
      </c>
      <c r="M1865" s="1">
        <v>24</v>
      </c>
      <c r="N1865" s="6">
        <v>0.159</v>
      </c>
      <c r="O1865" s="1" t="s">
        <v>52</v>
      </c>
      <c r="P1865" s="1" t="s">
        <v>30</v>
      </c>
      <c r="Q1865" s="1">
        <v>17</v>
      </c>
      <c r="R1865" s="1">
        <v>2</v>
      </c>
      <c r="S1865" s="1" t="s">
        <v>33</v>
      </c>
      <c r="T1865" s="1" t="s">
        <v>33</v>
      </c>
      <c r="U1865" s="1">
        <v>3</v>
      </c>
      <c r="V1865" s="1">
        <v>164290</v>
      </c>
      <c r="W1865" s="7">
        <v>1585.19</v>
      </c>
      <c r="X1865" s="1">
        <v>0.35</v>
      </c>
      <c r="Y1865" s="4">
        <v>45154</v>
      </c>
      <c r="Z1865" s="1" t="s">
        <v>32</v>
      </c>
      <c r="AA1865" s="1" t="s">
        <v>33</v>
      </c>
      <c r="AB1865" s="36" t="str" cm="1">
        <f t="array" ref="AB1865">_xlfn.IFS(K1865&gt;650,"LOW",K1865&gt;=550,"MEDIUM",K1865&lt;550,"HIGH")</f>
        <v>HIGH</v>
      </c>
    </row>
    <row r="1866" spans="3:28" x14ac:dyDescent="0.3">
      <c r="C1866" s="35" t="s">
        <v>2224</v>
      </c>
      <c r="D1866" s="1" t="s">
        <v>255</v>
      </c>
      <c r="E1866" s="1">
        <v>22</v>
      </c>
      <c r="F1866" s="1" t="s">
        <v>44</v>
      </c>
      <c r="G1866" s="1" t="s">
        <v>27</v>
      </c>
      <c r="H1866" s="1" t="s">
        <v>61</v>
      </c>
      <c r="I1866" s="1" t="s">
        <v>59</v>
      </c>
      <c r="J1866" s="7">
        <v>40689</v>
      </c>
      <c r="K1866" s="1">
        <v>341</v>
      </c>
      <c r="L1866" s="7">
        <v>21796</v>
      </c>
      <c r="M1866" s="1">
        <v>12</v>
      </c>
      <c r="N1866" s="6">
        <v>0.17949999999999999</v>
      </c>
      <c r="O1866" s="1" t="s">
        <v>52</v>
      </c>
      <c r="P1866" s="1" t="s">
        <v>30</v>
      </c>
      <c r="Q1866" s="1">
        <v>10</v>
      </c>
      <c r="R1866" s="1">
        <v>1</v>
      </c>
      <c r="S1866" s="1" t="s">
        <v>33</v>
      </c>
      <c r="T1866" s="1" t="s">
        <v>33</v>
      </c>
      <c r="U1866" s="1">
        <v>3</v>
      </c>
      <c r="V1866" s="1">
        <v>36397</v>
      </c>
      <c r="W1866" s="7">
        <v>1946.42</v>
      </c>
      <c r="X1866" s="1">
        <v>0.57999999999999996</v>
      </c>
      <c r="Y1866" s="4">
        <v>44255</v>
      </c>
      <c r="Z1866" s="1" t="s">
        <v>32</v>
      </c>
      <c r="AA1866" s="1" t="s">
        <v>33</v>
      </c>
      <c r="AB1866" s="36" t="str" cm="1">
        <f t="array" ref="AB1866">_xlfn.IFS(K1866&gt;650,"LOW",K1866&gt;=550,"MEDIUM",K1866&lt;550,"HIGH")</f>
        <v>HIGH</v>
      </c>
    </row>
    <row r="1867" spans="3:28" x14ac:dyDescent="0.3">
      <c r="C1867" s="35" t="s">
        <v>2287</v>
      </c>
      <c r="D1867" s="1" t="s">
        <v>318</v>
      </c>
      <c r="E1867" s="1">
        <v>44</v>
      </c>
      <c r="F1867" s="1" t="s">
        <v>44</v>
      </c>
      <c r="G1867" s="1" t="s">
        <v>35</v>
      </c>
      <c r="H1867" s="1" t="s">
        <v>54</v>
      </c>
      <c r="I1867" s="1" t="s">
        <v>59</v>
      </c>
      <c r="J1867" s="7">
        <v>48477</v>
      </c>
      <c r="K1867" s="1">
        <v>341</v>
      </c>
      <c r="L1867" s="7">
        <v>24284</v>
      </c>
      <c r="M1867" s="1">
        <v>24</v>
      </c>
      <c r="N1867" s="6">
        <v>0.1072</v>
      </c>
      <c r="O1867" s="1" t="s">
        <v>37</v>
      </c>
      <c r="P1867" s="1" t="s">
        <v>50</v>
      </c>
      <c r="Q1867" s="1">
        <v>22</v>
      </c>
      <c r="R1867" s="1">
        <v>0</v>
      </c>
      <c r="S1867" s="1" t="s">
        <v>33</v>
      </c>
      <c r="T1867" s="1" t="s">
        <v>31</v>
      </c>
      <c r="U1867" s="1">
        <v>4</v>
      </c>
      <c r="V1867" s="1">
        <v>44857</v>
      </c>
      <c r="W1867" s="7">
        <v>715.75</v>
      </c>
      <c r="X1867" s="1">
        <v>0.13</v>
      </c>
      <c r="Y1867" s="4">
        <v>45251</v>
      </c>
      <c r="Z1867" s="1" t="s">
        <v>38</v>
      </c>
      <c r="AA1867" s="1" t="s">
        <v>33</v>
      </c>
      <c r="AB1867" s="36" t="str" cm="1">
        <f t="array" ref="AB1867">_xlfn.IFS(K1867&gt;650,"LOW",K1867&gt;=550,"MEDIUM",K1867&lt;550,"HIGH")</f>
        <v>HIGH</v>
      </c>
    </row>
    <row r="1868" spans="3:28" x14ac:dyDescent="0.3">
      <c r="C1868" s="35" t="s">
        <v>3093</v>
      </c>
      <c r="D1868" s="1" t="s">
        <v>1118</v>
      </c>
      <c r="E1868" s="1">
        <v>28</v>
      </c>
      <c r="F1868" s="1" t="s">
        <v>26</v>
      </c>
      <c r="G1868" s="1" t="s">
        <v>27</v>
      </c>
      <c r="H1868" s="1" t="s">
        <v>54</v>
      </c>
      <c r="I1868" s="1" t="s">
        <v>59</v>
      </c>
      <c r="J1868" s="7">
        <v>108780</v>
      </c>
      <c r="K1868" s="1">
        <v>341</v>
      </c>
      <c r="L1868" s="7">
        <v>44075</v>
      </c>
      <c r="M1868" s="1">
        <v>24</v>
      </c>
      <c r="N1868" s="6">
        <v>6.2899999999999998E-2</v>
      </c>
      <c r="O1868" s="1" t="s">
        <v>37</v>
      </c>
      <c r="P1868" s="1" t="s">
        <v>50</v>
      </c>
      <c r="Q1868" s="1">
        <v>23</v>
      </c>
      <c r="R1868" s="1">
        <v>1</v>
      </c>
      <c r="S1868" s="1" t="s">
        <v>31</v>
      </c>
      <c r="T1868" s="1" t="s">
        <v>31</v>
      </c>
      <c r="U1868" s="1">
        <v>1</v>
      </c>
      <c r="V1868" s="1">
        <v>184537</v>
      </c>
      <c r="W1868" s="7">
        <v>1074.8800000000001</v>
      </c>
      <c r="X1868" s="1">
        <v>0.87</v>
      </c>
      <c r="Y1868" s="4">
        <v>45185</v>
      </c>
      <c r="Z1868" s="1" t="s">
        <v>38</v>
      </c>
      <c r="AA1868" s="1" t="s">
        <v>33</v>
      </c>
      <c r="AB1868" s="36" t="str" cm="1">
        <f t="array" ref="AB1868">_xlfn.IFS(K1868&gt;650,"LOW",K1868&gt;=550,"MEDIUM",K1868&lt;550,"HIGH")</f>
        <v>HIGH</v>
      </c>
    </row>
    <row r="1869" spans="3:28" x14ac:dyDescent="0.3">
      <c r="C1869" s="35" t="s">
        <v>3695</v>
      </c>
      <c r="D1869" s="1" t="s">
        <v>1706</v>
      </c>
      <c r="E1869" s="1">
        <v>37</v>
      </c>
      <c r="F1869" s="1" t="s">
        <v>26</v>
      </c>
      <c r="G1869" s="1" t="s">
        <v>27</v>
      </c>
      <c r="H1869" s="1" t="s">
        <v>54</v>
      </c>
      <c r="I1869" s="1" t="s">
        <v>40</v>
      </c>
      <c r="J1869" s="7">
        <v>20368</v>
      </c>
      <c r="K1869" s="1">
        <v>341</v>
      </c>
      <c r="L1869" s="7">
        <v>10982</v>
      </c>
      <c r="M1869" s="1">
        <v>12</v>
      </c>
      <c r="N1869" s="6">
        <v>0.1366</v>
      </c>
      <c r="O1869" s="1" t="s">
        <v>37</v>
      </c>
      <c r="P1869" s="1" t="s">
        <v>30</v>
      </c>
      <c r="Q1869" s="1">
        <v>23</v>
      </c>
      <c r="R1869" s="1">
        <v>1</v>
      </c>
      <c r="S1869" s="1" t="s">
        <v>33</v>
      </c>
      <c r="T1869" s="1" t="s">
        <v>31</v>
      </c>
      <c r="U1869" s="1">
        <v>2</v>
      </c>
      <c r="V1869" s="1">
        <v>49411</v>
      </c>
      <c r="W1869" s="7">
        <v>567.51</v>
      </c>
      <c r="X1869" s="1">
        <v>0.69</v>
      </c>
      <c r="Y1869" s="4">
        <v>44482</v>
      </c>
      <c r="Z1869" s="1" t="s">
        <v>38</v>
      </c>
      <c r="AA1869" s="1" t="s">
        <v>33</v>
      </c>
      <c r="AB1869" s="36" t="str" cm="1">
        <f t="array" ref="AB1869">_xlfn.IFS(K1869&gt;650,"LOW",K1869&gt;=550,"MEDIUM",K1869&lt;550,"HIGH")</f>
        <v>HIGH</v>
      </c>
    </row>
    <row r="1870" spans="3:28" x14ac:dyDescent="0.3">
      <c r="C1870" s="35" t="s">
        <v>3728</v>
      </c>
      <c r="D1870" s="1" t="s">
        <v>1736</v>
      </c>
      <c r="E1870" s="1">
        <v>50</v>
      </c>
      <c r="F1870" s="1" t="s">
        <v>44</v>
      </c>
      <c r="G1870" s="1" t="s">
        <v>27</v>
      </c>
      <c r="H1870" s="1" t="s">
        <v>54</v>
      </c>
      <c r="I1870" s="1" t="s">
        <v>40</v>
      </c>
      <c r="J1870" s="7">
        <v>121610</v>
      </c>
      <c r="K1870" s="1">
        <v>341</v>
      </c>
      <c r="L1870" s="7">
        <v>1590</v>
      </c>
      <c r="M1870" s="1">
        <v>24</v>
      </c>
      <c r="N1870" s="6">
        <v>0.1963</v>
      </c>
      <c r="O1870" s="1" t="s">
        <v>41</v>
      </c>
      <c r="P1870" s="1" t="s">
        <v>47</v>
      </c>
      <c r="Q1870" s="1">
        <v>16</v>
      </c>
      <c r="R1870" s="1">
        <v>3</v>
      </c>
      <c r="S1870" s="1" t="s">
        <v>33</v>
      </c>
      <c r="T1870" s="1" t="s">
        <v>33</v>
      </c>
      <c r="U1870" s="1">
        <v>3</v>
      </c>
      <c r="V1870" s="1">
        <v>21576</v>
      </c>
      <c r="W1870" s="7">
        <v>672.4</v>
      </c>
      <c r="X1870" s="1">
        <v>0.83</v>
      </c>
      <c r="Y1870" s="4">
        <v>44548</v>
      </c>
      <c r="Z1870" s="1" t="s">
        <v>32</v>
      </c>
      <c r="AA1870" s="1" t="s">
        <v>33</v>
      </c>
      <c r="AB1870" s="36" t="str" cm="1">
        <f t="array" ref="AB1870">_xlfn.IFS(K1870&gt;650,"LOW",K1870&gt;=550,"MEDIUM",K1870&lt;550,"HIGH")</f>
        <v>HIGH</v>
      </c>
    </row>
    <row r="1871" spans="3:28" x14ac:dyDescent="0.3">
      <c r="C1871" s="35" t="s">
        <v>2568</v>
      </c>
      <c r="D1871" s="1" t="s">
        <v>598</v>
      </c>
      <c r="E1871" s="1">
        <v>55</v>
      </c>
      <c r="F1871" s="1" t="s">
        <v>44</v>
      </c>
      <c r="G1871" s="1" t="s">
        <v>27</v>
      </c>
      <c r="H1871" s="1" t="s">
        <v>61</v>
      </c>
      <c r="I1871" s="1" t="s">
        <v>59</v>
      </c>
      <c r="J1871" s="7">
        <v>109743</v>
      </c>
      <c r="K1871" s="1">
        <v>340</v>
      </c>
      <c r="L1871" s="7">
        <v>14470</v>
      </c>
      <c r="M1871" s="1">
        <v>36</v>
      </c>
      <c r="N1871" s="6">
        <v>0.17230000000000001</v>
      </c>
      <c r="O1871" s="1" t="s">
        <v>52</v>
      </c>
      <c r="P1871" s="1" t="s">
        <v>47</v>
      </c>
      <c r="Q1871" s="1">
        <v>5</v>
      </c>
      <c r="R1871" s="1">
        <v>1</v>
      </c>
      <c r="S1871" s="1" t="s">
        <v>31</v>
      </c>
      <c r="T1871" s="1" t="s">
        <v>33</v>
      </c>
      <c r="U1871" s="1">
        <v>3</v>
      </c>
      <c r="V1871" s="1">
        <v>153879</v>
      </c>
      <c r="W1871" s="7">
        <v>1690.46</v>
      </c>
      <c r="X1871" s="1">
        <v>0.95</v>
      </c>
      <c r="Y1871" s="4">
        <v>45281</v>
      </c>
      <c r="Z1871" s="1" t="s">
        <v>32</v>
      </c>
      <c r="AA1871" s="1" t="s">
        <v>31</v>
      </c>
      <c r="AB1871" s="36" t="str" cm="1">
        <f t="array" ref="AB1871">_xlfn.IFS(K1871&gt;650,"LOW",K1871&gt;=550,"MEDIUM",K1871&lt;550,"HIGH")</f>
        <v>HIGH</v>
      </c>
    </row>
    <row r="1872" spans="3:28" x14ac:dyDescent="0.3">
      <c r="C1872" s="35" t="s">
        <v>3028</v>
      </c>
      <c r="D1872" s="1" t="s">
        <v>1055</v>
      </c>
      <c r="E1872" s="1">
        <v>49</v>
      </c>
      <c r="F1872" s="1" t="s">
        <v>26</v>
      </c>
      <c r="G1872" s="1" t="s">
        <v>56</v>
      </c>
      <c r="H1872" s="1" t="s">
        <v>54</v>
      </c>
      <c r="I1872" s="1" t="s">
        <v>59</v>
      </c>
      <c r="J1872" s="7">
        <v>88322</v>
      </c>
      <c r="K1872" s="1">
        <v>340</v>
      </c>
      <c r="L1872" s="7">
        <v>12652</v>
      </c>
      <c r="M1872" s="1">
        <v>48</v>
      </c>
      <c r="N1872" s="6">
        <v>6.8000000000000005E-2</v>
      </c>
      <c r="O1872" s="1" t="s">
        <v>63</v>
      </c>
      <c r="P1872" s="1" t="s">
        <v>47</v>
      </c>
      <c r="Q1872" s="1">
        <v>3</v>
      </c>
      <c r="R1872" s="1">
        <v>3</v>
      </c>
      <c r="S1872" s="1" t="s">
        <v>31</v>
      </c>
      <c r="T1872" s="1" t="s">
        <v>31</v>
      </c>
      <c r="U1872" s="1">
        <v>4</v>
      </c>
      <c r="V1872" s="1">
        <v>64236</v>
      </c>
      <c r="W1872" s="7">
        <v>1509.38</v>
      </c>
      <c r="X1872" s="1">
        <v>0.84</v>
      </c>
      <c r="Y1872" s="4">
        <v>44476</v>
      </c>
      <c r="Z1872" s="1" t="s">
        <v>32</v>
      </c>
      <c r="AA1872" s="1" t="s">
        <v>31</v>
      </c>
      <c r="AB1872" s="36" t="str" cm="1">
        <f t="array" ref="AB1872">_xlfn.IFS(K1872&gt;650,"LOW",K1872&gt;=550,"MEDIUM",K1872&lt;550,"HIGH")</f>
        <v>HIGH</v>
      </c>
    </row>
    <row r="1873" spans="3:28" x14ac:dyDescent="0.3">
      <c r="C1873" s="35" t="s">
        <v>3239</v>
      </c>
      <c r="D1873" s="1" t="s">
        <v>1263</v>
      </c>
      <c r="E1873" s="1">
        <v>40</v>
      </c>
      <c r="F1873" s="1" t="s">
        <v>26</v>
      </c>
      <c r="G1873" s="1" t="s">
        <v>56</v>
      </c>
      <c r="H1873" s="1" t="s">
        <v>28</v>
      </c>
      <c r="I1873" s="1" t="s">
        <v>40</v>
      </c>
      <c r="J1873" s="7">
        <v>121164</v>
      </c>
      <c r="K1873" s="1">
        <v>340</v>
      </c>
      <c r="L1873" s="7">
        <v>8830</v>
      </c>
      <c r="M1873" s="1">
        <v>24</v>
      </c>
      <c r="N1873" s="6">
        <v>0.10779999999999999</v>
      </c>
      <c r="O1873" s="1" t="s">
        <v>41</v>
      </c>
      <c r="P1873" s="1" t="s">
        <v>30</v>
      </c>
      <c r="Q1873" s="1">
        <v>9</v>
      </c>
      <c r="R1873" s="1">
        <v>0</v>
      </c>
      <c r="S1873" s="1" t="s">
        <v>33</v>
      </c>
      <c r="T1873" s="1" t="s">
        <v>33</v>
      </c>
      <c r="U1873" s="1">
        <v>4</v>
      </c>
      <c r="V1873" s="1">
        <v>25314</v>
      </c>
      <c r="W1873" s="7">
        <v>267.77</v>
      </c>
      <c r="X1873" s="1">
        <v>0.52</v>
      </c>
      <c r="Y1873" s="4">
        <v>45593</v>
      </c>
      <c r="Z1873" s="1" t="s">
        <v>38</v>
      </c>
      <c r="AA1873" s="1" t="s">
        <v>33</v>
      </c>
      <c r="AB1873" s="36" t="str" cm="1">
        <f t="array" ref="AB1873">_xlfn.IFS(K1873&gt;650,"LOW",K1873&gt;=550,"MEDIUM",K1873&lt;550,"HIGH")</f>
        <v>HIGH</v>
      </c>
    </row>
    <row r="1874" spans="3:28" x14ac:dyDescent="0.3">
      <c r="C1874" s="35" t="s">
        <v>3471</v>
      </c>
      <c r="D1874" s="1" t="s">
        <v>1489</v>
      </c>
      <c r="E1874" s="1">
        <v>57</v>
      </c>
      <c r="F1874" s="1" t="s">
        <v>44</v>
      </c>
      <c r="G1874" s="1" t="s">
        <v>56</v>
      </c>
      <c r="H1874" s="1" t="s">
        <v>61</v>
      </c>
      <c r="I1874" s="1" t="s">
        <v>29</v>
      </c>
      <c r="J1874" s="7">
        <v>27642</v>
      </c>
      <c r="K1874" s="1">
        <v>340</v>
      </c>
      <c r="L1874" s="7">
        <v>33576</v>
      </c>
      <c r="M1874" s="1">
        <v>48</v>
      </c>
      <c r="N1874" s="6">
        <v>0.13350000000000001</v>
      </c>
      <c r="O1874" s="1" t="s">
        <v>46</v>
      </c>
      <c r="P1874" s="1" t="s">
        <v>30</v>
      </c>
      <c r="Q1874" s="1">
        <v>19</v>
      </c>
      <c r="R1874" s="1">
        <v>3</v>
      </c>
      <c r="S1874" s="1" t="s">
        <v>33</v>
      </c>
      <c r="T1874" s="1" t="s">
        <v>33</v>
      </c>
      <c r="U1874" s="1">
        <v>3</v>
      </c>
      <c r="V1874" s="1">
        <v>147919</v>
      </c>
      <c r="W1874" s="7">
        <v>1220.99</v>
      </c>
      <c r="X1874" s="1">
        <v>0.79</v>
      </c>
      <c r="Y1874" s="4">
        <v>45585</v>
      </c>
      <c r="Z1874" s="1" t="s">
        <v>38</v>
      </c>
      <c r="AA1874" s="1" t="s">
        <v>33</v>
      </c>
      <c r="AB1874" s="36" t="str" cm="1">
        <f t="array" ref="AB1874">_xlfn.IFS(K1874&gt;650,"LOW",K1874&gt;=550,"MEDIUM",K1874&lt;550,"HIGH")</f>
        <v>HIGH</v>
      </c>
    </row>
    <row r="1875" spans="3:28" x14ac:dyDescent="0.3">
      <c r="C1875" s="35" t="s">
        <v>3382</v>
      </c>
      <c r="D1875" s="1" t="s">
        <v>1403</v>
      </c>
      <c r="E1875" s="1">
        <v>36</v>
      </c>
      <c r="F1875" s="1" t="s">
        <v>26</v>
      </c>
      <c r="G1875" s="1" t="s">
        <v>56</v>
      </c>
      <c r="H1875" s="1" t="s">
        <v>36</v>
      </c>
      <c r="I1875" s="1" t="s">
        <v>59</v>
      </c>
      <c r="J1875" s="7">
        <v>139154</v>
      </c>
      <c r="K1875" s="1">
        <v>339</v>
      </c>
      <c r="L1875" s="7">
        <v>27926</v>
      </c>
      <c r="M1875" s="1">
        <v>12</v>
      </c>
      <c r="N1875" s="6">
        <v>0.1275</v>
      </c>
      <c r="O1875" s="1" t="s">
        <v>63</v>
      </c>
      <c r="P1875" s="1" t="s">
        <v>30</v>
      </c>
      <c r="Q1875" s="1">
        <v>12</v>
      </c>
      <c r="R1875" s="1">
        <v>0</v>
      </c>
      <c r="S1875" s="1" t="s">
        <v>31</v>
      </c>
      <c r="T1875" s="1" t="s">
        <v>33</v>
      </c>
      <c r="U1875" s="1">
        <v>3</v>
      </c>
      <c r="V1875" s="1">
        <v>10370</v>
      </c>
      <c r="W1875" s="7">
        <v>473.7</v>
      </c>
      <c r="X1875" s="1">
        <v>0.42</v>
      </c>
      <c r="Y1875" s="4">
        <v>45198</v>
      </c>
      <c r="Z1875" s="1" t="s">
        <v>32</v>
      </c>
      <c r="AA1875" s="1" t="s">
        <v>33</v>
      </c>
      <c r="AB1875" s="36" t="str" cm="1">
        <f t="array" ref="AB1875">_xlfn.IFS(K1875&gt;650,"LOW",K1875&gt;=550,"MEDIUM",K1875&lt;550,"HIGH")</f>
        <v>HIGH</v>
      </c>
    </row>
    <row r="1876" spans="3:28" x14ac:dyDescent="0.3">
      <c r="C1876" s="35" t="s">
        <v>3950</v>
      </c>
      <c r="D1876" s="1" t="s">
        <v>1952</v>
      </c>
      <c r="E1876" s="1">
        <v>49</v>
      </c>
      <c r="F1876" s="1" t="s">
        <v>26</v>
      </c>
      <c r="G1876" s="1" t="s">
        <v>35</v>
      </c>
      <c r="H1876" s="1" t="s">
        <v>61</v>
      </c>
      <c r="I1876" s="1" t="s">
        <v>29</v>
      </c>
      <c r="J1876" s="7">
        <v>64149</v>
      </c>
      <c r="K1876" s="1">
        <v>339</v>
      </c>
      <c r="L1876" s="7">
        <v>39485</v>
      </c>
      <c r="M1876" s="1">
        <v>48</v>
      </c>
      <c r="N1876" s="6">
        <v>8.4199999999999997E-2</v>
      </c>
      <c r="O1876" s="1" t="s">
        <v>63</v>
      </c>
      <c r="P1876" s="1" t="s">
        <v>50</v>
      </c>
      <c r="Q1876" s="1">
        <v>22</v>
      </c>
      <c r="R1876" s="1">
        <v>2</v>
      </c>
      <c r="S1876" s="1" t="s">
        <v>31</v>
      </c>
      <c r="T1876" s="1" t="s">
        <v>31</v>
      </c>
      <c r="U1876" s="1">
        <v>3</v>
      </c>
      <c r="V1876" s="1">
        <v>29483</v>
      </c>
      <c r="W1876" s="7">
        <v>1062.1300000000001</v>
      </c>
      <c r="X1876" s="1">
        <v>0.35</v>
      </c>
      <c r="Y1876" s="4">
        <v>44216</v>
      </c>
      <c r="Z1876" s="1" t="s">
        <v>38</v>
      </c>
      <c r="AA1876" s="1" t="s">
        <v>33</v>
      </c>
      <c r="AB1876" s="36" t="str" cm="1">
        <f t="array" ref="AB1876">_xlfn.IFS(K1876&gt;650,"LOW",K1876&gt;=550,"MEDIUM",K1876&lt;550,"HIGH")</f>
        <v>HIGH</v>
      </c>
    </row>
    <row r="1877" spans="3:28" x14ac:dyDescent="0.3">
      <c r="C1877" s="35" t="s">
        <v>3078</v>
      </c>
      <c r="D1877" s="1" t="s">
        <v>1104</v>
      </c>
      <c r="E1877" s="1">
        <v>32</v>
      </c>
      <c r="F1877" s="1" t="s">
        <v>44</v>
      </c>
      <c r="G1877" s="1" t="s">
        <v>35</v>
      </c>
      <c r="H1877" s="1" t="s">
        <v>54</v>
      </c>
      <c r="I1877" s="1" t="s">
        <v>29</v>
      </c>
      <c r="J1877" s="7">
        <v>54206</v>
      </c>
      <c r="K1877" s="1">
        <v>338</v>
      </c>
      <c r="L1877" s="7">
        <v>4691</v>
      </c>
      <c r="M1877" s="1">
        <v>48</v>
      </c>
      <c r="N1877" s="6">
        <v>0.12670000000000001</v>
      </c>
      <c r="O1877" s="1" t="s">
        <v>41</v>
      </c>
      <c r="P1877" s="1" t="s">
        <v>50</v>
      </c>
      <c r="Q1877" s="1">
        <v>11</v>
      </c>
      <c r="R1877" s="1">
        <v>2</v>
      </c>
      <c r="S1877" s="1" t="s">
        <v>31</v>
      </c>
      <c r="T1877" s="1" t="s">
        <v>31</v>
      </c>
      <c r="U1877" s="1">
        <v>1</v>
      </c>
      <c r="V1877" s="1">
        <v>157868</v>
      </c>
      <c r="W1877" s="7">
        <v>918.93</v>
      </c>
      <c r="X1877" s="1">
        <v>0.32</v>
      </c>
      <c r="Y1877" s="4">
        <v>45053</v>
      </c>
      <c r="Z1877" s="1" t="s">
        <v>32</v>
      </c>
      <c r="AA1877" s="1" t="s">
        <v>33</v>
      </c>
      <c r="AB1877" s="36" t="str" cm="1">
        <f t="array" ref="AB1877">_xlfn.IFS(K1877&gt;650,"LOW",K1877&gt;=550,"MEDIUM",K1877&lt;550,"HIGH")</f>
        <v>HIGH</v>
      </c>
    </row>
    <row r="1878" spans="3:28" x14ac:dyDescent="0.3">
      <c r="C1878" s="35" t="s">
        <v>3213</v>
      </c>
      <c r="D1878" s="1" t="s">
        <v>1237</v>
      </c>
      <c r="E1878" s="1">
        <v>57</v>
      </c>
      <c r="F1878" s="1" t="s">
        <v>44</v>
      </c>
      <c r="G1878" s="1" t="s">
        <v>35</v>
      </c>
      <c r="H1878" s="1" t="s">
        <v>28</v>
      </c>
      <c r="I1878" s="1" t="s">
        <v>59</v>
      </c>
      <c r="J1878" s="7">
        <v>126410</v>
      </c>
      <c r="K1878" s="1">
        <v>338</v>
      </c>
      <c r="L1878" s="7">
        <v>24016</v>
      </c>
      <c r="M1878" s="1">
        <v>60</v>
      </c>
      <c r="N1878" s="6">
        <v>6.480000000000001E-2</v>
      </c>
      <c r="O1878" s="1" t="s">
        <v>5</v>
      </c>
      <c r="P1878" s="1" t="s">
        <v>47</v>
      </c>
      <c r="Q1878" s="1">
        <v>5</v>
      </c>
      <c r="R1878" s="1">
        <v>4</v>
      </c>
      <c r="S1878" s="1" t="s">
        <v>33</v>
      </c>
      <c r="T1878" s="1" t="s">
        <v>33</v>
      </c>
      <c r="U1878" s="1">
        <v>4</v>
      </c>
      <c r="V1878" s="1">
        <v>159894</v>
      </c>
      <c r="W1878" s="7">
        <v>1659.71</v>
      </c>
      <c r="X1878" s="1">
        <v>0.61</v>
      </c>
      <c r="Y1878" s="4">
        <v>45509</v>
      </c>
      <c r="Z1878" s="1" t="s">
        <v>32</v>
      </c>
      <c r="AA1878" s="1" t="s">
        <v>33</v>
      </c>
      <c r="AB1878" s="36" t="str" cm="1">
        <f t="array" ref="AB1878">_xlfn.IFS(K1878&gt;650,"LOW",K1878&gt;=550,"MEDIUM",K1878&lt;550,"HIGH")</f>
        <v>HIGH</v>
      </c>
    </row>
    <row r="1879" spans="3:28" x14ac:dyDescent="0.3">
      <c r="C1879" s="35" t="s">
        <v>3740</v>
      </c>
      <c r="D1879" s="1" t="s">
        <v>1748</v>
      </c>
      <c r="E1879" s="1">
        <v>42</v>
      </c>
      <c r="F1879" s="1" t="s">
        <v>44</v>
      </c>
      <c r="G1879" s="1" t="s">
        <v>35</v>
      </c>
      <c r="H1879" s="1" t="s">
        <v>36</v>
      </c>
      <c r="I1879" s="1" t="s">
        <v>40</v>
      </c>
      <c r="J1879" s="7">
        <v>107132</v>
      </c>
      <c r="K1879" s="1">
        <v>338</v>
      </c>
      <c r="L1879" s="7">
        <v>26255</v>
      </c>
      <c r="M1879" s="1">
        <v>24</v>
      </c>
      <c r="N1879" s="6">
        <v>0.10619999999999999</v>
      </c>
      <c r="O1879" s="1" t="s">
        <v>63</v>
      </c>
      <c r="P1879" s="1" t="s">
        <v>50</v>
      </c>
      <c r="Q1879" s="1">
        <v>2</v>
      </c>
      <c r="R1879" s="1">
        <v>0</v>
      </c>
      <c r="S1879" s="1" t="s">
        <v>33</v>
      </c>
      <c r="T1879" s="1" t="s">
        <v>33</v>
      </c>
      <c r="U1879" s="1">
        <v>3</v>
      </c>
      <c r="V1879" s="1">
        <v>18328</v>
      </c>
      <c r="W1879" s="7">
        <v>1539.88</v>
      </c>
      <c r="X1879" s="1">
        <v>0.75</v>
      </c>
      <c r="Y1879" s="4">
        <v>44963</v>
      </c>
      <c r="Z1879" s="1" t="s">
        <v>32</v>
      </c>
      <c r="AA1879" s="1" t="s">
        <v>31</v>
      </c>
      <c r="AB1879" s="36" t="str" cm="1">
        <f t="array" ref="AB1879">_xlfn.IFS(K1879&gt;650,"LOW",K1879&gt;=550,"MEDIUM",K1879&lt;550,"HIGH")</f>
        <v>HIGH</v>
      </c>
    </row>
    <row r="1880" spans="3:28" x14ac:dyDescent="0.3">
      <c r="C1880" s="35" t="s">
        <v>2854</v>
      </c>
      <c r="D1880" s="1" t="s">
        <v>882</v>
      </c>
      <c r="E1880" s="1">
        <v>38</v>
      </c>
      <c r="F1880" s="1" t="s">
        <v>26</v>
      </c>
      <c r="G1880" s="1" t="s">
        <v>56</v>
      </c>
      <c r="H1880" s="1" t="s">
        <v>36</v>
      </c>
      <c r="I1880" s="1" t="s">
        <v>57</v>
      </c>
      <c r="J1880" s="7">
        <v>40390</v>
      </c>
      <c r="K1880" s="1">
        <v>337</v>
      </c>
      <c r="L1880" s="7">
        <v>8694</v>
      </c>
      <c r="M1880" s="1">
        <v>48</v>
      </c>
      <c r="N1880" s="6">
        <v>0.1517</v>
      </c>
      <c r="O1880" s="1" t="s">
        <v>63</v>
      </c>
      <c r="P1880" s="1" t="s">
        <v>50</v>
      </c>
      <c r="Q1880" s="1">
        <v>7</v>
      </c>
      <c r="R1880" s="1">
        <v>0</v>
      </c>
      <c r="S1880" s="1" t="s">
        <v>33</v>
      </c>
      <c r="T1880" s="1" t="s">
        <v>31</v>
      </c>
      <c r="U1880" s="1">
        <v>4</v>
      </c>
      <c r="V1880" s="1">
        <v>166881</v>
      </c>
      <c r="W1880" s="7">
        <v>1496.72</v>
      </c>
      <c r="X1880" s="1">
        <v>0.42</v>
      </c>
      <c r="Y1880" s="4">
        <v>44905</v>
      </c>
      <c r="Z1880" s="1" t="s">
        <v>38</v>
      </c>
      <c r="AA1880" s="1" t="s">
        <v>33</v>
      </c>
      <c r="AB1880" s="36" t="str" cm="1">
        <f t="array" ref="AB1880">_xlfn.IFS(K1880&gt;650,"LOW",K1880&gt;=550,"MEDIUM",K1880&lt;550,"HIGH")</f>
        <v>HIGH</v>
      </c>
    </row>
    <row r="1881" spans="3:28" x14ac:dyDescent="0.3">
      <c r="C1881" s="35" t="s">
        <v>3192</v>
      </c>
      <c r="D1881" s="1" t="s">
        <v>1216</v>
      </c>
      <c r="E1881" s="1">
        <v>49</v>
      </c>
      <c r="F1881" s="1" t="s">
        <v>26</v>
      </c>
      <c r="G1881" s="1" t="s">
        <v>45</v>
      </c>
      <c r="H1881" s="1" t="s">
        <v>54</v>
      </c>
      <c r="I1881" s="1" t="s">
        <v>59</v>
      </c>
      <c r="J1881" s="7">
        <v>86394</v>
      </c>
      <c r="K1881" s="1">
        <v>337</v>
      </c>
      <c r="L1881" s="7">
        <v>7579</v>
      </c>
      <c r="M1881" s="1">
        <v>24</v>
      </c>
      <c r="N1881" s="6">
        <v>0.1452</v>
      </c>
      <c r="O1881" s="1" t="s">
        <v>5</v>
      </c>
      <c r="P1881" s="1" t="s">
        <v>47</v>
      </c>
      <c r="Q1881" s="1">
        <v>28</v>
      </c>
      <c r="R1881" s="1">
        <v>0</v>
      </c>
      <c r="S1881" s="1" t="s">
        <v>31</v>
      </c>
      <c r="T1881" s="1" t="s">
        <v>33</v>
      </c>
      <c r="U1881" s="1">
        <v>0</v>
      </c>
      <c r="V1881" s="1">
        <v>49454</v>
      </c>
      <c r="W1881" s="7">
        <v>1211.3800000000001</v>
      </c>
      <c r="X1881" s="1">
        <v>0.65</v>
      </c>
      <c r="Y1881" s="4">
        <v>44370</v>
      </c>
      <c r="Z1881" s="1" t="s">
        <v>38</v>
      </c>
      <c r="AA1881" s="1" t="s">
        <v>33</v>
      </c>
      <c r="AB1881" s="36" t="str" cm="1">
        <f t="array" ref="AB1881">_xlfn.IFS(K1881&gt;650,"LOW",K1881&gt;=550,"MEDIUM",K1881&lt;550,"HIGH")</f>
        <v>HIGH</v>
      </c>
    </row>
    <row r="1882" spans="3:28" x14ac:dyDescent="0.3">
      <c r="C1882" s="35" t="s">
        <v>3516</v>
      </c>
      <c r="D1882" s="1" t="s">
        <v>1533</v>
      </c>
      <c r="E1882" s="1">
        <v>23</v>
      </c>
      <c r="F1882" s="1" t="s">
        <v>26</v>
      </c>
      <c r="G1882" s="1" t="s">
        <v>45</v>
      </c>
      <c r="H1882" s="1" t="s">
        <v>61</v>
      </c>
      <c r="I1882" s="1" t="s">
        <v>59</v>
      </c>
      <c r="J1882" s="7">
        <v>62578</v>
      </c>
      <c r="K1882" s="1">
        <v>337</v>
      </c>
      <c r="L1882" s="7">
        <v>43460</v>
      </c>
      <c r="M1882" s="1">
        <v>36</v>
      </c>
      <c r="N1882" s="6">
        <v>9.4399999999999998E-2</v>
      </c>
      <c r="O1882" s="1" t="s">
        <v>37</v>
      </c>
      <c r="P1882" s="1" t="s">
        <v>47</v>
      </c>
      <c r="Q1882" s="1">
        <v>13</v>
      </c>
      <c r="R1882" s="1">
        <v>0</v>
      </c>
      <c r="S1882" s="1" t="s">
        <v>33</v>
      </c>
      <c r="T1882" s="1" t="s">
        <v>33</v>
      </c>
      <c r="U1882" s="1">
        <v>4</v>
      </c>
      <c r="V1882" s="1">
        <v>137130</v>
      </c>
      <c r="W1882" s="7">
        <v>1241.22</v>
      </c>
      <c r="X1882" s="1">
        <v>0.19</v>
      </c>
      <c r="Y1882" s="4">
        <v>44882</v>
      </c>
      <c r="Z1882" s="1" t="s">
        <v>38</v>
      </c>
      <c r="AA1882" s="1" t="s">
        <v>33</v>
      </c>
      <c r="AB1882" s="36" t="str" cm="1">
        <f t="array" ref="AB1882">_xlfn.IFS(K1882&gt;650,"LOW",K1882&gt;=550,"MEDIUM",K1882&lt;550,"HIGH")</f>
        <v>HIGH</v>
      </c>
    </row>
    <row r="1883" spans="3:28" x14ac:dyDescent="0.3">
      <c r="C1883" s="35" t="s">
        <v>2278</v>
      </c>
      <c r="D1883" s="1" t="s">
        <v>309</v>
      </c>
      <c r="E1883" s="1">
        <v>57</v>
      </c>
      <c r="F1883" s="1" t="s">
        <v>26</v>
      </c>
      <c r="G1883" s="1" t="s">
        <v>45</v>
      </c>
      <c r="H1883" s="1" t="s">
        <v>36</v>
      </c>
      <c r="I1883" s="1" t="s">
        <v>59</v>
      </c>
      <c r="J1883" s="7">
        <v>80726</v>
      </c>
      <c r="K1883" s="1">
        <v>336</v>
      </c>
      <c r="L1883" s="7">
        <v>35293</v>
      </c>
      <c r="M1883" s="1">
        <v>60</v>
      </c>
      <c r="N1883" s="6">
        <v>0.12570000000000001</v>
      </c>
      <c r="O1883" s="1" t="s">
        <v>52</v>
      </c>
      <c r="P1883" s="1" t="s">
        <v>50</v>
      </c>
      <c r="Q1883" s="1">
        <v>23</v>
      </c>
      <c r="R1883" s="1">
        <v>3</v>
      </c>
      <c r="S1883" s="1" t="s">
        <v>33</v>
      </c>
      <c r="T1883" s="1" t="s">
        <v>31</v>
      </c>
      <c r="U1883" s="1">
        <v>2</v>
      </c>
      <c r="V1883" s="1">
        <v>131275</v>
      </c>
      <c r="W1883" s="7">
        <v>644.45000000000005</v>
      </c>
      <c r="X1883" s="1">
        <v>0.9</v>
      </c>
      <c r="Y1883" s="4">
        <v>44385</v>
      </c>
      <c r="Z1883" s="1" t="s">
        <v>32</v>
      </c>
      <c r="AA1883" s="1" t="s">
        <v>31</v>
      </c>
      <c r="AB1883" s="36" t="str" cm="1">
        <f t="array" ref="AB1883">_xlfn.IFS(K1883&gt;650,"LOW",K1883&gt;=550,"MEDIUM",K1883&lt;550,"HIGH")</f>
        <v>HIGH</v>
      </c>
    </row>
    <row r="1884" spans="3:28" x14ac:dyDescent="0.3">
      <c r="C1884" s="35" t="s">
        <v>3142</v>
      </c>
      <c r="D1884" s="1" t="s">
        <v>1167</v>
      </c>
      <c r="E1884" s="1">
        <v>42</v>
      </c>
      <c r="F1884" s="1" t="s">
        <v>26</v>
      </c>
      <c r="G1884" s="1" t="s">
        <v>27</v>
      </c>
      <c r="H1884" s="1" t="s">
        <v>36</v>
      </c>
      <c r="I1884" s="1" t="s">
        <v>40</v>
      </c>
      <c r="J1884" s="7">
        <v>117037</v>
      </c>
      <c r="K1884" s="1">
        <v>336</v>
      </c>
      <c r="L1884" s="7">
        <v>28920</v>
      </c>
      <c r="M1884" s="1">
        <v>12</v>
      </c>
      <c r="N1884" s="6">
        <v>8.3699999999999997E-2</v>
      </c>
      <c r="O1884" s="1" t="s">
        <v>63</v>
      </c>
      <c r="P1884" s="1" t="s">
        <v>50</v>
      </c>
      <c r="Q1884" s="1">
        <v>22</v>
      </c>
      <c r="R1884" s="1">
        <v>3</v>
      </c>
      <c r="S1884" s="1" t="s">
        <v>33</v>
      </c>
      <c r="T1884" s="1" t="s">
        <v>31</v>
      </c>
      <c r="U1884" s="1">
        <v>4</v>
      </c>
      <c r="V1884" s="1">
        <v>70845</v>
      </c>
      <c r="W1884" s="7">
        <v>685.34</v>
      </c>
      <c r="X1884" s="1">
        <v>0.97</v>
      </c>
      <c r="Y1884" s="4">
        <v>44578</v>
      </c>
      <c r="Z1884" s="1" t="s">
        <v>32</v>
      </c>
      <c r="AA1884" s="1" t="s">
        <v>33</v>
      </c>
      <c r="AB1884" s="36" t="str" cm="1">
        <f t="array" ref="AB1884">_xlfn.IFS(K1884&gt;650,"LOW",K1884&gt;=550,"MEDIUM",K1884&lt;550,"HIGH")</f>
        <v>HIGH</v>
      </c>
    </row>
    <row r="1885" spans="3:28" x14ac:dyDescent="0.3">
      <c r="C1885" s="35" t="s">
        <v>3917</v>
      </c>
      <c r="D1885" s="1" t="s">
        <v>1921</v>
      </c>
      <c r="E1885" s="1">
        <v>48</v>
      </c>
      <c r="F1885" s="1" t="s">
        <v>44</v>
      </c>
      <c r="G1885" s="1" t="s">
        <v>27</v>
      </c>
      <c r="H1885" s="1" t="s">
        <v>54</v>
      </c>
      <c r="I1885" s="1" t="s">
        <v>29</v>
      </c>
      <c r="J1885" s="7">
        <v>120572</v>
      </c>
      <c r="K1885" s="1">
        <v>336</v>
      </c>
      <c r="L1885" s="7">
        <v>2408</v>
      </c>
      <c r="M1885" s="1">
        <v>48</v>
      </c>
      <c r="N1885" s="6">
        <v>0.10289999999999999</v>
      </c>
      <c r="O1885" s="1" t="s">
        <v>52</v>
      </c>
      <c r="P1885" s="1" t="s">
        <v>50</v>
      </c>
      <c r="Q1885" s="1">
        <v>29</v>
      </c>
      <c r="R1885" s="1">
        <v>2</v>
      </c>
      <c r="S1885" s="1" t="s">
        <v>33</v>
      </c>
      <c r="T1885" s="1" t="s">
        <v>31</v>
      </c>
      <c r="U1885" s="1">
        <v>4</v>
      </c>
      <c r="V1885" s="1">
        <v>63605</v>
      </c>
      <c r="W1885" s="7">
        <v>449.14</v>
      </c>
      <c r="X1885" s="1">
        <v>0.16</v>
      </c>
      <c r="Y1885" s="4">
        <v>44906</v>
      </c>
      <c r="Z1885" s="1" t="s">
        <v>38</v>
      </c>
      <c r="AA1885" s="1" t="s">
        <v>31</v>
      </c>
      <c r="AB1885" s="36" t="str" cm="1">
        <f t="array" ref="AB1885">_xlfn.IFS(K1885&gt;650,"LOW",K1885&gt;=550,"MEDIUM",K1885&lt;550,"HIGH")</f>
        <v>HIGH</v>
      </c>
    </row>
    <row r="1886" spans="3:28" x14ac:dyDescent="0.3">
      <c r="C1886" s="35" t="s">
        <v>3533</v>
      </c>
      <c r="D1886" s="1" t="s">
        <v>1550</v>
      </c>
      <c r="E1886" s="1">
        <v>35</v>
      </c>
      <c r="F1886" s="1" t="s">
        <v>44</v>
      </c>
      <c r="G1886" s="1" t="s">
        <v>45</v>
      </c>
      <c r="H1886" s="1" t="s">
        <v>54</v>
      </c>
      <c r="I1886" s="1" t="s">
        <v>40</v>
      </c>
      <c r="J1886" s="7">
        <v>148303</v>
      </c>
      <c r="K1886" s="1">
        <v>335</v>
      </c>
      <c r="L1886" s="7">
        <v>9507</v>
      </c>
      <c r="M1886" s="1">
        <v>48</v>
      </c>
      <c r="N1886" s="6">
        <v>0.18079999999999999</v>
      </c>
      <c r="O1886" s="1" t="s">
        <v>37</v>
      </c>
      <c r="P1886" s="1" t="s">
        <v>50</v>
      </c>
      <c r="Q1886" s="1">
        <v>24</v>
      </c>
      <c r="R1886" s="1">
        <v>2</v>
      </c>
      <c r="S1886" s="1" t="s">
        <v>31</v>
      </c>
      <c r="T1886" s="1" t="s">
        <v>33</v>
      </c>
      <c r="U1886" s="1">
        <v>1</v>
      </c>
      <c r="V1886" s="1">
        <v>1701</v>
      </c>
      <c r="W1886" s="7">
        <v>1102.69</v>
      </c>
      <c r="X1886" s="1">
        <v>0.12</v>
      </c>
      <c r="Y1886" s="4">
        <v>45650</v>
      </c>
      <c r="Z1886" s="1" t="s">
        <v>32</v>
      </c>
      <c r="AA1886" s="1" t="s">
        <v>33</v>
      </c>
      <c r="AB1886" s="36" t="str" cm="1">
        <f t="array" ref="AB1886">_xlfn.IFS(K1886&gt;650,"LOW",K1886&gt;=550,"MEDIUM",K1886&lt;550,"HIGH")</f>
        <v>HIGH</v>
      </c>
    </row>
    <row r="1887" spans="3:28" x14ac:dyDescent="0.3">
      <c r="C1887" s="35" t="s">
        <v>2035</v>
      </c>
      <c r="D1887" s="1" t="s">
        <v>66</v>
      </c>
      <c r="E1887" s="1">
        <v>23</v>
      </c>
      <c r="F1887" s="1" t="s">
        <v>26</v>
      </c>
      <c r="G1887" s="1" t="s">
        <v>35</v>
      </c>
      <c r="H1887" s="1" t="s">
        <v>61</v>
      </c>
      <c r="I1887" s="1" t="s">
        <v>29</v>
      </c>
      <c r="J1887" s="7">
        <v>83288</v>
      </c>
      <c r="K1887" s="1">
        <v>334</v>
      </c>
      <c r="L1887" s="7">
        <v>41581</v>
      </c>
      <c r="M1887" s="1">
        <v>48</v>
      </c>
      <c r="N1887" s="6">
        <v>0.1173</v>
      </c>
      <c r="O1887" s="1" t="s">
        <v>46</v>
      </c>
      <c r="P1887" s="1" t="s">
        <v>47</v>
      </c>
      <c r="Q1887" s="1">
        <v>1</v>
      </c>
      <c r="R1887" s="1">
        <v>2</v>
      </c>
      <c r="S1887" s="1" t="s">
        <v>31</v>
      </c>
      <c r="T1887" s="1" t="s">
        <v>31</v>
      </c>
      <c r="U1887" s="1">
        <v>2</v>
      </c>
      <c r="V1887" s="1">
        <v>112569</v>
      </c>
      <c r="W1887" s="7">
        <v>1859.73</v>
      </c>
      <c r="X1887" s="1">
        <v>0.56000000000000005</v>
      </c>
      <c r="Y1887" s="4">
        <v>44895</v>
      </c>
      <c r="Z1887" s="1" t="s">
        <v>38</v>
      </c>
      <c r="AA1887" s="1" t="s">
        <v>33</v>
      </c>
      <c r="AB1887" s="36" t="str" cm="1">
        <f t="array" ref="AB1887">_xlfn.IFS(K1887&gt;650,"LOW",K1887&gt;=550,"MEDIUM",K1887&lt;550,"HIGH")</f>
        <v>HIGH</v>
      </c>
    </row>
    <row r="1888" spans="3:28" x14ac:dyDescent="0.3">
      <c r="C1888" s="35" t="s">
        <v>3666</v>
      </c>
      <c r="D1888" s="1" t="s">
        <v>1678</v>
      </c>
      <c r="E1888" s="1">
        <v>47</v>
      </c>
      <c r="F1888" s="1" t="s">
        <v>44</v>
      </c>
      <c r="G1888" s="1" t="s">
        <v>56</v>
      </c>
      <c r="H1888" s="1" t="s">
        <v>28</v>
      </c>
      <c r="I1888" s="1" t="s">
        <v>59</v>
      </c>
      <c r="J1888" s="7">
        <v>122062</v>
      </c>
      <c r="K1888" s="1">
        <v>334</v>
      </c>
      <c r="L1888" s="7">
        <v>6423</v>
      </c>
      <c r="M1888" s="1">
        <v>12</v>
      </c>
      <c r="N1888" s="6">
        <v>0.152</v>
      </c>
      <c r="O1888" s="1" t="s">
        <v>5</v>
      </c>
      <c r="P1888" s="1" t="s">
        <v>30</v>
      </c>
      <c r="Q1888" s="1">
        <v>26</v>
      </c>
      <c r="R1888" s="1">
        <v>1</v>
      </c>
      <c r="S1888" s="1" t="s">
        <v>31</v>
      </c>
      <c r="T1888" s="1" t="s">
        <v>31</v>
      </c>
      <c r="U1888" s="1">
        <v>3</v>
      </c>
      <c r="V1888" s="1">
        <v>44420</v>
      </c>
      <c r="W1888" s="7">
        <v>589.57000000000005</v>
      </c>
      <c r="X1888" s="1">
        <v>0.88</v>
      </c>
      <c r="Y1888" s="4">
        <v>45207</v>
      </c>
      <c r="Z1888" s="1" t="s">
        <v>32</v>
      </c>
      <c r="AA1888" s="1" t="s">
        <v>33</v>
      </c>
      <c r="AB1888" s="36" t="str" cm="1">
        <f t="array" ref="AB1888">_xlfn.IFS(K1888&gt;650,"LOW",K1888&gt;=550,"MEDIUM",K1888&lt;550,"HIGH")</f>
        <v>HIGH</v>
      </c>
    </row>
    <row r="1889" spans="3:28" x14ac:dyDescent="0.3">
      <c r="C1889" s="35" t="s">
        <v>3779</v>
      </c>
      <c r="D1889" s="1" t="s">
        <v>1786</v>
      </c>
      <c r="E1889" s="1">
        <v>29</v>
      </c>
      <c r="F1889" s="1" t="s">
        <v>44</v>
      </c>
      <c r="G1889" s="1" t="s">
        <v>56</v>
      </c>
      <c r="H1889" s="1" t="s">
        <v>28</v>
      </c>
      <c r="I1889" s="1" t="s">
        <v>59</v>
      </c>
      <c r="J1889" s="7">
        <v>103488</v>
      </c>
      <c r="K1889" s="1">
        <v>333</v>
      </c>
      <c r="L1889" s="7">
        <v>30541</v>
      </c>
      <c r="M1889" s="1">
        <v>60</v>
      </c>
      <c r="N1889" s="6">
        <v>0.19320000000000001</v>
      </c>
      <c r="O1889" s="1" t="s">
        <v>63</v>
      </c>
      <c r="P1889" s="1" t="s">
        <v>47</v>
      </c>
      <c r="Q1889" s="1">
        <v>15</v>
      </c>
      <c r="R1889" s="1">
        <v>2</v>
      </c>
      <c r="S1889" s="1" t="s">
        <v>33</v>
      </c>
      <c r="T1889" s="1" t="s">
        <v>33</v>
      </c>
      <c r="U1889" s="1">
        <v>2</v>
      </c>
      <c r="V1889" s="1">
        <v>1363</v>
      </c>
      <c r="W1889" s="7">
        <v>749.91</v>
      </c>
      <c r="X1889" s="1">
        <v>0.7</v>
      </c>
      <c r="Y1889" s="4">
        <v>45421</v>
      </c>
      <c r="Z1889" s="1" t="s">
        <v>38</v>
      </c>
      <c r="AA1889" s="1" t="s">
        <v>31</v>
      </c>
      <c r="AB1889" s="36" t="str" cm="1">
        <f t="array" ref="AB1889">_xlfn.IFS(K1889&gt;650,"LOW",K1889&gt;=550,"MEDIUM",K1889&lt;550,"HIGH")</f>
        <v>HIGH</v>
      </c>
    </row>
    <row r="1890" spans="3:28" x14ac:dyDescent="0.3">
      <c r="C1890" s="35" t="s">
        <v>3834</v>
      </c>
      <c r="D1890" s="1" t="s">
        <v>1840</v>
      </c>
      <c r="E1890" s="1">
        <v>41</v>
      </c>
      <c r="F1890" s="1" t="s">
        <v>44</v>
      </c>
      <c r="G1890" s="1" t="s">
        <v>56</v>
      </c>
      <c r="H1890" s="1" t="s">
        <v>36</v>
      </c>
      <c r="I1890" s="1" t="s">
        <v>59</v>
      </c>
      <c r="J1890" s="7">
        <v>81082</v>
      </c>
      <c r="K1890" s="1">
        <v>333</v>
      </c>
      <c r="L1890" s="7">
        <v>31482</v>
      </c>
      <c r="M1890" s="1">
        <v>12</v>
      </c>
      <c r="N1890" s="6">
        <v>7.2999999999999995E-2</v>
      </c>
      <c r="O1890" s="1" t="s">
        <v>5</v>
      </c>
      <c r="P1890" s="1" t="s">
        <v>50</v>
      </c>
      <c r="Q1890" s="1">
        <v>29</v>
      </c>
      <c r="R1890" s="1">
        <v>0</v>
      </c>
      <c r="S1890" s="1" t="s">
        <v>31</v>
      </c>
      <c r="T1890" s="1" t="s">
        <v>31</v>
      </c>
      <c r="U1890" s="1">
        <v>0</v>
      </c>
      <c r="V1890" s="1">
        <v>184505</v>
      </c>
      <c r="W1890" s="7">
        <v>1913.63</v>
      </c>
      <c r="X1890" s="1">
        <v>0.65</v>
      </c>
      <c r="Y1890" s="4">
        <v>44098</v>
      </c>
      <c r="Z1890" s="1" t="s">
        <v>32</v>
      </c>
      <c r="AA1890" s="1" t="s">
        <v>33</v>
      </c>
      <c r="AB1890" s="36" t="str" cm="1">
        <f t="array" ref="AB1890">_xlfn.IFS(K1890&gt;650,"LOW",K1890&gt;=550,"MEDIUM",K1890&lt;550,"HIGH")</f>
        <v>HIGH</v>
      </c>
    </row>
    <row r="1891" spans="3:28" x14ac:dyDescent="0.3">
      <c r="C1891" s="35" t="s">
        <v>2533</v>
      </c>
      <c r="D1891" s="1" t="s">
        <v>563</v>
      </c>
      <c r="E1891" s="1">
        <v>55</v>
      </c>
      <c r="F1891" s="1" t="s">
        <v>26</v>
      </c>
      <c r="G1891" s="1" t="s">
        <v>35</v>
      </c>
      <c r="H1891" s="1" t="s">
        <v>28</v>
      </c>
      <c r="I1891" s="1" t="s">
        <v>57</v>
      </c>
      <c r="J1891" s="7">
        <v>86844</v>
      </c>
      <c r="K1891" s="1">
        <v>332</v>
      </c>
      <c r="L1891" s="7">
        <v>48992</v>
      </c>
      <c r="M1891" s="1">
        <v>24</v>
      </c>
      <c r="N1891" s="6">
        <v>0.12210000000000001</v>
      </c>
      <c r="O1891" s="1" t="s">
        <v>63</v>
      </c>
      <c r="P1891" s="1" t="s">
        <v>30</v>
      </c>
      <c r="Q1891" s="1">
        <v>17</v>
      </c>
      <c r="R1891" s="1">
        <v>3</v>
      </c>
      <c r="S1891" s="1" t="s">
        <v>33</v>
      </c>
      <c r="T1891" s="1" t="s">
        <v>31</v>
      </c>
      <c r="U1891" s="1">
        <v>1</v>
      </c>
      <c r="V1891" s="1">
        <v>109054</v>
      </c>
      <c r="W1891" s="7">
        <v>1723.02</v>
      </c>
      <c r="X1891" s="1">
        <v>0.55000000000000004</v>
      </c>
      <c r="Y1891" s="4">
        <v>44591</v>
      </c>
      <c r="Z1891" s="1" t="s">
        <v>38</v>
      </c>
      <c r="AA1891" s="1" t="s">
        <v>33</v>
      </c>
      <c r="AB1891" s="36" t="str" cm="1">
        <f t="array" ref="AB1891">_xlfn.IFS(K1891&gt;650,"LOW",K1891&gt;=550,"MEDIUM",K1891&lt;550,"HIGH")</f>
        <v>HIGH</v>
      </c>
    </row>
    <row r="1892" spans="3:28" x14ac:dyDescent="0.3">
      <c r="C1892" s="35" t="s">
        <v>3172</v>
      </c>
      <c r="D1892" s="1" t="s">
        <v>1196</v>
      </c>
      <c r="E1892" s="1">
        <v>22</v>
      </c>
      <c r="F1892" s="1" t="s">
        <v>44</v>
      </c>
      <c r="G1892" s="1" t="s">
        <v>45</v>
      </c>
      <c r="H1892" s="1" t="s">
        <v>28</v>
      </c>
      <c r="I1892" s="1" t="s">
        <v>59</v>
      </c>
      <c r="J1892" s="7">
        <v>94656</v>
      </c>
      <c r="K1892" s="1">
        <v>332</v>
      </c>
      <c r="L1892" s="7">
        <v>46704</v>
      </c>
      <c r="M1892" s="1">
        <v>48</v>
      </c>
      <c r="N1892" s="6">
        <v>7.9000000000000001E-2</v>
      </c>
      <c r="O1892" s="1" t="s">
        <v>5</v>
      </c>
      <c r="P1892" s="1" t="s">
        <v>30</v>
      </c>
      <c r="Q1892" s="1">
        <v>12</v>
      </c>
      <c r="R1892" s="1">
        <v>4</v>
      </c>
      <c r="S1892" s="1" t="s">
        <v>31</v>
      </c>
      <c r="T1892" s="1" t="s">
        <v>31</v>
      </c>
      <c r="U1892" s="1">
        <v>0</v>
      </c>
      <c r="V1892" s="1">
        <v>38398</v>
      </c>
      <c r="W1892" s="7">
        <v>1685.64</v>
      </c>
      <c r="X1892" s="1">
        <v>0.53</v>
      </c>
      <c r="Y1892" s="4">
        <v>45699</v>
      </c>
      <c r="Z1892" s="1" t="s">
        <v>38</v>
      </c>
      <c r="AA1892" s="1" t="s">
        <v>31</v>
      </c>
      <c r="AB1892" s="36" t="str" cm="1">
        <f t="array" ref="AB1892">_xlfn.IFS(K1892&gt;650,"LOW",K1892&gt;=550,"MEDIUM",K1892&lt;550,"HIGH")</f>
        <v>HIGH</v>
      </c>
    </row>
    <row r="1893" spans="3:28" x14ac:dyDescent="0.3">
      <c r="C1893" s="35" t="s">
        <v>3205</v>
      </c>
      <c r="D1893" s="1" t="s">
        <v>1229</v>
      </c>
      <c r="E1893" s="1">
        <v>55</v>
      </c>
      <c r="F1893" s="1" t="s">
        <v>26</v>
      </c>
      <c r="G1893" s="1" t="s">
        <v>45</v>
      </c>
      <c r="H1893" s="1" t="s">
        <v>61</v>
      </c>
      <c r="I1893" s="1" t="s">
        <v>59</v>
      </c>
      <c r="J1893" s="7">
        <v>95791</v>
      </c>
      <c r="K1893" s="1">
        <v>332</v>
      </c>
      <c r="L1893" s="7">
        <v>45653</v>
      </c>
      <c r="M1893" s="1">
        <v>24</v>
      </c>
      <c r="N1893" s="6">
        <v>6.9599999999999995E-2</v>
      </c>
      <c r="O1893" s="1" t="s">
        <v>52</v>
      </c>
      <c r="P1893" s="1" t="s">
        <v>30</v>
      </c>
      <c r="Q1893" s="1">
        <v>29</v>
      </c>
      <c r="R1893" s="1">
        <v>3</v>
      </c>
      <c r="S1893" s="1" t="s">
        <v>31</v>
      </c>
      <c r="T1893" s="1" t="s">
        <v>33</v>
      </c>
      <c r="U1893" s="1">
        <v>3</v>
      </c>
      <c r="V1893" s="1">
        <v>160470</v>
      </c>
      <c r="W1893" s="7">
        <v>1848.34</v>
      </c>
      <c r="X1893" s="1">
        <v>0.36</v>
      </c>
      <c r="Y1893" s="4">
        <v>44811</v>
      </c>
      <c r="Z1893" s="1" t="s">
        <v>32</v>
      </c>
      <c r="AA1893" s="1" t="s">
        <v>33</v>
      </c>
      <c r="AB1893" s="36" t="str" cm="1">
        <f t="array" ref="AB1893">_xlfn.IFS(K1893&gt;650,"LOW",K1893&gt;=550,"MEDIUM",K1893&lt;550,"HIGH")</f>
        <v>HIGH</v>
      </c>
    </row>
    <row r="1894" spans="3:28" x14ac:dyDescent="0.3">
      <c r="C1894" s="35" t="s">
        <v>3392</v>
      </c>
      <c r="D1894" s="1" t="s">
        <v>1412</v>
      </c>
      <c r="E1894" s="1">
        <v>27</v>
      </c>
      <c r="F1894" s="1" t="s">
        <v>26</v>
      </c>
      <c r="G1894" s="1" t="s">
        <v>45</v>
      </c>
      <c r="H1894" s="1" t="s">
        <v>54</v>
      </c>
      <c r="I1894" s="1" t="s">
        <v>29</v>
      </c>
      <c r="J1894" s="7">
        <v>79946</v>
      </c>
      <c r="K1894" s="1">
        <v>332</v>
      </c>
      <c r="L1894" s="7">
        <v>9031</v>
      </c>
      <c r="M1894" s="1">
        <v>24</v>
      </c>
      <c r="N1894" s="6">
        <v>0.15060000000000001</v>
      </c>
      <c r="O1894" s="1" t="s">
        <v>5</v>
      </c>
      <c r="P1894" s="1" t="s">
        <v>30</v>
      </c>
      <c r="Q1894" s="1">
        <v>26</v>
      </c>
      <c r="R1894" s="1">
        <v>4</v>
      </c>
      <c r="S1894" s="1" t="s">
        <v>33</v>
      </c>
      <c r="T1894" s="1" t="s">
        <v>33</v>
      </c>
      <c r="U1894" s="1">
        <v>1</v>
      </c>
      <c r="V1894" s="1">
        <v>24608</v>
      </c>
      <c r="W1894" s="7">
        <v>248.3</v>
      </c>
      <c r="X1894" s="1">
        <v>0.95</v>
      </c>
      <c r="Y1894" s="4">
        <v>45710</v>
      </c>
      <c r="Z1894" s="1" t="s">
        <v>38</v>
      </c>
      <c r="AA1894" s="1" t="s">
        <v>33</v>
      </c>
      <c r="AB1894" s="36" t="str" cm="1">
        <f t="array" ref="AB1894">_xlfn.IFS(K1894&gt;650,"LOW",K1894&gt;=550,"MEDIUM",K1894&lt;550,"HIGH")</f>
        <v>HIGH</v>
      </c>
    </row>
    <row r="1895" spans="3:28" x14ac:dyDescent="0.3">
      <c r="C1895" s="35" t="s">
        <v>2910</v>
      </c>
      <c r="D1895" s="1" t="s">
        <v>938</v>
      </c>
      <c r="E1895" s="1">
        <v>44</v>
      </c>
      <c r="F1895" s="1" t="s">
        <v>26</v>
      </c>
      <c r="G1895" s="1" t="s">
        <v>45</v>
      </c>
      <c r="H1895" s="1" t="s">
        <v>61</v>
      </c>
      <c r="I1895" s="1" t="s">
        <v>40</v>
      </c>
      <c r="J1895" s="7">
        <v>89211</v>
      </c>
      <c r="K1895" s="1">
        <v>331</v>
      </c>
      <c r="L1895" s="7">
        <v>31175</v>
      </c>
      <c r="M1895" s="1">
        <v>36</v>
      </c>
      <c r="N1895" s="6">
        <v>5.6100000000000004E-2</v>
      </c>
      <c r="O1895" s="1" t="s">
        <v>52</v>
      </c>
      <c r="P1895" s="1" t="s">
        <v>50</v>
      </c>
      <c r="Q1895" s="1">
        <v>16</v>
      </c>
      <c r="R1895" s="1">
        <v>4</v>
      </c>
      <c r="S1895" s="1" t="s">
        <v>31</v>
      </c>
      <c r="T1895" s="1" t="s">
        <v>31</v>
      </c>
      <c r="U1895" s="1">
        <v>3</v>
      </c>
      <c r="V1895" s="1">
        <v>135451</v>
      </c>
      <c r="W1895" s="7">
        <v>1429.95</v>
      </c>
      <c r="X1895" s="1">
        <v>0.59</v>
      </c>
      <c r="Y1895" s="4">
        <v>45143</v>
      </c>
      <c r="Z1895" s="1" t="s">
        <v>32</v>
      </c>
      <c r="AA1895" s="1" t="s">
        <v>31</v>
      </c>
      <c r="AB1895" s="36" t="str" cm="1">
        <f t="array" ref="AB1895">_xlfn.IFS(K1895&gt;650,"LOW",K1895&gt;=550,"MEDIUM",K1895&lt;550,"HIGH")</f>
        <v>HIGH</v>
      </c>
    </row>
    <row r="1896" spans="3:28" x14ac:dyDescent="0.3">
      <c r="C1896" s="35" t="s">
        <v>3670</v>
      </c>
      <c r="D1896" s="1" t="s">
        <v>1682</v>
      </c>
      <c r="E1896" s="1">
        <v>48</v>
      </c>
      <c r="F1896" s="1" t="s">
        <v>44</v>
      </c>
      <c r="G1896" s="1" t="s">
        <v>56</v>
      </c>
      <c r="H1896" s="1" t="s">
        <v>54</v>
      </c>
      <c r="I1896" s="1" t="s">
        <v>40</v>
      </c>
      <c r="J1896" s="7">
        <v>149999</v>
      </c>
      <c r="K1896" s="1">
        <v>331</v>
      </c>
      <c r="L1896" s="7">
        <v>5876</v>
      </c>
      <c r="M1896" s="1">
        <v>36</v>
      </c>
      <c r="N1896" s="6">
        <v>9.849999999999999E-2</v>
      </c>
      <c r="O1896" s="1" t="s">
        <v>41</v>
      </c>
      <c r="P1896" s="1" t="s">
        <v>30</v>
      </c>
      <c r="Q1896" s="1">
        <v>14</v>
      </c>
      <c r="R1896" s="1">
        <v>3</v>
      </c>
      <c r="S1896" s="1" t="s">
        <v>31</v>
      </c>
      <c r="T1896" s="1" t="s">
        <v>31</v>
      </c>
      <c r="U1896" s="1">
        <v>1</v>
      </c>
      <c r="V1896" s="1">
        <v>70593</v>
      </c>
      <c r="W1896" s="7">
        <v>1085.03</v>
      </c>
      <c r="X1896" s="1">
        <v>0.8</v>
      </c>
      <c r="Y1896" s="4">
        <v>44695</v>
      </c>
      <c r="Z1896" s="1" t="s">
        <v>32</v>
      </c>
      <c r="AA1896" s="1" t="s">
        <v>31</v>
      </c>
      <c r="AB1896" s="36" t="str" cm="1">
        <f t="array" ref="AB1896">_xlfn.IFS(K1896&gt;650,"LOW",K1896&gt;=550,"MEDIUM",K1896&lt;550,"HIGH")</f>
        <v>HIGH</v>
      </c>
    </row>
    <row r="1897" spans="3:28" x14ac:dyDescent="0.3">
      <c r="C1897" s="35" t="s">
        <v>2447</v>
      </c>
      <c r="D1897" s="1" t="s">
        <v>477</v>
      </c>
      <c r="E1897" s="1">
        <v>23</v>
      </c>
      <c r="F1897" s="1" t="s">
        <v>44</v>
      </c>
      <c r="G1897" s="1" t="s">
        <v>27</v>
      </c>
      <c r="H1897" s="1" t="s">
        <v>36</v>
      </c>
      <c r="I1897" s="1" t="s">
        <v>40</v>
      </c>
      <c r="J1897" s="7">
        <v>44398</v>
      </c>
      <c r="K1897" s="1">
        <v>330</v>
      </c>
      <c r="L1897" s="7">
        <v>22809</v>
      </c>
      <c r="M1897" s="1">
        <v>12</v>
      </c>
      <c r="N1897" s="6">
        <v>9.5000000000000001E-2</v>
      </c>
      <c r="O1897" s="1" t="s">
        <v>52</v>
      </c>
      <c r="P1897" s="1" t="s">
        <v>50</v>
      </c>
      <c r="Q1897" s="1">
        <v>28</v>
      </c>
      <c r="R1897" s="1">
        <v>2</v>
      </c>
      <c r="S1897" s="1" t="s">
        <v>33</v>
      </c>
      <c r="T1897" s="1" t="s">
        <v>31</v>
      </c>
      <c r="U1897" s="1">
        <v>4</v>
      </c>
      <c r="V1897" s="1">
        <v>78937</v>
      </c>
      <c r="W1897" s="7">
        <v>611.70000000000005</v>
      </c>
      <c r="X1897" s="1">
        <v>0.57999999999999996</v>
      </c>
      <c r="Y1897" s="4">
        <v>45050</v>
      </c>
      <c r="Z1897" s="1" t="s">
        <v>38</v>
      </c>
      <c r="AA1897" s="1" t="s">
        <v>31</v>
      </c>
      <c r="AB1897" s="36" t="str" cm="1">
        <f t="array" ref="AB1897">_xlfn.IFS(K1897&gt;650,"LOW",K1897&gt;=550,"MEDIUM",K1897&lt;550,"HIGH")</f>
        <v>HIGH</v>
      </c>
    </row>
    <row r="1898" spans="3:28" x14ac:dyDescent="0.3">
      <c r="C1898" s="35" t="s">
        <v>2676</v>
      </c>
      <c r="D1898" s="1" t="s">
        <v>706</v>
      </c>
      <c r="E1898" s="1">
        <v>57</v>
      </c>
      <c r="F1898" s="1" t="s">
        <v>44</v>
      </c>
      <c r="G1898" s="1" t="s">
        <v>27</v>
      </c>
      <c r="H1898" s="1" t="s">
        <v>61</v>
      </c>
      <c r="I1898" s="1" t="s">
        <v>29</v>
      </c>
      <c r="J1898" s="7">
        <v>64722</v>
      </c>
      <c r="K1898" s="1">
        <v>330</v>
      </c>
      <c r="L1898" s="7">
        <v>41551</v>
      </c>
      <c r="M1898" s="1">
        <v>60</v>
      </c>
      <c r="N1898" s="6">
        <v>7.9500000000000001E-2</v>
      </c>
      <c r="O1898" s="1" t="s">
        <v>37</v>
      </c>
      <c r="P1898" s="1" t="s">
        <v>47</v>
      </c>
      <c r="Q1898" s="1">
        <v>25</v>
      </c>
      <c r="R1898" s="1">
        <v>4</v>
      </c>
      <c r="S1898" s="1" t="s">
        <v>31</v>
      </c>
      <c r="T1898" s="1" t="s">
        <v>33</v>
      </c>
      <c r="U1898" s="1">
        <v>1</v>
      </c>
      <c r="V1898" s="1">
        <v>132326</v>
      </c>
      <c r="W1898" s="7">
        <v>1780.48</v>
      </c>
      <c r="X1898" s="1">
        <v>0.47</v>
      </c>
      <c r="Y1898" s="4">
        <v>44903</v>
      </c>
      <c r="Z1898" s="1" t="s">
        <v>38</v>
      </c>
      <c r="AA1898" s="1" t="s">
        <v>33</v>
      </c>
      <c r="AB1898" s="36" t="str" cm="1">
        <f t="array" ref="AB1898">_xlfn.IFS(K1898&gt;650,"LOW",K1898&gt;=550,"MEDIUM",K1898&lt;550,"HIGH")</f>
        <v>HIGH</v>
      </c>
    </row>
    <row r="1899" spans="3:28" x14ac:dyDescent="0.3">
      <c r="C1899" s="35" t="s">
        <v>3052</v>
      </c>
      <c r="D1899" s="1" t="s">
        <v>1079</v>
      </c>
      <c r="E1899" s="1">
        <v>35</v>
      </c>
      <c r="F1899" s="1" t="s">
        <v>44</v>
      </c>
      <c r="G1899" s="1" t="s">
        <v>45</v>
      </c>
      <c r="H1899" s="1" t="s">
        <v>36</v>
      </c>
      <c r="I1899" s="1" t="s">
        <v>57</v>
      </c>
      <c r="J1899" s="7">
        <v>30976</v>
      </c>
      <c r="K1899" s="1">
        <v>330</v>
      </c>
      <c r="L1899" s="7">
        <v>17965</v>
      </c>
      <c r="M1899" s="1">
        <v>48</v>
      </c>
      <c r="N1899" s="6">
        <v>5.0199999999999995E-2</v>
      </c>
      <c r="O1899" s="1" t="s">
        <v>37</v>
      </c>
      <c r="P1899" s="1" t="s">
        <v>47</v>
      </c>
      <c r="Q1899" s="1">
        <v>12</v>
      </c>
      <c r="R1899" s="1">
        <v>4</v>
      </c>
      <c r="S1899" s="1" t="s">
        <v>33</v>
      </c>
      <c r="T1899" s="1" t="s">
        <v>33</v>
      </c>
      <c r="U1899" s="1">
        <v>0</v>
      </c>
      <c r="V1899" s="1">
        <v>70880</v>
      </c>
      <c r="W1899" s="7">
        <v>1158.5</v>
      </c>
      <c r="X1899" s="1">
        <v>0.69</v>
      </c>
      <c r="Y1899" s="4">
        <v>44280</v>
      </c>
      <c r="Z1899" s="1" t="s">
        <v>38</v>
      </c>
      <c r="AA1899" s="1" t="s">
        <v>33</v>
      </c>
      <c r="AB1899" s="36" t="str" cm="1">
        <f t="array" ref="AB1899">_xlfn.IFS(K1899&gt;650,"LOW",K1899&gt;=550,"MEDIUM",K1899&lt;550,"HIGH")</f>
        <v>HIGH</v>
      </c>
    </row>
    <row r="1900" spans="3:28" x14ac:dyDescent="0.3">
      <c r="C1900" s="35" t="s">
        <v>3143</v>
      </c>
      <c r="D1900" s="1" t="s">
        <v>1168</v>
      </c>
      <c r="E1900" s="1">
        <v>46</v>
      </c>
      <c r="F1900" s="1" t="s">
        <v>44</v>
      </c>
      <c r="G1900" s="1" t="s">
        <v>45</v>
      </c>
      <c r="H1900" s="1" t="s">
        <v>61</v>
      </c>
      <c r="I1900" s="1" t="s">
        <v>59</v>
      </c>
      <c r="J1900" s="7">
        <v>115310</v>
      </c>
      <c r="K1900" s="1">
        <v>330</v>
      </c>
      <c r="L1900" s="7">
        <v>23203</v>
      </c>
      <c r="M1900" s="1">
        <v>36</v>
      </c>
      <c r="N1900" s="6">
        <v>0.1202</v>
      </c>
      <c r="O1900" s="1" t="s">
        <v>41</v>
      </c>
      <c r="P1900" s="1" t="s">
        <v>30</v>
      </c>
      <c r="Q1900" s="1">
        <v>25</v>
      </c>
      <c r="R1900" s="1">
        <v>0</v>
      </c>
      <c r="S1900" s="1" t="s">
        <v>33</v>
      </c>
      <c r="T1900" s="1" t="s">
        <v>33</v>
      </c>
      <c r="U1900" s="1">
        <v>4</v>
      </c>
      <c r="V1900" s="1">
        <v>165011</v>
      </c>
      <c r="W1900" s="7">
        <v>1133.3399999999999</v>
      </c>
      <c r="X1900" s="1">
        <v>0.12</v>
      </c>
      <c r="Y1900" s="4">
        <v>45159</v>
      </c>
      <c r="Z1900" s="1" t="s">
        <v>32</v>
      </c>
      <c r="AA1900" s="1" t="s">
        <v>31</v>
      </c>
      <c r="AB1900" s="36" t="str" cm="1">
        <f t="array" ref="AB1900">_xlfn.IFS(K1900&gt;650,"LOW",K1900&gt;=550,"MEDIUM",K1900&lt;550,"HIGH")</f>
        <v>HIGH</v>
      </c>
    </row>
    <row r="1901" spans="3:28" x14ac:dyDescent="0.3">
      <c r="C1901" s="35" t="s">
        <v>3415</v>
      </c>
      <c r="D1901" s="1" t="s">
        <v>1435</v>
      </c>
      <c r="E1901" s="1">
        <v>60</v>
      </c>
      <c r="F1901" s="1" t="s">
        <v>44</v>
      </c>
      <c r="G1901" s="1" t="s">
        <v>45</v>
      </c>
      <c r="H1901" s="1" t="s">
        <v>61</v>
      </c>
      <c r="I1901" s="1" t="s">
        <v>40</v>
      </c>
      <c r="J1901" s="7">
        <v>45757</v>
      </c>
      <c r="K1901" s="1">
        <v>330</v>
      </c>
      <c r="L1901" s="7">
        <v>27058</v>
      </c>
      <c r="M1901" s="1">
        <v>24</v>
      </c>
      <c r="N1901" s="6">
        <v>8.1000000000000003E-2</v>
      </c>
      <c r="O1901" s="1" t="s">
        <v>37</v>
      </c>
      <c r="P1901" s="1" t="s">
        <v>47</v>
      </c>
      <c r="Q1901" s="1">
        <v>28</v>
      </c>
      <c r="R1901" s="1">
        <v>2</v>
      </c>
      <c r="S1901" s="1" t="s">
        <v>31</v>
      </c>
      <c r="T1901" s="1" t="s">
        <v>31</v>
      </c>
      <c r="U1901" s="1">
        <v>2</v>
      </c>
      <c r="V1901" s="1">
        <v>792</v>
      </c>
      <c r="W1901" s="7">
        <v>320.76</v>
      </c>
      <c r="X1901" s="1">
        <v>0.41</v>
      </c>
      <c r="Y1901" s="4">
        <v>45248</v>
      </c>
      <c r="Z1901" s="1" t="s">
        <v>38</v>
      </c>
      <c r="AA1901" s="1" t="s">
        <v>31</v>
      </c>
      <c r="AB1901" s="36" t="str" cm="1">
        <f t="array" ref="AB1901">_xlfn.IFS(K1901&gt;650,"LOW",K1901&gt;=550,"MEDIUM",K1901&lt;550,"HIGH")</f>
        <v>HIGH</v>
      </c>
    </row>
    <row r="1902" spans="3:28" x14ac:dyDescent="0.3">
      <c r="C1902" s="35" t="s">
        <v>3966</v>
      </c>
      <c r="D1902" s="1" t="s">
        <v>1967</v>
      </c>
      <c r="E1902" s="1">
        <v>52</v>
      </c>
      <c r="F1902" s="1" t="s">
        <v>26</v>
      </c>
      <c r="G1902" s="1" t="s">
        <v>56</v>
      </c>
      <c r="H1902" s="1" t="s">
        <v>61</v>
      </c>
      <c r="I1902" s="1" t="s">
        <v>59</v>
      </c>
      <c r="J1902" s="7">
        <v>132482</v>
      </c>
      <c r="K1902" s="1">
        <v>330</v>
      </c>
      <c r="L1902" s="7">
        <v>37365</v>
      </c>
      <c r="M1902" s="1">
        <v>36</v>
      </c>
      <c r="N1902" s="6">
        <v>0.11890000000000001</v>
      </c>
      <c r="O1902" s="1" t="s">
        <v>46</v>
      </c>
      <c r="P1902" s="1" t="s">
        <v>47</v>
      </c>
      <c r="Q1902" s="1">
        <v>6</v>
      </c>
      <c r="R1902" s="1">
        <v>4</v>
      </c>
      <c r="S1902" s="1" t="s">
        <v>31</v>
      </c>
      <c r="T1902" s="1" t="s">
        <v>33</v>
      </c>
      <c r="U1902" s="1">
        <v>2</v>
      </c>
      <c r="V1902" s="1">
        <v>84487</v>
      </c>
      <c r="W1902" s="7">
        <v>1160.5899999999999</v>
      </c>
      <c r="X1902" s="1">
        <v>0.45</v>
      </c>
      <c r="Y1902" s="4">
        <v>45787</v>
      </c>
      <c r="Z1902" s="1" t="s">
        <v>32</v>
      </c>
      <c r="AA1902" s="1" t="s">
        <v>33</v>
      </c>
      <c r="AB1902" s="36" t="str" cm="1">
        <f t="array" ref="AB1902">_xlfn.IFS(K1902&gt;650,"LOW",K1902&gt;=550,"MEDIUM",K1902&lt;550,"HIGH")</f>
        <v>HIGH</v>
      </c>
    </row>
    <row r="1903" spans="3:28" x14ac:dyDescent="0.3">
      <c r="C1903" s="35" t="s">
        <v>2707</v>
      </c>
      <c r="D1903" s="1" t="s">
        <v>737</v>
      </c>
      <c r="E1903" s="1">
        <v>33</v>
      </c>
      <c r="F1903" s="1" t="s">
        <v>44</v>
      </c>
      <c r="G1903" s="1" t="s">
        <v>27</v>
      </c>
      <c r="H1903" s="1" t="s">
        <v>36</v>
      </c>
      <c r="I1903" s="1" t="s">
        <v>40</v>
      </c>
      <c r="J1903" s="7">
        <v>62968</v>
      </c>
      <c r="K1903" s="1">
        <v>329</v>
      </c>
      <c r="L1903" s="7">
        <v>34910</v>
      </c>
      <c r="M1903" s="1">
        <v>24</v>
      </c>
      <c r="N1903" s="6">
        <v>6.0199999999999997E-2</v>
      </c>
      <c r="O1903" s="1" t="s">
        <v>5</v>
      </c>
      <c r="P1903" s="1" t="s">
        <v>30</v>
      </c>
      <c r="Q1903" s="1">
        <v>28</v>
      </c>
      <c r="R1903" s="1">
        <v>4</v>
      </c>
      <c r="S1903" s="1" t="s">
        <v>33</v>
      </c>
      <c r="T1903" s="1" t="s">
        <v>31</v>
      </c>
      <c r="U1903" s="1">
        <v>1</v>
      </c>
      <c r="V1903" s="1">
        <v>140725</v>
      </c>
      <c r="W1903" s="7">
        <v>104.27</v>
      </c>
      <c r="X1903" s="1">
        <v>0.85</v>
      </c>
      <c r="Y1903" s="4">
        <v>44314</v>
      </c>
      <c r="Z1903" s="1" t="s">
        <v>32</v>
      </c>
      <c r="AA1903" s="1" t="s">
        <v>33</v>
      </c>
      <c r="AB1903" s="36" t="str" cm="1">
        <f t="array" ref="AB1903">_xlfn.IFS(K1903&gt;650,"LOW",K1903&gt;=550,"MEDIUM",K1903&lt;550,"HIGH")</f>
        <v>HIGH</v>
      </c>
    </row>
    <row r="1904" spans="3:28" x14ac:dyDescent="0.3">
      <c r="C1904" s="35" t="s">
        <v>2056</v>
      </c>
      <c r="D1904" s="1" t="s">
        <v>87</v>
      </c>
      <c r="E1904" s="1">
        <v>57</v>
      </c>
      <c r="F1904" s="1" t="s">
        <v>44</v>
      </c>
      <c r="G1904" s="1" t="s">
        <v>56</v>
      </c>
      <c r="H1904" s="1" t="s">
        <v>61</v>
      </c>
      <c r="I1904" s="1" t="s">
        <v>29</v>
      </c>
      <c r="J1904" s="7">
        <v>120468</v>
      </c>
      <c r="K1904" s="1">
        <v>328</v>
      </c>
      <c r="L1904" s="7">
        <v>47733</v>
      </c>
      <c r="M1904" s="1">
        <v>48</v>
      </c>
      <c r="N1904" s="6">
        <v>0.09</v>
      </c>
      <c r="O1904" s="1" t="s">
        <v>5</v>
      </c>
      <c r="P1904" s="1" t="s">
        <v>50</v>
      </c>
      <c r="Q1904" s="1">
        <v>25</v>
      </c>
      <c r="R1904" s="1">
        <v>4</v>
      </c>
      <c r="S1904" s="1" t="s">
        <v>33</v>
      </c>
      <c r="T1904" s="1" t="s">
        <v>31</v>
      </c>
      <c r="U1904" s="1">
        <v>2</v>
      </c>
      <c r="V1904" s="1">
        <v>10622</v>
      </c>
      <c r="W1904" s="7">
        <v>542.52</v>
      </c>
      <c r="X1904" s="1">
        <v>0.26</v>
      </c>
      <c r="Y1904" s="4">
        <v>44250</v>
      </c>
      <c r="Z1904" s="1" t="s">
        <v>38</v>
      </c>
      <c r="AA1904" s="1" t="s">
        <v>33</v>
      </c>
      <c r="AB1904" s="36" t="str" cm="1">
        <f t="array" ref="AB1904">_xlfn.IFS(K1904&gt;650,"LOW",K1904&gt;=550,"MEDIUM",K1904&lt;550,"HIGH")</f>
        <v>HIGH</v>
      </c>
    </row>
    <row r="1905" spans="3:28" x14ac:dyDescent="0.3">
      <c r="C1905" s="35" t="s">
        <v>3212</v>
      </c>
      <c r="D1905" s="1" t="s">
        <v>1236</v>
      </c>
      <c r="E1905" s="1">
        <v>24</v>
      </c>
      <c r="F1905" s="1" t="s">
        <v>44</v>
      </c>
      <c r="G1905" s="1" t="s">
        <v>27</v>
      </c>
      <c r="H1905" s="1" t="s">
        <v>54</v>
      </c>
      <c r="I1905" s="1" t="s">
        <v>57</v>
      </c>
      <c r="J1905" s="7">
        <v>31953</v>
      </c>
      <c r="K1905" s="1">
        <v>328</v>
      </c>
      <c r="L1905" s="7">
        <v>34717</v>
      </c>
      <c r="M1905" s="1">
        <v>12</v>
      </c>
      <c r="N1905" s="6">
        <v>0.10539999999999999</v>
      </c>
      <c r="O1905" s="1" t="s">
        <v>37</v>
      </c>
      <c r="P1905" s="1" t="s">
        <v>47</v>
      </c>
      <c r="Q1905" s="1">
        <v>17</v>
      </c>
      <c r="R1905" s="1">
        <v>3</v>
      </c>
      <c r="S1905" s="1" t="s">
        <v>31</v>
      </c>
      <c r="T1905" s="1" t="s">
        <v>33</v>
      </c>
      <c r="U1905" s="1">
        <v>1</v>
      </c>
      <c r="V1905" s="1">
        <v>25391</v>
      </c>
      <c r="W1905" s="7">
        <v>769.57</v>
      </c>
      <c r="X1905" s="1">
        <v>0.46</v>
      </c>
      <c r="Y1905" s="4">
        <v>44692</v>
      </c>
      <c r="Z1905" s="1" t="s">
        <v>32</v>
      </c>
      <c r="AA1905" s="1" t="s">
        <v>33</v>
      </c>
      <c r="AB1905" s="36" t="str" cm="1">
        <f t="array" ref="AB1905">_xlfn.IFS(K1905&gt;650,"LOW",K1905&gt;=550,"MEDIUM",K1905&lt;550,"HIGH")</f>
        <v>HIGH</v>
      </c>
    </row>
    <row r="1906" spans="3:28" x14ac:dyDescent="0.3">
      <c r="C1906" s="35" t="s">
        <v>3544</v>
      </c>
      <c r="D1906" s="1" t="s">
        <v>1561</v>
      </c>
      <c r="E1906" s="1">
        <v>33</v>
      </c>
      <c r="F1906" s="1" t="s">
        <v>44</v>
      </c>
      <c r="G1906" s="1" t="s">
        <v>45</v>
      </c>
      <c r="H1906" s="1" t="s">
        <v>61</v>
      </c>
      <c r="I1906" s="1" t="s">
        <v>29</v>
      </c>
      <c r="J1906" s="7">
        <v>84280</v>
      </c>
      <c r="K1906" s="1">
        <v>328</v>
      </c>
      <c r="L1906" s="7">
        <v>32440</v>
      </c>
      <c r="M1906" s="1">
        <v>36</v>
      </c>
      <c r="N1906" s="6">
        <v>0.13730000000000001</v>
      </c>
      <c r="O1906" s="1" t="s">
        <v>37</v>
      </c>
      <c r="P1906" s="1" t="s">
        <v>50</v>
      </c>
      <c r="Q1906" s="1">
        <v>18</v>
      </c>
      <c r="R1906" s="1">
        <v>1</v>
      </c>
      <c r="S1906" s="1" t="s">
        <v>31</v>
      </c>
      <c r="T1906" s="1" t="s">
        <v>33</v>
      </c>
      <c r="U1906" s="1">
        <v>0</v>
      </c>
      <c r="V1906" s="1">
        <v>107623</v>
      </c>
      <c r="W1906" s="7">
        <v>240.31</v>
      </c>
      <c r="X1906" s="1">
        <v>0.43</v>
      </c>
      <c r="Y1906" s="4">
        <v>44567</v>
      </c>
      <c r="Z1906" s="1" t="s">
        <v>38</v>
      </c>
      <c r="AA1906" s="1" t="s">
        <v>31</v>
      </c>
      <c r="AB1906" s="36" t="str" cm="1">
        <f t="array" ref="AB1906">_xlfn.IFS(K1906&gt;650,"LOW",K1906&gt;=550,"MEDIUM",K1906&lt;550,"HIGH")</f>
        <v>HIGH</v>
      </c>
    </row>
    <row r="1907" spans="3:28" x14ac:dyDescent="0.3">
      <c r="C1907" s="35" t="s">
        <v>3638</v>
      </c>
      <c r="D1907" s="1" t="s">
        <v>1650</v>
      </c>
      <c r="E1907" s="1">
        <v>49</v>
      </c>
      <c r="F1907" s="1" t="s">
        <v>26</v>
      </c>
      <c r="G1907" s="1" t="s">
        <v>56</v>
      </c>
      <c r="H1907" s="1" t="s">
        <v>36</v>
      </c>
      <c r="I1907" s="1" t="s">
        <v>57</v>
      </c>
      <c r="J1907" s="7">
        <v>44502</v>
      </c>
      <c r="K1907" s="1">
        <v>328</v>
      </c>
      <c r="L1907" s="7">
        <v>15901</v>
      </c>
      <c r="M1907" s="1">
        <v>48</v>
      </c>
      <c r="N1907" s="6">
        <v>0.16850000000000001</v>
      </c>
      <c r="O1907" s="1" t="s">
        <v>5</v>
      </c>
      <c r="P1907" s="1" t="s">
        <v>47</v>
      </c>
      <c r="Q1907" s="1">
        <v>28</v>
      </c>
      <c r="R1907" s="1">
        <v>4</v>
      </c>
      <c r="S1907" s="1" t="s">
        <v>31</v>
      </c>
      <c r="T1907" s="1" t="s">
        <v>31</v>
      </c>
      <c r="U1907" s="1">
        <v>4</v>
      </c>
      <c r="V1907" s="1">
        <v>191614</v>
      </c>
      <c r="W1907" s="7">
        <v>772.53</v>
      </c>
      <c r="X1907" s="1">
        <v>0.45</v>
      </c>
      <c r="Y1907" s="4">
        <v>44968</v>
      </c>
      <c r="Z1907" s="1" t="s">
        <v>32</v>
      </c>
      <c r="AA1907" s="1" t="s">
        <v>33</v>
      </c>
      <c r="AB1907" s="36" t="str" cm="1">
        <f t="array" ref="AB1907">_xlfn.IFS(K1907&gt;650,"LOW",K1907&gt;=550,"MEDIUM",K1907&lt;550,"HIGH")</f>
        <v>HIGH</v>
      </c>
    </row>
    <row r="1908" spans="3:28" x14ac:dyDescent="0.3">
      <c r="C1908" s="35" t="s">
        <v>3900</v>
      </c>
      <c r="D1908" s="1" t="s">
        <v>1904</v>
      </c>
      <c r="E1908" s="1">
        <v>23</v>
      </c>
      <c r="F1908" s="1" t="s">
        <v>44</v>
      </c>
      <c r="G1908" s="1" t="s">
        <v>45</v>
      </c>
      <c r="H1908" s="1" t="s">
        <v>28</v>
      </c>
      <c r="I1908" s="1" t="s">
        <v>40</v>
      </c>
      <c r="J1908" s="7">
        <v>78453</v>
      </c>
      <c r="K1908" s="1">
        <v>328</v>
      </c>
      <c r="L1908" s="7">
        <v>44421</v>
      </c>
      <c r="M1908" s="1">
        <v>60</v>
      </c>
      <c r="N1908" s="6">
        <v>9.3200000000000005E-2</v>
      </c>
      <c r="O1908" s="1" t="s">
        <v>37</v>
      </c>
      <c r="P1908" s="1" t="s">
        <v>50</v>
      </c>
      <c r="Q1908" s="1">
        <v>20</v>
      </c>
      <c r="R1908" s="1">
        <v>2</v>
      </c>
      <c r="S1908" s="1" t="s">
        <v>31</v>
      </c>
      <c r="T1908" s="1" t="s">
        <v>31</v>
      </c>
      <c r="U1908" s="1">
        <v>0</v>
      </c>
      <c r="V1908" s="1">
        <v>149017</v>
      </c>
      <c r="W1908" s="7">
        <v>1022.7</v>
      </c>
      <c r="X1908" s="1">
        <v>0.3</v>
      </c>
      <c r="Y1908" s="4">
        <v>45004</v>
      </c>
      <c r="Z1908" s="1" t="s">
        <v>32</v>
      </c>
      <c r="AA1908" s="1" t="s">
        <v>33</v>
      </c>
      <c r="AB1908" s="36" t="str" cm="1">
        <f t="array" ref="AB1908">_xlfn.IFS(K1908&gt;650,"LOW",K1908&gt;=550,"MEDIUM",K1908&lt;550,"HIGH")</f>
        <v>HIGH</v>
      </c>
    </row>
    <row r="1909" spans="3:28" x14ac:dyDescent="0.3">
      <c r="C1909" s="35" t="s">
        <v>2311</v>
      </c>
      <c r="D1909" s="1" t="s">
        <v>342</v>
      </c>
      <c r="E1909" s="1">
        <v>34</v>
      </c>
      <c r="F1909" s="1" t="s">
        <v>26</v>
      </c>
      <c r="G1909" s="1" t="s">
        <v>35</v>
      </c>
      <c r="H1909" s="1" t="s">
        <v>61</v>
      </c>
      <c r="I1909" s="1" t="s">
        <v>59</v>
      </c>
      <c r="J1909" s="7">
        <v>64333</v>
      </c>
      <c r="K1909" s="1">
        <v>327</v>
      </c>
      <c r="L1909" s="7">
        <v>33599</v>
      </c>
      <c r="M1909" s="1">
        <v>48</v>
      </c>
      <c r="N1909" s="6">
        <v>0.1124</v>
      </c>
      <c r="O1909" s="1" t="s">
        <v>5</v>
      </c>
      <c r="P1909" s="1" t="s">
        <v>30</v>
      </c>
      <c r="Q1909" s="1">
        <v>26</v>
      </c>
      <c r="R1909" s="1">
        <v>2</v>
      </c>
      <c r="S1909" s="1" t="s">
        <v>31</v>
      </c>
      <c r="T1909" s="1" t="s">
        <v>33</v>
      </c>
      <c r="U1909" s="1">
        <v>2</v>
      </c>
      <c r="V1909" s="1">
        <v>57631</v>
      </c>
      <c r="W1909" s="7">
        <v>1677.92</v>
      </c>
      <c r="X1909" s="1">
        <v>0.42</v>
      </c>
      <c r="Y1909" s="4">
        <v>45154</v>
      </c>
      <c r="Z1909" s="1" t="s">
        <v>38</v>
      </c>
      <c r="AA1909" s="1" t="s">
        <v>33</v>
      </c>
      <c r="AB1909" s="36" t="str" cm="1">
        <f t="array" ref="AB1909">_xlfn.IFS(K1909&gt;650,"LOW",K1909&gt;=550,"MEDIUM",K1909&lt;550,"HIGH")</f>
        <v>HIGH</v>
      </c>
    </row>
    <row r="1910" spans="3:28" x14ac:dyDescent="0.3">
      <c r="C1910" s="35" t="s">
        <v>2661</v>
      </c>
      <c r="D1910" s="1" t="s">
        <v>691</v>
      </c>
      <c r="E1910" s="1">
        <v>30</v>
      </c>
      <c r="F1910" s="1" t="s">
        <v>26</v>
      </c>
      <c r="G1910" s="1" t="s">
        <v>35</v>
      </c>
      <c r="H1910" s="1" t="s">
        <v>54</v>
      </c>
      <c r="I1910" s="1" t="s">
        <v>29</v>
      </c>
      <c r="J1910" s="7">
        <v>104171</v>
      </c>
      <c r="K1910" s="1">
        <v>327</v>
      </c>
      <c r="L1910" s="7">
        <v>10524</v>
      </c>
      <c r="M1910" s="1">
        <v>48</v>
      </c>
      <c r="N1910" s="6">
        <v>0.1265</v>
      </c>
      <c r="O1910" s="1" t="s">
        <v>52</v>
      </c>
      <c r="P1910" s="1" t="s">
        <v>50</v>
      </c>
      <c r="Q1910" s="1">
        <v>13</v>
      </c>
      <c r="R1910" s="1">
        <v>4</v>
      </c>
      <c r="S1910" s="1" t="s">
        <v>33</v>
      </c>
      <c r="T1910" s="1" t="s">
        <v>31</v>
      </c>
      <c r="U1910" s="1">
        <v>2</v>
      </c>
      <c r="V1910" s="1">
        <v>113982</v>
      </c>
      <c r="W1910" s="7">
        <v>1686.17</v>
      </c>
      <c r="X1910" s="1">
        <v>0.24</v>
      </c>
      <c r="Y1910" s="4">
        <v>45367</v>
      </c>
      <c r="Z1910" s="1" t="s">
        <v>32</v>
      </c>
      <c r="AA1910" s="1" t="s">
        <v>33</v>
      </c>
      <c r="AB1910" s="36" t="str" cm="1">
        <f t="array" ref="AB1910">_xlfn.IFS(K1910&gt;650,"LOW",K1910&gt;=550,"MEDIUM",K1910&lt;550,"HIGH")</f>
        <v>HIGH</v>
      </c>
    </row>
    <row r="1911" spans="3:28" x14ac:dyDescent="0.3">
      <c r="C1911" s="35" t="s">
        <v>2997</v>
      </c>
      <c r="D1911" s="1" t="s">
        <v>1024</v>
      </c>
      <c r="E1911" s="1">
        <v>24</v>
      </c>
      <c r="F1911" s="1" t="s">
        <v>44</v>
      </c>
      <c r="G1911" s="1" t="s">
        <v>27</v>
      </c>
      <c r="H1911" s="1" t="s">
        <v>28</v>
      </c>
      <c r="I1911" s="1" t="s">
        <v>59</v>
      </c>
      <c r="J1911" s="7">
        <v>80663</v>
      </c>
      <c r="K1911" s="1">
        <v>327</v>
      </c>
      <c r="L1911" s="7">
        <v>7159</v>
      </c>
      <c r="M1911" s="1">
        <v>36</v>
      </c>
      <c r="N1911" s="6">
        <v>0.1148</v>
      </c>
      <c r="O1911" s="1" t="s">
        <v>63</v>
      </c>
      <c r="P1911" s="1" t="s">
        <v>50</v>
      </c>
      <c r="Q1911" s="1">
        <v>13</v>
      </c>
      <c r="R1911" s="1">
        <v>2</v>
      </c>
      <c r="S1911" s="1" t="s">
        <v>31</v>
      </c>
      <c r="T1911" s="1" t="s">
        <v>31</v>
      </c>
      <c r="U1911" s="1">
        <v>1</v>
      </c>
      <c r="V1911" s="1">
        <v>77263</v>
      </c>
      <c r="W1911" s="7">
        <v>1682.97</v>
      </c>
      <c r="X1911" s="1">
        <v>0.71</v>
      </c>
      <c r="Y1911" s="4">
        <v>45647</v>
      </c>
      <c r="Z1911" s="1" t="s">
        <v>32</v>
      </c>
      <c r="AA1911" s="1" t="s">
        <v>33</v>
      </c>
      <c r="AB1911" s="36" t="str" cm="1">
        <f t="array" ref="AB1911">_xlfn.IFS(K1911&gt;650,"LOW",K1911&gt;=550,"MEDIUM",K1911&lt;550,"HIGH")</f>
        <v>HIGH</v>
      </c>
    </row>
    <row r="1912" spans="3:28" x14ac:dyDescent="0.3">
      <c r="C1912" s="35" t="s">
        <v>3310</v>
      </c>
      <c r="D1912" s="1" t="s">
        <v>1333</v>
      </c>
      <c r="E1912" s="1">
        <v>41</v>
      </c>
      <c r="F1912" s="1" t="s">
        <v>26</v>
      </c>
      <c r="G1912" s="1" t="s">
        <v>56</v>
      </c>
      <c r="H1912" s="1" t="s">
        <v>36</v>
      </c>
      <c r="I1912" s="1" t="s">
        <v>40</v>
      </c>
      <c r="J1912" s="7">
        <v>145604</v>
      </c>
      <c r="K1912" s="1">
        <v>326</v>
      </c>
      <c r="L1912" s="7">
        <v>48653</v>
      </c>
      <c r="M1912" s="1">
        <v>36</v>
      </c>
      <c r="N1912" s="6">
        <v>0.17949999999999999</v>
      </c>
      <c r="O1912" s="1" t="s">
        <v>63</v>
      </c>
      <c r="P1912" s="1" t="s">
        <v>47</v>
      </c>
      <c r="Q1912" s="1">
        <v>14</v>
      </c>
      <c r="R1912" s="1">
        <v>0</v>
      </c>
      <c r="S1912" s="1" t="s">
        <v>33</v>
      </c>
      <c r="T1912" s="1" t="s">
        <v>33</v>
      </c>
      <c r="U1912" s="1">
        <v>0</v>
      </c>
      <c r="V1912" s="1">
        <v>15451</v>
      </c>
      <c r="W1912" s="7">
        <v>1314.12</v>
      </c>
      <c r="X1912" s="1">
        <v>0.56999999999999995</v>
      </c>
      <c r="Y1912" s="4">
        <v>44848</v>
      </c>
      <c r="Z1912" s="1" t="s">
        <v>32</v>
      </c>
      <c r="AA1912" s="1" t="s">
        <v>33</v>
      </c>
      <c r="AB1912" s="36" t="str" cm="1">
        <f t="array" ref="AB1912">_xlfn.IFS(K1912&gt;650,"LOW",K1912&gt;=550,"MEDIUM",K1912&lt;550,"HIGH")</f>
        <v>HIGH</v>
      </c>
    </row>
    <row r="1913" spans="3:28" x14ac:dyDescent="0.3">
      <c r="C1913" s="35" t="s">
        <v>2233</v>
      </c>
      <c r="D1913" s="1" t="s">
        <v>264</v>
      </c>
      <c r="E1913" s="1">
        <v>58</v>
      </c>
      <c r="F1913" s="1" t="s">
        <v>26</v>
      </c>
      <c r="G1913" s="1" t="s">
        <v>45</v>
      </c>
      <c r="H1913" s="1" t="s">
        <v>61</v>
      </c>
      <c r="I1913" s="1" t="s">
        <v>57</v>
      </c>
      <c r="J1913" s="7">
        <v>146881</v>
      </c>
      <c r="K1913" s="1">
        <v>325</v>
      </c>
      <c r="L1913" s="7">
        <v>16447</v>
      </c>
      <c r="M1913" s="1">
        <v>60</v>
      </c>
      <c r="N1913" s="6">
        <v>7.2700000000000001E-2</v>
      </c>
      <c r="O1913" s="1" t="s">
        <v>37</v>
      </c>
      <c r="P1913" s="1" t="s">
        <v>50</v>
      </c>
      <c r="Q1913" s="1">
        <v>2</v>
      </c>
      <c r="R1913" s="1">
        <v>0</v>
      </c>
      <c r="S1913" s="1" t="s">
        <v>33</v>
      </c>
      <c r="T1913" s="1" t="s">
        <v>31</v>
      </c>
      <c r="U1913" s="1">
        <v>2</v>
      </c>
      <c r="V1913" s="1">
        <v>66512</v>
      </c>
      <c r="W1913" s="7">
        <v>230.58</v>
      </c>
      <c r="X1913" s="1">
        <v>0.88</v>
      </c>
      <c r="Y1913" s="4">
        <v>44596</v>
      </c>
      <c r="Z1913" s="1" t="s">
        <v>32</v>
      </c>
      <c r="AA1913" s="1" t="s">
        <v>33</v>
      </c>
      <c r="AB1913" s="36" t="str" cm="1">
        <f t="array" ref="AB1913">_xlfn.IFS(K1913&gt;650,"LOW",K1913&gt;=550,"MEDIUM",K1913&lt;550,"HIGH")</f>
        <v>HIGH</v>
      </c>
    </row>
    <row r="1914" spans="3:28" x14ac:dyDescent="0.3">
      <c r="C1914" s="35" t="s">
        <v>3482</v>
      </c>
      <c r="D1914" s="1" t="s">
        <v>1500</v>
      </c>
      <c r="E1914" s="1">
        <v>28</v>
      </c>
      <c r="F1914" s="1" t="s">
        <v>44</v>
      </c>
      <c r="G1914" s="1" t="s">
        <v>27</v>
      </c>
      <c r="H1914" s="1" t="s">
        <v>61</v>
      </c>
      <c r="I1914" s="1" t="s">
        <v>29</v>
      </c>
      <c r="J1914" s="7">
        <v>111417</v>
      </c>
      <c r="K1914" s="1">
        <v>325</v>
      </c>
      <c r="L1914" s="7">
        <v>27365</v>
      </c>
      <c r="M1914" s="1">
        <v>60</v>
      </c>
      <c r="N1914" s="6">
        <v>0.19350000000000001</v>
      </c>
      <c r="O1914" s="1" t="s">
        <v>5</v>
      </c>
      <c r="P1914" s="1" t="s">
        <v>47</v>
      </c>
      <c r="Q1914" s="1">
        <v>7</v>
      </c>
      <c r="R1914" s="1">
        <v>1</v>
      </c>
      <c r="S1914" s="1" t="s">
        <v>31</v>
      </c>
      <c r="T1914" s="1" t="s">
        <v>31</v>
      </c>
      <c r="U1914" s="1">
        <v>3</v>
      </c>
      <c r="V1914" s="1">
        <v>24120</v>
      </c>
      <c r="W1914" s="7">
        <v>151.1</v>
      </c>
      <c r="X1914" s="1">
        <v>0.3</v>
      </c>
      <c r="Y1914" s="4">
        <v>44058</v>
      </c>
      <c r="Z1914" s="1" t="s">
        <v>32</v>
      </c>
      <c r="AA1914" s="1" t="s">
        <v>31</v>
      </c>
      <c r="AB1914" s="36" t="str" cm="1">
        <f t="array" ref="AB1914">_xlfn.IFS(K1914&gt;650,"LOW",K1914&gt;=550,"MEDIUM",K1914&lt;550,"HIGH")</f>
        <v>HIGH</v>
      </c>
    </row>
    <row r="1915" spans="3:28" x14ac:dyDescent="0.3">
      <c r="C1915" s="35" t="s">
        <v>3660</v>
      </c>
      <c r="D1915" s="1" t="s">
        <v>1672</v>
      </c>
      <c r="E1915" s="1">
        <v>52</v>
      </c>
      <c r="F1915" s="1" t="s">
        <v>44</v>
      </c>
      <c r="G1915" s="1" t="s">
        <v>27</v>
      </c>
      <c r="H1915" s="1" t="s">
        <v>54</v>
      </c>
      <c r="I1915" s="1" t="s">
        <v>29</v>
      </c>
      <c r="J1915" s="7">
        <v>48511</v>
      </c>
      <c r="K1915" s="1">
        <v>325</v>
      </c>
      <c r="L1915" s="7">
        <v>35512</v>
      </c>
      <c r="M1915" s="1">
        <v>12</v>
      </c>
      <c r="N1915" s="6">
        <v>0.1447</v>
      </c>
      <c r="O1915" s="1" t="s">
        <v>46</v>
      </c>
      <c r="P1915" s="1" t="s">
        <v>30</v>
      </c>
      <c r="Q1915" s="1">
        <v>14</v>
      </c>
      <c r="R1915" s="1">
        <v>0</v>
      </c>
      <c r="S1915" s="1" t="s">
        <v>33</v>
      </c>
      <c r="T1915" s="1" t="s">
        <v>31</v>
      </c>
      <c r="U1915" s="1">
        <v>3</v>
      </c>
      <c r="V1915" s="1">
        <v>149553</v>
      </c>
      <c r="W1915" s="7">
        <v>525.71</v>
      </c>
      <c r="X1915" s="1">
        <v>0.91</v>
      </c>
      <c r="Y1915" s="4">
        <v>44531</v>
      </c>
      <c r="Z1915" s="1" t="s">
        <v>38</v>
      </c>
      <c r="AA1915" s="1" t="s">
        <v>33</v>
      </c>
      <c r="AB1915" s="36" t="str" cm="1">
        <f t="array" ref="AB1915">_xlfn.IFS(K1915&gt;650,"LOW",K1915&gt;=550,"MEDIUM",K1915&lt;550,"HIGH")</f>
        <v>HIGH</v>
      </c>
    </row>
    <row r="1916" spans="3:28" x14ac:dyDescent="0.3">
      <c r="C1916" s="35" t="s">
        <v>2855</v>
      </c>
      <c r="D1916" s="1" t="s">
        <v>883</v>
      </c>
      <c r="E1916" s="1">
        <v>58</v>
      </c>
      <c r="F1916" s="1" t="s">
        <v>26</v>
      </c>
      <c r="G1916" s="1" t="s">
        <v>27</v>
      </c>
      <c r="H1916" s="1" t="s">
        <v>61</v>
      </c>
      <c r="I1916" s="1" t="s">
        <v>59</v>
      </c>
      <c r="J1916" s="7">
        <v>95403</v>
      </c>
      <c r="K1916" s="1">
        <v>324</v>
      </c>
      <c r="L1916" s="7">
        <v>5830</v>
      </c>
      <c r="M1916" s="1">
        <v>60</v>
      </c>
      <c r="N1916" s="6">
        <v>0.13250000000000001</v>
      </c>
      <c r="O1916" s="1" t="s">
        <v>46</v>
      </c>
      <c r="P1916" s="1" t="s">
        <v>30</v>
      </c>
      <c r="Q1916" s="1">
        <v>12</v>
      </c>
      <c r="R1916" s="1">
        <v>0</v>
      </c>
      <c r="S1916" s="1" t="s">
        <v>31</v>
      </c>
      <c r="T1916" s="1" t="s">
        <v>31</v>
      </c>
      <c r="U1916" s="1">
        <v>4</v>
      </c>
      <c r="V1916" s="1">
        <v>6844</v>
      </c>
      <c r="W1916" s="7">
        <v>819.49</v>
      </c>
      <c r="X1916" s="1">
        <v>0.34</v>
      </c>
      <c r="Y1916" s="4">
        <v>45172</v>
      </c>
      <c r="Z1916" s="1" t="s">
        <v>32</v>
      </c>
      <c r="AA1916" s="1" t="s">
        <v>33</v>
      </c>
      <c r="AB1916" s="36" t="str" cm="1">
        <f t="array" ref="AB1916">_xlfn.IFS(K1916&gt;650,"LOW",K1916&gt;=550,"MEDIUM",K1916&lt;550,"HIGH")</f>
        <v>HIGH</v>
      </c>
    </row>
    <row r="1917" spans="3:28" x14ac:dyDescent="0.3">
      <c r="C1917" s="35" t="s">
        <v>3183</v>
      </c>
      <c r="D1917" s="1" t="s">
        <v>1207</v>
      </c>
      <c r="E1917" s="1">
        <v>30</v>
      </c>
      <c r="F1917" s="1" t="s">
        <v>26</v>
      </c>
      <c r="G1917" s="1" t="s">
        <v>27</v>
      </c>
      <c r="H1917" s="1" t="s">
        <v>61</v>
      </c>
      <c r="I1917" s="1" t="s">
        <v>57</v>
      </c>
      <c r="J1917" s="7">
        <v>112705</v>
      </c>
      <c r="K1917" s="1">
        <v>324</v>
      </c>
      <c r="L1917" s="7">
        <v>14027</v>
      </c>
      <c r="M1917" s="1">
        <v>24</v>
      </c>
      <c r="N1917" s="6">
        <v>9.6000000000000002E-2</v>
      </c>
      <c r="O1917" s="1" t="s">
        <v>41</v>
      </c>
      <c r="P1917" s="1" t="s">
        <v>30</v>
      </c>
      <c r="Q1917" s="1">
        <v>1</v>
      </c>
      <c r="R1917" s="1">
        <v>3</v>
      </c>
      <c r="S1917" s="1" t="s">
        <v>33</v>
      </c>
      <c r="T1917" s="1" t="s">
        <v>33</v>
      </c>
      <c r="U1917" s="1">
        <v>4</v>
      </c>
      <c r="V1917" s="1">
        <v>3801</v>
      </c>
      <c r="W1917" s="7">
        <v>281.36</v>
      </c>
      <c r="X1917" s="1">
        <v>0.86</v>
      </c>
      <c r="Y1917" s="4">
        <v>44337</v>
      </c>
      <c r="Z1917" s="1" t="s">
        <v>32</v>
      </c>
      <c r="AA1917" s="1" t="s">
        <v>33</v>
      </c>
      <c r="AB1917" s="36" t="str" cm="1">
        <f t="array" ref="AB1917">_xlfn.IFS(K1917&gt;650,"LOW",K1917&gt;=550,"MEDIUM",K1917&lt;550,"HIGH")</f>
        <v>HIGH</v>
      </c>
    </row>
    <row r="1918" spans="3:28" x14ac:dyDescent="0.3">
      <c r="C1918" s="35" t="s">
        <v>3429</v>
      </c>
      <c r="D1918" s="1" t="s">
        <v>1449</v>
      </c>
      <c r="E1918" s="1">
        <v>62</v>
      </c>
      <c r="F1918" s="1" t="s">
        <v>26</v>
      </c>
      <c r="G1918" s="1" t="s">
        <v>56</v>
      </c>
      <c r="H1918" s="1" t="s">
        <v>54</v>
      </c>
      <c r="I1918" s="1" t="s">
        <v>59</v>
      </c>
      <c r="J1918" s="7">
        <v>46469</v>
      </c>
      <c r="K1918" s="1">
        <v>324</v>
      </c>
      <c r="L1918" s="7">
        <v>28399</v>
      </c>
      <c r="M1918" s="1">
        <v>12</v>
      </c>
      <c r="N1918" s="6">
        <v>0.1401</v>
      </c>
      <c r="O1918" s="1" t="s">
        <v>63</v>
      </c>
      <c r="P1918" s="1" t="s">
        <v>50</v>
      </c>
      <c r="Q1918" s="1">
        <v>26</v>
      </c>
      <c r="R1918" s="1">
        <v>0</v>
      </c>
      <c r="S1918" s="1" t="s">
        <v>31</v>
      </c>
      <c r="T1918" s="1" t="s">
        <v>31</v>
      </c>
      <c r="U1918" s="1">
        <v>4</v>
      </c>
      <c r="V1918" s="1">
        <v>89412</v>
      </c>
      <c r="W1918" s="7">
        <v>1144.45</v>
      </c>
      <c r="X1918" s="1">
        <v>0.39</v>
      </c>
      <c r="Y1918" s="4">
        <v>45334</v>
      </c>
      <c r="Z1918" s="1" t="s">
        <v>38</v>
      </c>
      <c r="AA1918" s="1" t="s">
        <v>33</v>
      </c>
      <c r="AB1918" s="36" t="str" cm="1">
        <f t="array" ref="AB1918">_xlfn.IFS(K1918&gt;650,"LOW",K1918&gt;=550,"MEDIUM",K1918&lt;550,"HIGH")</f>
        <v>HIGH</v>
      </c>
    </row>
    <row r="1919" spans="3:28" x14ac:dyDescent="0.3">
      <c r="C1919" s="35" t="s">
        <v>3669</v>
      </c>
      <c r="D1919" s="1" t="s">
        <v>1681</v>
      </c>
      <c r="E1919" s="1">
        <v>64</v>
      </c>
      <c r="F1919" s="1" t="s">
        <v>44</v>
      </c>
      <c r="G1919" s="1" t="s">
        <v>56</v>
      </c>
      <c r="H1919" s="1" t="s">
        <v>36</v>
      </c>
      <c r="I1919" s="1" t="s">
        <v>59</v>
      </c>
      <c r="J1919" s="7">
        <v>144277</v>
      </c>
      <c r="K1919" s="1">
        <v>324</v>
      </c>
      <c r="L1919" s="7">
        <v>43485</v>
      </c>
      <c r="M1919" s="1">
        <v>60</v>
      </c>
      <c r="N1919" s="6">
        <v>9.4899999999999998E-2</v>
      </c>
      <c r="O1919" s="1" t="s">
        <v>46</v>
      </c>
      <c r="P1919" s="1" t="s">
        <v>50</v>
      </c>
      <c r="Q1919" s="1">
        <v>16</v>
      </c>
      <c r="R1919" s="1">
        <v>2</v>
      </c>
      <c r="S1919" s="1" t="s">
        <v>33</v>
      </c>
      <c r="T1919" s="1" t="s">
        <v>31</v>
      </c>
      <c r="U1919" s="1">
        <v>0</v>
      </c>
      <c r="V1919" s="1">
        <v>62055</v>
      </c>
      <c r="W1919" s="7">
        <v>1403.85</v>
      </c>
      <c r="X1919" s="1">
        <v>0.12</v>
      </c>
      <c r="Y1919" s="4">
        <v>44098</v>
      </c>
      <c r="Z1919" s="1" t="s">
        <v>32</v>
      </c>
      <c r="AA1919" s="1" t="s">
        <v>31</v>
      </c>
      <c r="AB1919" s="36" t="str" cm="1">
        <f t="array" ref="AB1919">_xlfn.IFS(K1919&gt;650,"LOW",K1919&gt;=550,"MEDIUM",K1919&lt;550,"HIGH")</f>
        <v>HIGH</v>
      </c>
    </row>
    <row r="1920" spans="3:28" x14ac:dyDescent="0.3">
      <c r="C1920" s="35" t="s">
        <v>2210</v>
      </c>
      <c r="D1920" s="1" t="s">
        <v>241</v>
      </c>
      <c r="E1920" s="1">
        <v>59</v>
      </c>
      <c r="F1920" s="1" t="s">
        <v>26</v>
      </c>
      <c r="G1920" s="1" t="s">
        <v>27</v>
      </c>
      <c r="H1920" s="1" t="s">
        <v>36</v>
      </c>
      <c r="I1920" s="1" t="s">
        <v>57</v>
      </c>
      <c r="J1920" s="7">
        <v>120962</v>
      </c>
      <c r="K1920" s="1">
        <v>323</v>
      </c>
      <c r="L1920" s="7">
        <v>10705</v>
      </c>
      <c r="M1920" s="1">
        <v>48</v>
      </c>
      <c r="N1920" s="6">
        <v>5.5500000000000001E-2</v>
      </c>
      <c r="O1920" s="1" t="s">
        <v>63</v>
      </c>
      <c r="P1920" s="1" t="s">
        <v>50</v>
      </c>
      <c r="Q1920" s="1">
        <v>12</v>
      </c>
      <c r="R1920" s="1">
        <v>2</v>
      </c>
      <c r="S1920" s="1" t="s">
        <v>31</v>
      </c>
      <c r="T1920" s="1" t="s">
        <v>31</v>
      </c>
      <c r="U1920" s="1">
        <v>3</v>
      </c>
      <c r="V1920" s="1">
        <v>156038</v>
      </c>
      <c r="W1920" s="7">
        <v>361.25</v>
      </c>
      <c r="X1920" s="1">
        <v>0.98</v>
      </c>
      <c r="Y1920" s="4">
        <v>44373</v>
      </c>
      <c r="Z1920" s="1" t="s">
        <v>32</v>
      </c>
      <c r="AA1920" s="1" t="s">
        <v>31</v>
      </c>
      <c r="AB1920" s="36" t="str" cm="1">
        <f t="array" ref="AB1920">_xlfn.IFS(K1920&gt;650,"LOW",K1920&gt;=550,"MEDIUM",K1920&lt;550,"HIGH")</f>
        <v>HIGH</v>
      </c>
    </row>
    <row r="1921" spans="3:28" x14ac:dyDescent="0.3">
      <c r="C1921" s="35" t="s">
        <v>3335</v>
      </c>
      <c r="D1921" s="1" t="s">
        <v>1358</v>
      </c>
      <c r="E1921" s="1">
        <v>29</v>
      </c>
      <c r="F1921" s="1" t="s">
        <v>44</v>
      </c>
      <c r="G1921" s="1" t="s">
        <v>56</v>
      </c>
      <c r="H1921" s="1" t="s">
        <v>54</v>
      </c>
      <c r="I1921" s="1" t="s">
        <v>57</v>
      </c>
      <c r="J1921" s="7">
        <v>95164</v>
      </c>
      <c r="K1921" s="1">
        <v>323</v>
      </c>
      <c r="L1921" s="7">
        <v>8715</v>
      </c>
      <c r="M1921" s="1">
        <v>12</v>
      </c>
      <c r="N1921" s="6">
        <v>9.2600000000000002E-2</v>
      </c>
      <c r="O1921" s="1" t="s">
        <v>46</v>
      </c>
      <c r="P1921" s="1" t="s">
        <v>47</v>
      </c>
      <c r="Q1921" s="1">
        <v>18</v>
      </c>
      <c r="R1921" s="1">
        <v>1</v>
      </c>
      <c r="S1921" s="1" t="s">
        <v>33</v>
      </c>
      <c r="T1921" s="1" t="s">
        <v>33</v>
      </c>
      <c r="U1921" s="1">
        <v>3</v>
      </c>
      <c r="V1921" s="1">
        <v>44624</v>
      </c>
      <c r="W1921" s="7">
        <v>1664.12</v>
      </c>
      <c r="X1921" s="1">
        <v>0.53</v>
      </c>
      <c r="Y1921" s="4">
        <v>45524</v>
      </c>
      <c r="Z1921" s="1" t="s">
        <v>32</v>
      </c>
      <c r="AA1921" s="1" t="s">
        <v>33</v>
      </c>
      <c r="AB1921" s="36" t="str" cm="1">
        <f t="array" ref="AB1921">_xlfn.IFS(K1921&gt;650,"LOW",K1921&gt;=550,"MEDIUM",K1921&lt;550,"HIGH")</f>
        <v>HIGH</v>
      </c>
    </row>
    <row r="1922" spans="3:28" x14ac:dyDescent="0.3">
      <c r="C1922" s="35" t="s">
        <v>3403</v>
      </c>
      <c r="D1922" s="1" t="s">
        <v>1423</v>
      </c>
      <c r="E1922" s="1">
        <v>62</v>
      </c>
      <c r="F1922" s="1" t="s">
        <v>44</v>
      </c>
      <c r="G1922" s="1" t="s">
        <v>27</v>
      </c>
      <c r="H1922" s="1" t="s">
        <v>61</v>
      </c>
      <c r="I1922" s="1" t="s">
        <v>57</v>
      </c>
      <c r="J1922" s="7">
        <v>120161</v>
      </c>
      <c r="K1922" s="1">
        <v>323</v>
      </c>
      <c r="L1922" s="7">
        <v>43120</v>
      </c>
      <c r="M1922" s="1">
        <v>36</v>
      </c>
      <c r="N1922" s="6">
        <v>8.8800000000000004E-2</v>
      </c>
      <c r="O1922" s="1" t="s">
        <v>52</v>
      </c>
      <c r="P1922" s="1" t="s">
        <v>50</v>
      </c>
      <c r="Q1922" s="1">
        <v>5</v>
      </c>
      <c r="R1922" s="1">
        <v>1</v>
      </c>
      <c r="S1922" s="1" t="s">
        <v>33</v>
      </c>
      <c r="T1922" s="1" t="s">
        <v>31</v>
      </c>
      <c r="U1922" s="1">
        <v>4</v>
      </c>
      <c r="V1922" s="1">
        <v>158993</v>
      </c>
      <c r="W1922" s="7">
        <v>1600.23</v>
      </c>
      <c r="X1922" s="1">
        <v>0.93</v>
      </c>
      <c r="Y1922" s="4">
        <v>45200</v>
      </c>
      <c r="Z1922" s="1" t="s">
        <v>38</v>
      </c>
      <c r="AA1922" s="1" t="s">
        <v>33</v>
      </c>
      <c r="AB1922" s="36" t="str" cm="1">
        <f t="array" ref="AB1922">_xlfn.IFS(K1922&gt;650,"LOW",K1922&gt;=550,"MEDIUM",K1922&lt;550,"HIGH")</f>
        <v>HIGH</v>
      </c>
    </row>
    <row r="1923" spans="3:28" x14ac:dyDescent="0.3">
      <c r="C1923" s="35" t="s">
        <v>3980</v>
      </c>
      <c r="D1923" s="1" t="s">
        <v>1980</v>
      </c>
      <c r="E1923" s="1">
        <v>60</v>
      </c>
      <c r="F1923" s="1" t="s">
        <v>26</v>
      </c>
      <c r="G1923" s="1" t="s">
        <v>27</v>
      </c>
      <c r="H1923" s="1" t="s">
        <v>54</v>
      </c>
      <c r="I1923" s="1" t="s">
        <v>29</v>
      </c>
      <c r="J1923" s="7">
        <v>91327</v>
      </c>
      <c r="K1923" s="1">
        <v>323</v>
      </c>
      <c r="L1923" s="7">
        <v>10290</v>
      </c>
      <c r="M1923" s="1">
        <v>48</v>
      </c>
      <c r="N1923" s="6">
        <v>0.19760000000000003</v>
      </c>
      <c r="O1923" s="1" t="s">
        <v>46</v>
      </c>
      <c r="P1923" s="1" t="s">
        <v>50</v>
      </c>
      <c r="Q1923" s="1">
        <v>27</v>
      </c>
      <c r="R1923" s="1">
        <v>0</v>
      </c>
      <c r="S1923" s="1" t="s">
        <v>31</v>
      </c>
      <c r="T1923" s="1" t="s">
        <v>31</v>
      </c>
      <c r="U1923" s="1">
        <v>2</v>
      </c>
      <c r="V1923" s="1">
        <v>52434</v>
      </c>
      <c r="W1923" s="7">
        <v>1341.92</v>
      </c>
      <c r="X1923" s="1">
        <v>0.31</v>
      </c>
      <c r="Y1923" s="4">
        <v>44420</v>
      </c>
      <c r="Z1923" s="1" t="s">
        <v>32</v>
      </c>
      <c r="AA1923" s="1" t="s">
        <v>33</v>
      </c>
      <c r="AB1923" s="36" t="str" cm="1">
        <f t="array" ref="AB1923">_xlfn.IFS(K1923&gt;650,"LOW",K1923&gt;=550,"MEDIUM",K1923&lt;550,"HIGH")</f>
        <v>HIGH</v>
      </c>
    </row>
    <row r="1924" spans="3:28" x14ac:dyDescent="0.3">
      <c r="C1924" s="35" t="s">
        <v>2142</v>
      </c>
      <c r="D1924" s="1" t="s">
        <v>173</v>
      </c>
      <c r="E1924" s="1">
        <v>55</v>
      </c>
      <c r="F1924" s="1" t="s">
        <v>26</v>
      </c>
      <c r="G1924" s="1" t="s">
        <v>35</v>
      </c>
      <c r="H1924" s="1" t="s">
        <v>36</v>
      </c>
      <c r="I1924" s="1" t="s">
        <v>59</v>
      </c>
      <c r="J1924" s="7">
        <v>107876</v>
      </c>
      <c r="K1924" s="1">
        <v>322</v>
      </c>
      <c r="L1924" s="7">
        <v>46785</v>
      </c>
      <c r="M1924" s="1">
        <v>60</v>
      </c>
      <c r="N1924" s="6">
        <v>6.6400000000000001E-2</v>
      </c>
      <c r="O1924" s="1" t="s">
        <v>63</v>
      </c>
      <c r="P1924" s="1" t="s">
        <v>47</v>
      </c>
      <c r="Q1924" s="1">
        <v>26</v>
      </c>
      <c r="R1924" s="1">
        <v>3</v>
      </c>
      <c r="S1924" s="1" t="s">
        <v>33</v>
      </c>
      <c r="T1924" s="1" t="s">
        <v>33</v>
      </c>
      <c r="U1924" s="1">
        <v>4</v>
      </c>
      <c r="V1924" s="1">
        <v>64333</v>
      </c>
      <c r="W1924" s="7">
        <v>1185.42</v>
      </c>
      <c r="X1924" s="1">
        <v>0.38</v>
      </c>
      <c r="Y1924" s="4">
        <v>44592</v>
      </c>
      <c r="Z1924" s="1" t="s">
        <v>32</v>
      </c>
      <c r="AA1924" s="1" t="s">
        <v>33</v>
      </c>
      <c r="AB1924" s="36" t="str" cm="1">
        <f t="array" ref="AB1924">_xlfn.IFS(K1924&gt;650,"LOW",K1924&gt;=550,"MEDIUM",K1924&lt;550,"HIGH")</f>
        <v>HIGH</v>
      </c>
    </row>
    <row r="1925" spans="3:28" x14ac:dyDescent="0.3">
      <c r="C1925" s="35" t="s">
        <v>2411</v>
      </c>
      <c r="D1925" s="1" t="s">
        <v>441</v>
      </c>
      <c r="E1925" s="1">
        <v>64</v>
      </c>
      <c r="F1925" s="1" t="s">
        <v>26</v>
      </c>
      <c r="G1925" s="1" t="s">
        <v>27</v>
      </c>
      <c r="H1925" s="1" t="s">
        <v>54</v>
      </c>
      <c r="I1925" s="1" t="s">
        <v>59</v>
      </c>
      <c r="J1925" s="7">
        <v>105469</v>
      </c>
      <c r="K1925" s="1">
        <v>322</v>
      </c>
      <c r="L1925" s="7">
        <v>19706</v>
      </c>
      <c r="M1925" s="1">
        <v>60</v>
      </c>
      <c r="N1925" s="6">
        <v>0.18030000000000002</v>
      </c>
      <c r="O1925" s="1" t="s">
        <v>5</v>
      </c>
      <c r="P1925" s="1" t="s">
        <v>50</v>
      </c>
      <c r="Q1925" s="1">
        <v>15</v>
      </c>
      <c r="R1925" s="1">
        <v>0</v>
      </c>
      <c r="S1925" s="1" t="s">
        <v>33</v>
      </c>
      <c r="T1925" s="1" t="s">
        <v>33</v>
      </c>
      <c r="U1925" s="1">
        <v>4</v>
      </c>
      <c r="V1925" s="1">
        <v>53062</v>
      </c>
      <c r="W1925" s="7">
        <v>852.82</v>
      </c>
      <c r="X1925" s="1">
        <v>0.97</v>
      </c>
      <c r="Y1925" s="4">
        <v>44163</v>
      </c>
      <c r="Z1925" s="1" t="s">
        <v>32</v>
      </c>
      <c r="AA1925" s="1" t="s">
        <v>33</v>
      </c>
      <c r="AB1925" s="36" t="str" cm="1">
        <f t="array" ref="AB1925">_xlfn.IFS(K1925&gt;650,"LOW",K1925&gt;=550,"MEDIUM",K1925&lt;550,"HIGH")</f>
        <v>HIGH</v>
      </c>
    </row>
    <row r="1926" spans="3:28" x14ac:dyDescent="0.3">
      <c r="C1926" s="35" t="s">
        <v>2570</v>
      </c>
      <c r="D1926" s="1" t="s">
        <v>600</v>
      </c>
      <c r="E1926" s="1">
        <v>45</v>
      </c>
      <c r="F1926" s="1" t="s">
        <v>26</v>
      </c>
      <c r="G1926" s="1" t="s">
        <v>35</v>
      </c>
      <c r="H1926" s="1" t="s">
        <v>36</v>
      </c>
      <c r="I1926" s="1" t="s">
        <v>29</v>
      </c>
      <c r="J1926" s="7">
        <v>106155</v>
      </c>
      <c r="K1926" s="1">
        <v>322</v>
      </c>
      <c r="L1926" s="7">
        <v>42881</v>
      </c>
      <c r="M1926" s="1">
        <v>60</v>
      </c>
      <c r="N1926" s="6">
        <v>0.11599999999999999</v>
      </c>
      <c r="O1926" s="1" t="s">
        <v>63</v>
      </c>
      <c r="P1926" s="1" t="s">
        <v>30</v>
      </c>
      <c r="Q1926" s="1">
        <v>24</v>
      </c>
      <c r="R1926" s="1">
        <v>1</v>
      </c>
      <c r="S1926" s="1" t="s">
        <v>33</v>
      </c>
      <c r="T1926" s="1" t="s">
        <v>31</v>
      </c>
      <c r="U1926" s="1">
        <v>3</v>
      </c>
      <c r="V1926" s="1">
        <v>187388</v>
      </c>
      <c r="W1926" s="7">
        <v>267.43</v>
      </c>
      <c r="X1926" s="1">
        <v>0.88</v>
      </c>
      <c r="Y1926" s="4">
        <v>45158</v>
      </c>
      <c r="Z1926" s="1" t="s">
        <v>32</v>
      </c>
      <c r="AA1926" s="1" t="s">
        <v>33</v>
      </c>
      <c r="AB1926" s="36" t="str" cm="1">
        <f t="array" ref="AB1926">_xlfn.IFS(K1926&gt;650,"LOW",K1926&gt;=550,"MEDIUM",K1926&lt;550,"HIGH")</f>
        <v>HIGH</v>
      </c>
    </row>
    <row r="1927" spans="3:28" x14ac:dyDescent="0.3">
      <c r="C1927" s="35" t="s">
        <v>2789</v>
      </c>
      <c r="D1927" s="1" t="s">
        <v>817</v>
      </c>
      <c r="E1927" s="1">
        <v>22</v>
      </c>
      <c r="F1927" s="1" t="s">
        <v>44</v>
      </c>
      <c r="G1927" s="1" t="s">
        <v>35</v>
      </c>
      <c r="H1927" s="1" t="s">
        <v>28</v>
      </c>
      <c r="I1927" s="1" t="s">
        <v>40</v>
      </c>
      <c r="J1927" s="7">
        <v>126080</v>
      </c>
      <c r="K1927" s="1">
        <v>322</v>
      </c>
      <c r="L1927" s="7">
        <v>11985</v>
      </c>
      <c r="M1927" s="1">
        <v>36</v>
      </c>
      <c r="N1927" s="6">
        <v>6.0899999999999996E-2</v>
      </c>
      <c r="O1927" s="1" t="s">
        <v>46</v>
      </c>
      <c r="P1927" s="1" t="s">
        <v>50</v>
      </c>
      <c r="Q1927" s="1">
        <v>21</v>
      </c>
      <c r="R1927" s="1">
        <v>2</v>
      </c>
      <c r="S1927" s="1" t="s">
        <v>31</v>
      </c>
      <c r="T1927" s="1" t="s">
        <v>33</v>
      </c>
      <c r="U1927" s="1">
        <v>0</v>
      </c>
      <c r="V1927" s="1">
        <v>151917</v>
      </c>
      <c r="W1927" s="7">
        <v>357.96</v>
      </c>
      <c r="X1927" s="1">
        <v>0.65</v>
      </c>
      <c r="Y1927" s="4">
        <v>44586</v>
      </c>
      <c r="Z1927" s="1" t="s">
        <v>38</v>
      </c>
      <c r="AA1927" s="1" t="s">
        <v>33</v>
      </c>
      <c r="AB1927" s="36" t="str" cm="1">
        <f t="array" ref="AB1927">_xlfn.IFS(K1927&gt;650,"LOW",K1927&gt;=550,"MEDIUM",K1927&lt;550,"HIGH")</f>
        <v>HIGH</v>
      </c>
    </row>
    <row r="1928" spans="3:28" x14ac:dyDescent="0.3">
      <c r="C1928" s="35" t="s">
        <v>2978</v>
      </c>
      <c r="D1928" s="1" t="s">
        <v>1006</v>
      </c>
      <c r="E1928" s="1">
        <v>55</v>
      </c>
      <c r="F1928" s="1" t="s">
        <v>44</v>
      </c>
      <c r="G1928" s="1" t="s">
        <v>27</v>
      </c>
      <c r="H1928" s="1" t="s">
        <v>28</v>
      </c>
      <c r="I1928" s="1" t="s">
        <v>57</v>
      </c>
      <c r="J1928" s="7">
        <v>106394</v>
      </c>
      <c r="K1928" s="1">
        <v>322</v>
      </c>
      <c r="L1928" s="7">
        <v>2049</v>
      </c>
      <c r="M1928" s="1">
        <v>60</v>
      </c>
      <c r="N1928" s="6">
        <v>0.1769</v>
      </c>
      <c r="O1928" s="1" t="s">
        <v>63</v>
      </c>
      <c r="P1928" s="1" t="s">
        <v>30</v>
      </c>
      <c r="Q1928" s="1">
        <v>7</v>
      </c>
      <c r="R1928" s="1">
        <v>2</v>
      </c>
      <c r="S1928" s="1" t="s">
        <v>33</v>
      </c>
      <c r="T1928" s="1" t="s">
        <v>33</v>
      </c>
      <c r="U1928" s="1">
        <v>0</v>
      </c>
      <c r="V1928" s="1">
        <v>139438</v>
      </c>
      <c r="W1928" s="7">
        <v>1577.47</v>
      </c>
      <c r="X1928" s="1">
        <v>0.74</v>
      </c>
      <c r="Y1928" s="4">
        <v>45838</v>
      </c>
      <c r="Z1928" s="1" t="s">
        <v>38</v>
      </c>
      <c r="AA1928" s="1" t="s">
        <v>33</v>
      </c>
      <c r="AB1928" s="36" t="str" cm="1">
        <f t="array" ref="AB1928">_xlfn.IFS(K1928&gt;650,"LOW",K1928&gt;=550,"MEDIUM",K1928&lt;550,"HIGH")</f>
        <v>HIGH</v>
      </c>
    </row>
    <row r="1929" spans="3:28" x14ac:dyDescent="0.3">
      <c r="C1929" s="35" t="s">
        <v>3001</v>
      </c>
      <c r="D1929" s="1" t="s">
        <v>1028</v>
      </c>
      <c r="E1929" s="1">
        <v>38</v>
      </c>
      <c r="F1929" s="1" t="s">
        <v>26</v>
      </c>
      <c r="G1929" s="1" t="s">
        <v>27</v>
      </c>
      <c r="H1929" s="1" t="s">
        <v>54</v>
      </c>
      <c r="I1929" s="1" t="s">
        <v>57</v>
      </c>
      <c r="J1929" s="7">
        <v>39613</v>
      </c>
      <c r="K1929" s="1">
        <v>322</v>
      </c>
      <c r="L1929" s="7">
        <v>46761</v>
      </c>
      <c r="M1929" s="1">
        <v>36</v>
      </c>
      <c r="N1929" s="6">
        <v>0.1246</v>
      </c>
      <c r="O1929" s="1" t="s">
        <v>41</v>
      </c>
      <c r="P1929" s="1" t="s">
        <v>47</v>
      </c>
      <c r="Q1929" s="1">
        <v>11</v>
      </c>
      <c r="R1929" s="1">
        <v>3</v>
      </c>
      <c r="S1929" s="1" t="s">
        <v>31</v>
      </c>
      <c r="T1929" s="1" t="s">
        <v>31</v>
      </c>
      <c r="U1929" s="1">
        <v>1</v>
      </c>
      <c r="V1929" s="1">
        <v>97925</v>
      </c>
      <c r="W1929" s="7">
        <v>1827.6</v>
      </c>
      <c r="X1929" s="1">
        <v>0.65</v>
      </c>
      <c r="Y1929" s="4">
        <v>45285</v>
      </c>
      <c r="Z1929" s="1" t="s">
        <v>38</v>
      </c>
      <c r="AA1929" s="1" t="s">
        <v>33</v>
      </c>
      <c r="AB1929" s="36" t="str" cm="1">
        <f t="array" ref="AB1929">_xlfn.IFS(K1929&gt;650,"LOW",K1929&gt;=550,"MEDIUM",K1929&lt;550,"HIGH")</f>
        <v>HIGH</v>
      </c>
    </row>
    <row r="1930" spans="3:28" x14ac:dyDescent="0.3">
      <c r="C1930" s="35" t="s">
        <v>3220</v>
      </c>
      <c r="D1930" s="1" t="s">
        <v>1244</v>
      </c>
      <c r="E1930" s="1">
        <v>27</v>
      </c>
      <c r="F1930" s="1" t="s">
        <v>44</v>
      </c>
      <c r="G1930" s="1" t="s">
        <v>56</v>
      </c>
      <c r="H1930" s="1" t="s">
        <v>36</v>
      </c>
      <c r="I1930" s="1" t="s">
        <v>29</v>
      </c>
      <c r="J1930" s="7">
        <v>24055</v>
      </c>
      <c r="K1930" s="1">
        <v>322</v>
      </c>
      <c r="L1930" s="7">
        <v>30986</v>
      </c>
      <c r="M1930" s="1">
        <v>36</v>
      </c>
      <c r="N1930" s="6">
        <v>0.18600000000000003</v>
      </c>
      <c r="O1930" s="1" t="s">
        <v>5</v>
      </c>
      <c r="P1930" s="1" t="s">
        <v>50</v>
      </c>
      <c r="Q1930" s="1">
        <v>15</v>
      </c>
      <c r="R1930" s="1">
        <v>0</v>
      </c>
      <c r="S1930" s="1" t="s">
        <v>33</v>
      </c>
      <c r="T1930" s="1" t="s">
        <v>33</v>
      </c>
      <c r="U1930" s="1">
        <v>3</v>
      </c>
      <c r="V1930" s="1">
        <v>114559</v>
      </c>
      <c r="W1930" s="7">
        <v>607.09</v>
      </c>
      <c r="X1930" s="1">
        <v>0.97</v>
      </c>
      <c r="Y1930" s="4">
        <v>44981</v>
      </c>
      <c r="Z1930" s="1" t="s">
        <v>32</v>
      </c>
      <c r="AA1930" s="1" t="s">
        <v>31</v>
      </c>
      <c r="AB1930" s="36" t="str" cm="1">
        <f t="array" ref="AB1930">_xlfn.IFS(K1930&gt;650,"LOW",K1930&gt;=550,"MEDIUM",K1930&lt;550,"HIGH")</f>
        <v>HIGH</v>
      </c>
    </row>
    <row r="1931" spans="3:28" x14ac:dyDescent="0.3">
      <c r="C1931" s="35" t="s">
        <v>2150</v>
      </c>
      <c r="D1931" s="1" t="s">
        <v>181</v>
      </c>
      <c r="E1931" s="1">
        <v>59</v>
      </c>
      <c r="F1931" s="1" t="s">
        <v>44</v>
      </c>
      <c r="G1931" s="1" t="s">
        <v>35</v>
      </c>
      <c r="H1931" s="1" t="s">
        <v>61</v>
      </c>
      <c r="I1931" s="1" t="s">
        <v>57</v>
      </c>
      <c r="J1931" s="7">
        <v>116090</v>
      </c>
      <c r="K1931" s="1">
        <v>321</v>
      </c>
      <c r="L1931" s="7">
        <v>49648</v>
      </c>
      <c r="M1931" s="1">
        <v>12</v>
      </c>
      <c r="N1931" s="6">
        <v>0.10949999999999999</v>
      </c>
      <c r="O1931" s="1" t="s">
        <v>52</v>
      </c>
      <c r="P1931" s="1" t="s">
        <v>47</v>
      </c>
      <c r="Q1931" s="1">
        <v>19</v>
      </c>
      <c r="R1931" s="1">
        <v>1</v>
      </c>
      <c r="S1931" s="1" t="s">
        <v>31</v>
      </c>
      <c r="T1931" s="1" t="s">
        <v>31</v>
      </c>
      <c r="U1931" s="1">
        <v>1</v>
      </c>
      <c r="V1931" s="1">
        <v>76596</v>
      </c>
      <c r="W1931" s="7">
        <v>270.14999999999998</v>
      </c>
      <c r="X1931" s="1">
        <v>0.75</v>
      </c>
      <c r="Y1931" s="4">
        <v>45401</v>
      </c>
      <c r="Z1931" s="1" t="s">
        <v>32</v>
      </c>
      <c r="AA1931" s="1" t="s">
        <v>33</v>
      </c>
      <c r="AB1931" s="36" t="str" cm="1">
        <f t="array" ref="AB1931">_xlfn.IFS(K1931&gt;650,"LOW",K1931&gt;=550,"MEDIUM",K1931&lt;550,"HIGH")</f>
        <v>HIGH</v>
      </c>
    </row>
    <row r="1932" spans="3:28" x14ac:dyDescent="0.3">
      <c r="C1932" s="35" t="s">
        <v>3319</v>
      </c>
      <c r="D1932" s="1" t="s">
        <v>1342</v>
      </c>
      <c r="E1932" s="1">
        <v>44</v>
      </c>
      <c r="F1932" s="1" t="s">
        <v>44</v>
      </c>
      <c r="G1932" s="1" t="s">
        <v>56</v>
      </c>
      <c r="H1932" s="1" t="s">
        <v>61</v>
      </c>
      <c r="I1932" s="1" t="s">
        <v>29</v>
      </c>
      <c r="J1932" s="7">
        <v>48942</v>
      </c>
      <c r="K1932" s="1">
        <v>321</v>
      </c>
      <c r="L1932" s="7">
        <v>48671</v>
      </c>
      <c r="M1932" s="1">
        <v>36</v>
      </c>
      <c r="N1932" s="6">
        <v>0.1832</v>
      </c>
      <c r="O1932" s="1" t="s">
        <v>52</v>
      </c>
      <c r="P1932" s="1" t="s">
        <v>50</v>
      </c>
      <c r="Q1932" s="1">
        <v>4</v>
      </c>
      <c r="R1932" s="1">
        <v>2</v>
      </c>
      <c r="S1932" s="1" t="s">
        <v>31</v>
      </c>
      <c r="T1932" s="1" t="s">
        <v>31</v>
      </c>
      <c r="U1932" s="1">
        <v>2</v>
      </c>
      <c r="V1932" s="1">
        <v>160761</v>
      </c>
      <c r="W1932" s="7">
        <v>1375.7</v>
      </c>
      <c r="X1932" s="1">
        <v>0.78</v>
      </c>
      <c r="Y1932" s="4">
        <v>45162</v>
      </c>
      <c r="Z1932" s="1" t="s">
        <v>38</v>
      </c>
      <c r="AA1932" s="1" t="s">
        <v>33</v>
      </c>
      <c r="AB1932" s="36" t="str" cm="1">
        <f t="array" ref="AB1932">_xlfn.IFS(K1932&gt;650,"LOW",K1932&gt;=550,"MEDIUM",K1932&lt;550,"HIGH")</f>
        <v>HIGH</v>
      </c>
    </row>
    <row r="1933" spans="3:28" x14ac:dyDescent="0.3">
      <c r="C1933" s="35" t="s">
        <v>3372</v>
      </c>
      <c r="D1933" s="1" t="s">
        <v>1393</v>
      </c>
      <c r="E1933" s="1">
        <v>45</v>
      </c>
      <c r="F1933" s="1" t="s">
        <v>26</v>
      </c>
      <c r="G1933" s="1" t="s">
        <v>35</v>
      </c>
      <c r="H1933" s="1" t="s">
        <v>28</v>
      </c>
      <c r="I1933" s="1" t="s">
        <v>29</v>
      </c>
      <c r="J1933" s="7">
        <v>82257</v>
      </c>
      <c r="K1933" s="1">
        <v>321</v>
      </c>
      <c r="L1933" s="7">
        <v>18412</v>
      </c>
      <c r="M1933" s="1">
        <v>12</v>
      </c>
      <c r="N1933" s="6">
        <v>0.13550000000000001</v>
      </c>
      <c r="O1933" s="1" t="s">
        <v>5</v>
      </c>
      <c r="P1933" s="1" t="s">
        <v>50</v>
      </c>
      <c r="Q1933" s="1">
        <v>14</v>
      </c>
      <c r="R1933" s="1">
        <v>1</v>
      </c>
      <c r="S1933" s="1" t="s">
        <v>31</v>
      </c>
      <c r="T1933" s="1" t="s">
        <v>31</v>
      </c>
      <c r="U1933" s="1">
        <v>0</v>
      </c>
      <c r="V1933" s="1">
        <v>58327</v>
      </c>
      <c r="W1933" s="7">
        <v>1056.19</v>
      </c>
      <c r="X1933" s="1">
        <v>0.17</v>
      </c>
      <c r="Y1933" s="4">
        <v>44958</v>
      </c>
      <c r="Z1933" s="1" t="s">
        <v>38</v>
      </c>
      <c r="AA1933" s="1" t="s">
        <v>33</v>
      </c>
      <c r="AB1933" s="36" t="str" cm="1">
        <f t="array" ref="AB1933">_xlfn.IFS(K1933&gt;650,"LOW",K1933&gt;=550,"MEDIUM",K1933&lt;550,"HIGH")</f>
        <v>HIGH</v>
      </c>
    </row>
    <row r="1934" spans="3:28" x14ac:dyDescent="0.3">
      <c r="C1934" s="35" t="s">
        <v>4007</v>
      </c>
      <c r="D1934" s="1" t="s">
        <v>2007</v>
      </c>
      <c r="E1934" s="1">
        <v>31</v>
      </c>
      <c r="F1934" s="1" t="s">
        <v>44</v>
      </c>
      <c r="G1934" s="1" t="s">
        <v>56</v>
      </c>
      <c r="H1934" s="1" t="s">
        <v>28</v>
      </c>
      <c r="I1934" s="1" t="s">
        <v>40</v>
      </c>
      <c r="J1934" s="7">
        <v>106799</v>
      </c>
      <c r="K1934" s="1">
        <v>321</v>
      </c>
      <c r="L1934" s="7">
        <v>29853</v>
      </c>
      <c r="M1934" s="1">
        <v>36</v>
      </c>
      <c r="N1934" s="6">
        <v>0.13059999999999999</v>
      </c>
      <c r="O1934" s="1" t="s">
        <v>52</v>
      </c>
      <c r="P1934" s="1" t="s">
        <v>50</v>
      </c>
      <c r="Q1934" s="1">
        <v>23</v>
      </c>
      <c r="R1934" s="1">
        <v>2</v>
      </c>
      <c r="S1934" s="1" t="s">
        <v>33</v>
      </c>
      <c r="T1934" s="1" t="s">
        <v>31</v>
      </c>
      <c r="U1934" s="1">
        <v>4</v>
      </c>
      <c r="V1934" s="1">
        <v>74539</v>
      </c>
      <c r="W1934" s="7">
        <v>831.24</v>
      </c>
      <c r="X1934" s="1">
        <v>0.75</v>
      </c>
      <c r="Y1934" s="4">
        <v>45564</v>
      </c>
      <c r="Z1934" s="1" t="s">
        <v>38</v>
      </c>
      <c r="AA1934" s="1" t="s">
        <v>33</v>
      </c>
      <c r="AB1934" s="36" t="str" cm="1">
        <f t="array" ref="AB1934">_xlfn.IFS(K1934&gt;650,"LOW",K1934&gt;=550,"MEDIUM",K1934&lt;550,"HIGH")</f>
        <v>HIGH</v>
      </c>
    </row>
    <row r="1935" spans="3:28" x14ac:dyDescent="0.3">
      <c r="C1935" s="35" t="s">
        <v>3105</v>
      </c>
      <c r="D1935" s="1" t="s">
        <v>1130</v>
      </c>
      <c r="E1935" s="1">
        <v>21</v>
      </c>
      <c r="F1935" s="1" t="s">
        <v>44</v>
      </c>
      <c r="G1935" s="1" t="s">
        <v>27</v>
      </c>
      <c r="H1935" s="1" t="s">
        <v>54</v>
      </c>
      <c r="I1935" s="1" t="s">
        <v>29</v>
      </c>
      <c r="J1935" s="7">
        <v>121547</v>
      </c>
      <c r="K1935" s="1">
        <v>320</v>
      </c>
      <c r="L1935" s="7">
        <v>39191</v>
      </c>
      <c r="M1935" s="1">
        <v>12</v>
      </c>
      <c r="N1935" s="6">
        <v>0.16350000000000001</v>
      </c>
      <c r="O1935" s="1" t="s">
        <v>63</v>
      </c>
      <c r="P1935" s="1" t="s">
        <v>47</v>
      </c>
      <c r="Q1935" s="1">
        <v>16</v>
      </c>
      <c r="R1935" s="1">
        <v>4</v>
      </c>
      <c r="S1935" s="1" t="s">
        <v>33</v>
      </c>
      <c r="T1935" s="1" t="s">
        <v>31</v>
      </c>
      <c r="U1935" s="1">
        <v>3</v>
      </c>
      <c r="V1935" s="1">
        <v>159925</v>
      </c>
      <c r="W1935" s="7">
        <v>1947.41</v>
      </c>
      <c r="X1935" s="1">
        <v>0.46</v>
      </c>
      <c r="Y1935" s="4">
        <v>45571</v>
      </c>
      <c r="Z1935" s="1" t="s">
        <v>38</v>
      </c>
      <c r="AA1935" s="1" t="s">
        <v>33</v>
      </c>
      <c r="AB1935" s="36" t="str" cm="1">
        <f t="array" ref="AB1935">_xlfn.IFS(K1935&gt;650,"LOW",K1935&gt;=550,"MEDIUM",K1935&lt;550,"HIGH")</f>
        <v>HIGH</v>
      </c>
    </row>
    <row r="1936" spans="3:28" x14ac:dyDescent="0.3">
      <c r="C1936" s="35" t="s">
        <v>3634</v>
      </c>
      <c r="D1936" s="1" t="s">
        <v>1646</v>
      </c>
      <c r="E1936" s="1">
        <v>56</v>
      </c>
      <c r="F1936" s="1" t="s">
        <v>26</v>
      </c>
      <c r="G1936" s="1" t="s">
        <v>45</v>
      </c>
      <c r="H1936" s="1" t="s">
        <v>36</v>
      </c>
      <c r="I1936" s="1" t="s">
        <v>57</v>
      </c>
      <c r="J1936" s="7">
        <v>127800</v>
      </c>
      <c r="K1936" s="1">
        <v>320</v>
      </c>
      <c r="L1936" s="7">
        <v>14429</v>
      </c>
      <c r="M1936" s="1">
        <v>60</v>
      </c>
      <c r="N1936" s="6">
        <v>0.19850000000000001</v>
      </c>
      <c r="O1936" s="1" t="s">
        <v>37</v>
      </c>
      <c r="P1936" s="1" t="s">
        <v>47</v>
      </c>
      <c r="Q1936" s="1">
        <v>10</v>
      </c>
      <c r="R1936" s="1">
        <v>4</v>
      </c>
      <c r="S1936" s="1" t="s">
        <v>33</v>
      </c>
      <c r="T1936" s="1" t="s">
        <v>31</v>
      </c>
      <c r="U1936" s="1">
        <v>3</v>
      </c>
      <c r="V1936" s="1">
        <v>58537</v>
      </c>
      <c r="W1936" s="7">
        <v>1769.86</v>
      </c>
      <c r="X1936" s="1">
        <v>0.7</v>
      </c>
      <c r="Y1936" s="4">
        <v>44504</v>
      </c>
      <c r="Z1936" s="1" t="s">
        <v>38</v>
      </c>
      <c r="AA1936" s="1" t="s">
        <v>33</v>
      </c>
      <c r="AB1936" s="36" t="str" cm="1">
        <f t="array" ref="AB1936">_xlfn.IFS(K1936&gt;650,"LOW",K1936&gt;=550,"MEDIUM",K1936&lt;550,"HIGH")</f>
        <v>HIGH</v>
      </c>
    </row>
    <row r="1937" spans="3:28" x14ac:dyDescent="0.3">
      <c r="C1937" s="35" t="s">
        <v>3684</v>
      </c>
      <c r="D1937" s="1" t="s">
        <v>1696</v>
      </c>
      <c r="E1937" s="1">
        <v>55</v>
      </c>
      <c r="F1937" s="1" t="s">
        <v>26</v>
      </c>
      <c r="G1937" s="1" t="s">
        <v>45</v>
      </c>
      <c r="H1937" s="1" t="s">
        <v>61</v>
      </c>
      <c r="I1937" s="1" t="s">
        <v>40</v>
      </c>
      <c r="J1937" s="7">
        <v>106130</v>
      </c>
      <c r="K1937" s="1">
        <v>320</v>
      </c>
      <c r="L1937" s="7">
        <v>14880</v>
      </c>
      <c r="M1937" s="1">
        <v>48</v>
      </c>
      <c r="N1937" s="6">
        <v>7.2499999999999995E-2</v>
      </c>
      <c r="O1937" s="1" t="s">
        <v>41</v>
      </c>
      <c r="P1937" s="1" t="s">
        <v>50</v>
      </c>
      <c r="Q1937" s="1">
        <v>3</v>
      </c>
      <c r="R1937" s="1">
        <v>4</v>
      </c>
      <c r="S1937" s="1" t="s">
        <v>33</v>
      </c>
      <c r="T1937" s="1" t="s">
        <v>31</v>
      </c>
      <c r="U1937" s="1">
        <v>3</v>
      </c>
      <c r="V1937" s="1">
        <v>79217</v>
      </c>
      <c r="W1937" s="7">
        <v>1713.81</v>
      </c>
      <c r="X1937" s="1">
        <v>0.94</v>
      </c>
      <c r="Y1937" s="4">
        <v>44894</v>
      </c>
      <c r="Z1937" s="1" t="s">
        <v>32</v>
      </c>
      <c r="AA1937" s="1" t="s">
        <v>31</v>
      </c>
      <c r="AB1937" s="36" t="str" cm="1">
        <f t="array" ref="AB1937">_xlfn.IFS(K1937&gt;650,"LOW",K1937&gt;=550,"MEDIUM",K1937&lt;550,"HIGH")</f>
        <v>HIGH</v>
      </c>
    </row>
    <row r="1938" spans="3:28" x14ac:dyDescent="0.3">
      <c r="C1938" s="35" t="s">
        <v>2354</v>
      </c>
      <c r="D1938" s="1" t="s">
        <v>385</v>
      </c>
      <c r="E1938" s="1">
        <v>43</v>
      </c>
      <c r="F1938" s="1" t="s">
        <v>26</v>
      </c>
      <c r="G1938" s="1" t="s">
        <v>35</v>
      </c>
      <c r="H1938" s="1" t="s">
        <v>28</v>
      </c>
      <c r="I1938" s="1" t="s">
        <v>57</v>
      </c>
      <c r="J1938" s="7">
        <v>136528</v>
      </c>
      <c r="K1938" s="1">
        <v>319</v>
      </c>
      <c r="L1938" s="7">
        <v>23075</v>
      </c>
      <c r="M1938" s="1">
        <v>48</v>
      </c>
      <c r="N1938" s="6">
        <v>0.1278</v>
      </c>
      <c r="O1938" s="1" t="s">
        <v>41</v>
      </c>
      <c r="P1938" s="1" t="s">
        <v>47</v>
      </c>
      <c r="Q1938" s="1">
        <v>19</v>
      </c>
      <c r="R1938" s="1">
        <v>0</v>
      </c>
      <c r="S1938" s="1" t="s">
        <v>31</v>
      </c>
      <c r="T1938" s="1" t="s">
        <v>33</v>
      </c>
      <c r="U1938" s="1">
        <v>4</v>
      </c>
      <c r="V1938" s="1">
        <v>120094</v>
      </c>
      <c r="W1938" s="7">
        <v>1149.82</v>
      </c>
      <c r="X1938" s="1">
        <v>0.63</v>
      </c>
      <c r="Y1938" s="4">
        <v>44354</v>
      </c>
      <c r="Z1938" s="1" t="s">
        <v>32</v>
      </c>
      <c r="AA1938" s="1" t="s">
        <v>33</v>
      </c>
      <c r="AB1938" s="36" t="str" cm="1">
        <f t="array" ref="AB1938">_xlfn.IFS(K1938&gt;650,"LOW",K1938&gt;=550,"MEDIUM",K1938&lt;550,"HIGH")</f>
        <v>HIGH</v>
      </c>
    </row>
    <row r="1939" spans="3:28" x14ac:dyDescent="0.3">
      <c r="C1939" s="35" t="s">
        <v>2442</v>
      </c>
      <c r="D1939" s="1" t="s">
        <v>472</v>
      </c>
      <c r="E1939" s="1">
        <v>36</v>
      </c>
      <c r="F1939" s="1" t="s">
        <v>26</v>
      </c>
      <c r="G1939" s="1" t="s">
        <v>27</v>
      </c>
      <c r="H1939" s="1" t="s">
        <v>54</v>
      </c>
      <c r="I1939" s="1" t="s">
        <v>59</v>
      </c>
      <c r="J1939" s="7">
        <v>86830</v>
      </c>
      <c r="K1939" s="1">
        <v>319</v>
      </c>
      <c r="L1939" s="7">
        <v>6002</v>
      </c>
      <c r="M1939" s="1">
        <v>48</v>
      </c>
      <c r="N1939" s="6">
        <v>0.12909999999999999</v>
      </c>
      <c r="O1939" s="1" t="s">
        <v>52</v>
      </c>
      <c r="P1939" s="1" t="s">
        <v>50</v>
      </c>
      <c r="Q1939" s="1">
        <v>26</v>
      </c>
      <c r="R1939" s="1">
        <v>4</v>
      </c>
      <c r="S1939" s="1" t="s">
        <v>33</v>
      </c>
      <c r="T1939" s="1" t="s">
        <v>33</v>
      </c>
      <c r="U1939" s="1">
        <v>1</v>
      </c>
      <c r="V1939" s="1">
        <v>33370</v>
      </c>
      <c r="W1939" s="7">
        <v>1631.19</v>
      </c>
      <c r="X1939" s="1">
        <v>0.23</v>
      </c>
      <c r="Y1939" s="4">
        <v>44491</v>
      </c>
      <c r="Z1939" s="1" t="s">
        <v>32</v>
      </c>
      <c r="AA1939" s="1" t="s">
        <v>33</v>
      </c>
      <c r="AB1939" s="36" t="str" cm="1">
        <f t="array" ref="AB1939">_xlfn.IFS(K1939&gt;650,"LOW",K1939&gt;=550,"MEDIUM",K1939&lt;550,"HIGH")</f>
        <v>HIGH</v>
      </c>
    </row>
    <row r="1940" spans="3:28" x14ac:dyDescent="0.3">
      <c r="C1940" s="35" t="s">
        <v>2532</v>
      </c>
      <c r="D1940" s="1" t="s">
        <v>562</v>
      </c>
      <c r="E1940" s="1">
        <v>55</v>
      </c>
      <c r="F1940" s="1" t="s">
        <v>44</v>
      </c>
      <c r="G1940" s="1" t="s">
        <v>27</v>
      </c>
      <c r="H1940" s="1" t="s">
        <v>28</v>
      </c>
      <c r="I1940" s="1" t="s">
        <v>57</v>
      </c>
      <c r="J1940" s="7">
        <v>99910</v>
      </c>
      <c r="K1940" s="1">
        <v>319</v>
      </c>
      <c r="L1940" s="7">
        <v>41731</v>
      </c>
      <c r="M1940" s="1">
        <v>60</v>
      </c>
      <c r="N1940" s="6">
        <v>0.1191</v>
      </c>
      <c r="O1940" s="1" t="s">
        <v>46</v>
      </c>
      <c r="P1940" s="1" t="s">
        <v>30</v>
      </c>
      <c r="Q1940" s="1">
        <v>12</v>
      </c>
      <c r="R1940" s="1">
        <v>3</v>
      </c>
      <c r="S1940" s="1" t="s">
        <v>31</v>
      </c>
      <c r="T1940" s="1" t="s">
        <v>33</v>
      </c>
      <c r="U1940" s="1">
        <v>1</v>
      </c>
      <c r="V1940" s="1">
        <v>75475</v>
      </c>
      <c r="W1940" s="7">
        <v>1098.1300000000001</v>
      </c>
      <c r="X1940" s="1">
        <v>0.46</v>
      </c>
      <c r="Y1940" s="4">
        <v>44415</v>
      </c>
      <c r="Z1940" s="1" t="s">
        <v>32</v>
      </c>
      <c r="AA1940" s="1" t="s">
        <v>33</v>
      </c>
      <c r="AB1940" s="36" t="str" cm="1">
        <f t="array" ref="AB1940">_xlfn.IFS(K1940&gt;650,"LOW",K1940&gt;=550,"MEDIUM",K1940&lt;550,"HIGH")</f>
        <v>HIGH</v>
      </c>
    </row>
    <row r="1941" spans="3:28" x14ac:dyDescent="0.3">
      <c r="C1941" s="35" t="s">
        <v>3120</v>
      </c>
      <c r="D1941" s="1" t="s">
        <v>1145</v>
      </c>
      <c r="E1941" s="1">
        <v>55</v>
      </c>
      <c r="F1941" s="1" t="s">
        <v>26</v>
      </c>
      <c r="G1941" s="1" t="s">
        <v>56</v>
      </c>
      <c r="H1941" s="1" t="s">
        <v>36</v>
      </c>
      <c r="I1941" s="1" t="s">
        <v>40</v>
      </c>
      <c r="J1941" s="7">
        <v>125796</v>
      </c>
      <c r="K1941" s="1">
        <v>319</v>
      </c>
      <c r="L1941" s="7">
        <v>26409</v>
      </c>
      <c r="M1941" s="1">
        <v>24</v>
      </c>
      <c r="N1941" s="6">
        <v>0.11869999999999999</v>
      </c>
      <c r="O1941" s="1" t="s">
        <v>46</v>
      </c>
      <c r="P1941" s="1" t="s">
        <v>47</v>
      </c>
      <c r="Q1941" s="1">
        <v>4</v>
      </c>
      <c r="R1941" s="1">
        <v>1</v>
      </c>
      <c r="S1941" s="1" t="s">
        <v>31</v>
      </c>
      <c r="T1941" s="1" t="s">
        <v>31</v>
      </c>
      <c r="U1941" s="1">
        <v>0</v>
      </c>
      <c r="V1941" s="1">
        <v>134443</v>
      </c>
      <c r="W1941" s="7">
        <v>954.88</v>
      </c>
      <c r="X1941" s="1">
        <v>0.93</v>
      </c>
      <c r="Y1941" s="4">
        <v>44705</v>
      </c>
      <c r="Z1941" s="1" t="s">
        <v>32</v>
      </c>
      <c r="AA1941" s="1" t="s">
        <v>33</v>
      </c>
      <c r="AB1941" s="36" t="str" cm="1">
        <f t="array" ref="AB1941">_xlfn.IFS(K1941&gt;650,"LOW",K1941&gt;=550,"MEDIUM",K1941&lt;550,"HIGH")</f>
        <v>HIGH</v>
      </c>
    </row>
    <row r="1942" spans="3:28" x14ac:dyDescent="0.3">
      <c r="C1942" s="35" t="s">
        <v>2455</v>
      </c>
      <c r="D1942" s="1" t="s">
        <v>485</v>
      </c>
      <c r="E1942" s="1">
        <v>48</v>
      </c>
      <c r="F1942" s="1" t="s">
        <v>44</v>
      </c>
      <c r="G1942" s="1" t="s">
        <v>27</v>
      </c>
      <c r="H1942" s="1" t="s">
        <v>28</v>
      </c>
      <c r="I1942" s="1" t="s">
        <v>57</v>
      </c>
      <c r="J1942" s="7">
        <v>104361</v>
      </c>
      <c r="K1942" s="1">
        <v>318</v>
      </c>
      <c r="L1942" s="7">
        <v>45331</v>
      </c>
      <c r="M1942" s="1">
        <v>48</v>
      </c>
      <c r="N1942" s="6">
        <v>0.1356</v>
      </c>
      <c r="O1942" s="1" t="s">
        <v>63</v>
      </c>
      <c r="P1942" s="1" t="s">
        <v>47</v>
      </c>
      <c r="Q1942" s="1">
        <v>19</v>
      </c>
      <c r="R1942" s="1">
        <v>2</v>
      </c>
      <c r="S1942" s="1" t="s">
        <v>33</v>
      </c>
      <c r="T1942" s="1" t="s">
        <v>33</v>
      </c>
      <c r="U1942" s="1">
        <v>0</v>
      </c>
      <c r="V1942" s="1">
        <v>183406</v>
      </c>
      <c r="W1942" s="7">
        <v>1591.07</v>
      </c>
      <c r="X1942" s="1">
        <v>0.33</v>
      </c>
      <c r="Y1942" s="4">
        <v>45726</v>
      </c>
      <c r="Z1942" s="1" t="s">
        <v>38</v>
      </c>
      <c r="AA1942" s="1" t="s">
        <v>33</v>
      </c>
      <c r="AB1942" s="36" t="str" cm="1">
        <f t="array" ref="AB1942">_xlfn.IFS(K1942&gt;650,"LOW",K1942&gt;=550,"MEDIUM",K1942&lt;550,"HIGH")</f>
        <v>HIGH</v>
      </c>
    </row>
    <row r="1943" spans="3:28" x14ac:dyDescent="0.3">
      <c r="C1943" s="35" t="s">
        <v>3152</v>
      </c>
      <c r="D1943" s="1" t="s">
        <v>1176</v>
      </c>
      <c r="E1943" s="1">
        <v>48</v>
      </c>
      <c r="F1943" s="1" t="s">
        <v>44</v>
      </c>
      <c r="G1943" s="1" t="s">
        <v>45</v>
      </c>
      <c r="H1943" s="1" t="s">
        <v>28</v>
      </c>
      <c r="I1943" s="1" t="s">
        <v>29</v>
      </c>
      <c r="J1943" s="7">
        <v>118256</v>
      </c>
      <c r="K1943" s="1">
        <v>318</v>
      </c>
      <c r="L1943" s="7">
        <v>20479</v>
      </c>
      <c r="M1943" s="1">
        <v>12</v>
      </c>
      <c r="N1943" s="6">
        <v>0.16739999999999999</v>
      </c>
      <c r="O1943" s="1" t="s">
        <v>37</v>
      </c>
      <c r="P1943" s="1" t="s">
        <v>30</v>
      </c>
      <c r="Q1943" s="1">
        <v>4</v>
      </c>
      <c r="R1943" s="1">
        <v>4</v>
      </c>
      <c r="S1943" s="1" t="s">
        <v>33</v>
      </c>
      <c r="T1943" s="1" t="s">
        <v>31</v>
      </c>
      <c r="U1943" s="1">
        <v>1</v>
      </c>
      <c r="V1943" s="1">
        <v>39404</v>
      </c>
      <c r="W1943" s="7">
        <v>1565.16</v>
      </c>
      <c r="X1943" s="1">
        <v>0.45</v>
      </c>
      <c r="Y1943" s="4">
        <v>45061</v>
      </c>
      <c r="Z1943" s="1" t="s">
        <v>38</v>
      </c>
      <c r="AA1943" s="1" t="s">
        <v>33</v>
      </c>
      <c r="AB1943" s="36" t="str" cm="1">
        <f t="array" ref="AB1943">_xlfn.IFS(K1943&gt;650,"LOW",K1943&gt;=550,"MEDIUM",K1943&lt;550,"HIGH")</f>
        <v>HIGH</v>
      </c>
    </row>
    <row r="1944" spans="3:28" x14ac:dyDescent="0.3">
      <c r="C1944" s="35" t="s">
        <v>3316</v>
      </c>
      <c r="D1944" s="1" t="s">
        <v>1339</v>
      </c>
      <c r="E1944" s="1">
        <v>60</v>
      </c>
      <c r="F1944" s="1" t="s">
        <v>44</v>
      </c>
      <c r="G1944" s="1" t="s">
        <v>45</v>
      </c>
      <c r="H1944" s="1" t="s">
        <v>28</v>
      </c>
      <c r="I1944" s="1" t="s">
        <v>40</v>
      </c>
      <c r="J1944" s="7">
        <v>23435</v>
      </c>
      <c r="K1944" s="1">
        <v>318</v>
      </c>
      <c r="L1944" s="7">
        <v>11652</v>
      </c>
      <c r="M1944" s="1">
        <v>36</v>
      </c>
      <c r="N1944" s="6">
        <v>8.3400000000000002E-2</v>
      </c>
      <c r="O1944" s="1" t="s">
        <v>46</v>
      </c>
      <c r="P1944" s="1" t="s">
        <v>50</v>
      </c>
      <c r="Q1944" s="1">
        <v>17</v>
      </c>
      <c r="R1944" s="1">
        <v>1</v>
      </c>
      <c r="S1944" s="1" t="s">
        <v>31</v>
      </c>
      <c r="T1944" s="1" t="s">
        <v>31</v>
      </c>
      <c r="U1944" s="1">
        <v>4</v>
      </c>
      <c r="V1944" s="1">
        <v>71726</v>
      </c>
      <c r="W1944" s="7">
        <v>991.51</v>
      </c>
      <c r="X1944" s="1">
        <v>0.4</v>
      </c>
      <c r="Y1944" s="4">
        <v>44396</v>
      </c>
      <c r="Z1944" s="1" t="s">
        <v>32</v>
      </c>
      <c r="AA1944" s="1" t="s">
        <v>33</v>
      </c>
      <c r="AB1944" s="36" t="str" cm="1">
        <f t="array" ref="AB1944">_xlfn.IFS(K1944&gt;650,"LOW",K1944&gt;=550,"MEDIUM",K1944&lt;550,"HIGH")</f>
        <v>HIGH</v>
      </c>
    </row>
    <row r="1945" spans="3:28" x14ac:dyDescent="0.3">
      <c r="C1945" s="35" t="s">
        <v>3731</v>
      </c>
      <c r="D1945" s="1" t="s">
        <v>1739</v>
      </c>
      <c r="E1945" s="1">
        <v>58</v>
      </c>
      <c r="F1945" s="1" t="s">
        <v>44</v>
      </c>
      <c r="G1945" s="1" t="s">
        <v>45</v>
      </c>
      <c r="H1945" s="1" t="s">
        <v>54</v>
      </c>
      <c r="I1945" s="1" t="s">
        <v>57</v>
      </c>
      <c r="J1945" s="7">
        <v>118099</v>
      </c>
      <c r="K1945" s="1">
        <v>318</v>
      </c>
      <c r="L1945" s="7">
        <v>3708</v>
      </c>
      <c r="M1945" s="1">
        <v>24</v>
      </c>
      <c r="N1945" s="6">
        <v>6.9199999999999998E-2</v>
      </c>
      <c r="O1945" s="1" t="s">
        <v>41</v>
      </c>
      <c r="P1945" s="1" t="s">
        <v>30</v>
      </c>
      <c r="Q1945" s="1">
        <v>4</v>
      </c>
      <c r="R1945" s="1">
        <v>0</v>
      </c>
      <c r="S1945" s="1" t="s">
        <v>33</v>
      </c>
      <c r="T1945" s="1" t="s">
        <v>33</v>
      </c>
      <c r="U1945" s="1">
        <v>2</v>
      </c>
      <c r="V1945" s="1">
        <v>59016</v>
      </c>
      <c r="W1945" s="7">
        <v>754.06</v>
      </c>
      <c r="X1945" s="1">
        <v>0.35</v>
      </c>
      <c r="Y1945" s="4">
        <v>44619</v>
      </c>
      <c r="Z1945" s="1" t="s">
        <v>32</v>
      </c>
      <c r="AA1945" s="1" t="s">
        <v>33</v>
      </c>
      <c r="AB1945" s="36" t="str" cm="1">
        <f t="array" ref="AB1945">_xlfn.IFS(K1945&gt;650,"LOW",K1945&gt;=550,"MEDIUM",K1945&lt;550,"HIGH")</f>
        <v>HIGH</v>
      </c>
    </row>
    <row r="1946" spans="3:28" x14ac:dyDescent="0.3">
      <c r="C1946" s="35" t="s">
        <v>3784</v>
      </c>
      <c r="D1946" s="1" t="s">
        <v>1453</v>
      </c>
      <c r="E1946" s="1">
        <v>52</v>
      </c>
      <c r="F1946" s="1" t="s">
        <v>44</v>
      </c>
      <c r="G1946" s="1" t="s">
        <v>35</v>
      </c>
      <c r="H1946" s="1" t="s">
        <v>61</v>
      </c>
      <c r="I1946" s="1" t="s">
        <v>40</v>
      </c>
      <c r="J1946" s="7">
        <v>103656</v>
      </c>
      <c r="K1946" s="1">
        <v>318</v>
      </c>
      <c r="L1946" s="7">
        <v>28453</v>
      </c>
      <c r="M1946" s="1">
        <v>24</v>
      </c>
      <c r="N1946" s="6">
        <v>0.10580000000000001</v>
      </c>
      <c r="O1946" s="1" t="s">
        <v>37</v>
      </c>
      <c r="P1946" s="1" t="s">
        <v>30</v>
      </c>
      <c r="Q1946" s="1">
        <v>13</v>
      </c>
      <c r="R1946" s="1">
        <v>2</v>
      </c>
      <c r="S1946" s="1" t="s">
        <v>33</v>
      </c>
      <c r="T1946" s="1" t="s">
        <v>31</v>
      </c>
      <c r="U1946" s="1">
        <v>4</v>
      </c>
      <c r="V1946" s="1">
        <v>20303</v>
      </c>
      <c r="W1946" s="7">
        <v>1945.18</v>
      </c>
      <c r="X1946" s="1">
        <v>0.88</v>
      </c>
      <c r="Y1946" s="4">
        <v>44670</v>
      </c>
      <c r="Z1946" s="1" t="s">
        <v>38</v>
      </c>
      <c r="AA1946" s="1" t="s">
        <v>33</v>
      </c>
      <c r="AB1946" s="36" t="str" cm="1">
        <f t="array" ref="AB1946">_xlfn.IFS(K1946&gt;650,"LOW",K1946&gt;=550,"MEDIUM",K1946&lt;550,"HIGH")</f>
        <v>HIGH</v>
      </c>
    </row>
    <row r="1947" spans="3:28" x14ac:dyDescent="0.3">
      <c r="C1947" s="35" t="s">
        <v>3907</v>
      </c>
      <c r="D1947" s="1" t="s">
        <v>1911</v>
      </c>
      <c r="E1947" s="1">
        <v>50</v>
      </c>
      <c r="F1947" s="1" t="s">
        <v>26</v>
      </c>
      <c r="G1947" s="1" t="s">
        <v>35</v>
      </c>
      <c r="H1947" s="1" t="s">
        <v>28</v>
      </c>
      <c r="I1947" s="1" t="s">
        <v>29</v>
      </c>
      <c r="J1947" s="7">
        <v>29716</v>
      </c>
      <c r="K1947" s="1">
        <v>318</v>
      </c>
      <c r="L1947" s="7">
        <v>17720</v>
      </c>
      <c r="M1947" s="1">
        <v>12</v>
      </c>
      <c r="N1947" s="6">
        <v>0.14630000000000001</v>
      </c>
      <c r="O1947" s="1" t="s">
        <v>46</v>
      </c>
      <c r="P1947" s="1" t="s">
        <v>50</v>
      </c>
      <c r="Q1947" s="1">
        <v>9</v>
      </c>
      <c r="R1947" s="1">
        <v>2</v>
      </c>
      <c r="S1947" s="1" t="s">
        <v>33</v>
      </c>
      <c r="T1947" s="1" t="s">
        <v>31</v>
      </c>
      <c r="U1947" s="1">
        <v>1</v>
      </c>
      <c r="V1947" s="1">
        <v>140510</v>
      </c>
      <c r="W1947" s="7">
        <v>1393.3</v>
      </c>
      <c r="X1947" s="1">
        <v>0.98</v>
      </c>
      <c r="Y1947" s="4">
        <v>45687</v>
      </c>
      <c r="Z1947" s="1" t="s">
        <v>38</v>
      </c>
      <c r="AA1947" s="1" t="s">
        <v>33</v>
      </c>
      <c r="AB1947" s="36" t="str" cm="1">
        <f t="array" ref="AB1947">_xlfn.IFS(K1947&gt;650,"LOW",K1947&gt;=550,"MEDIUM",K1947&lt;550,"HIGH")</f>
        <v>HIGH</v>
      </c>
    </row>
    <row r="1948" spans="3:28" x14ac:dyDescent="0.3">
      <c r="C1948" s="35" t="s">
        <v>4017</v>
      </c>
      <c r="D1948" s="1" t="s">
        <v>2017</v>
      </c>
      <c r="E1948" s="1">
        <v>33</v>
      </c>
      <c r="F1948" s="1" t="s">
        <v>26</v>
      </c>
      <c r="G1948" s="1" t="s">
        <v>35</v>
      </c>
      <c r="H1948" s="1" t="s">
        <v>36</v>
      </c>
      <c r="I1948" s="1" t="s">
        <v>29</v>
      </c>
      <c r="J1948" s="7">
        <v>52624</v>
      </c>
      <c r="K1948" s="1">
        <v>318</v>
      </c>
      <c r="L1948" s="7">
        <v>26475</v>
      </c>
      <c r="M1948" s="1">
        <v>24</v>
      </c>
      <c r="N1948" s="6">
        <v>0.1295</v>
      </c>
      <c r="O1948" s="1" t="s">
        <v>63</v>
      </c>
      <c r="P1948" s="1" t="s">
        <v>47</v>
      </c>
      <c r="Q1948" s="1">
        <v>29</v>
      </c>
      <c r="R1948" s="1">
        <v>3</v>
      </c>
      <c r="S1948" s="1" t="s">
        <v>33</v>
      </c>
      <c r="T1948" s="1" t="s">
        <v>31</v>
      </c>
      <c r="U1948" s="1">
        <v>3</v>
      </c>
      <c r="V1948" s="1">
        <v>87657</v>
      </c>
      <c r="W1948" s="7">
        <v>1055.1500000000001</v>
      </c>
      <c r="X1948" s="1">
        <v>0.39</v>
      </c>
      <c r="Y1948" s="4">
        <v>44639</v>
      </c>
      <c r="Z1948" s="1" t="s">
        <v>38</v>
      </c>
      <c r="AA1948" s="1" t="s">
        <v>33</v>
      </c>
      <c r="AB1948" s="36" t="str" cm="1">
        <f t="array" ref="AB1948">_xlfn.IFS(K1948&gt;650,"LOW",K1948&gt;=550,"MEDIUM",K1948&lt;550,"HIGH")</f>
        <v>HIGH</v>
      </c>
    </row>
    <row r="1949" spans="3:28" x14ac:dyDescent="0.3">
      <c r="C1949" s="35" t="s">
        <v>3356</v>
      </c>
      <c r="D1949" s="1" t="s">
        <v>1378</v>
      </c>
      <c r="E1949" s="1">
        <v>64</v>
      </c>
      <c r="F1949" s="1" t="s">
        <v>26</v>
      </c>
      <c r="G1949" s="1" t="s">
        <v>27</v>
      </c>
      <c r="H1949" s="1" t="s">
        <v>54</v>
      </c>
      <c r="I1949" s="1" t="s">
        <v>59</v>
      </c>
      <c r="J1949" s="7">
        <v>148411</v>
      </c>
      <c r="K1949" s="1">
        <v>317</v>
      </c>
      <c r="L1949" s="7">
        <v>5905</v>
      </c>
      <c r="M1949" s="1">
        <v>12</v>
      </c>
      <c r="N1949" s="6">
        <v>0.17559999999999998</v>
      </c>
      <c r="O1949" s="1" t="s">
        <v>41</v>
      </c>
      <c r="P1949" s="1" t="s">
        <v>50</v>
      </c>
      <c r="Q1949" s="1">
        <v>20</v>
      </c>
      <c r="R1949" s="1">
        <v>4</v>
      </c>
      <c r="S1949" s="1" t="s">
        <v>31</v>
      </c>
      <c r="T1949" s="1" t="s">
        <v>31</v>
      </c>
      <c r="U1949" s="1">
        <v>1</v>
      </c>
      <c r="V1949" s="1">
        <v>105781</v>
      </c>
      <c r="W1949" s="7">
        <v>827.99</v>
      </c>
      <c r="X1949" s="1">
        <v>0.98</v>
      </c>
      <c r="Y1949" s="4">
        <v>44247</v>
      </c>
      <c r="Z1949" s="1" t="s">
        <v>38</v>
      </c>
      <c r="AA1949" s="1" t="s">
        <v>33</v>
      </c>
      <c r="AB1949" s="36" t="str" cm="1">
        <f t="array" ref="AB1949">_xlfn.IFS(K1949&gt;650,"LOW",K1949&gt;=550,"MEDIUM",K1949&lt;550,"HIGH")</f>
        <v>HIGH</v>
      </c>
    </row>
    <row r="1950" spans="3:28" x14ac:dyDescent="0.3">
      <c r="C1950" s="35" t="s">
        <v>3408</v>
      </c>
      <c r="D1950" s="1" t="s">
        <v>1428</v>
      </c>
      <c r="E1950" s="1">
        <v>44</v>
      </c>
      <c r="F1950" s="1" t="s">
        <v>26</v>
      </c>
      <c r="G1950" s="1" t="s">
        <v>35</v>
      </c>
      <c r="H1950" s="1" t="s">
        <v>36</v>
      </c>
      <c r="I1950" s="1" t="s">
        <v>40</v>
      </c>
      <c r="J1950" s="7">
        <v>38256</v>
      </c>
      <c r="K1950" s="1">
        <v>317</v>
      </c>
      <c r="L1950" s="7">
        <v>14786</v>
      </c>
      <c r="M1950" s="1">
        <v>48</v>
      </c>
      <c r="N1950" s="6">
        <v>0.14199999999999999</v>
      </c>
      <c r="O1950" s="1" t="s">
        <v>41</v>
      </c>
      <c r="P1950" s="1" t="s">
        <v>50</v>
      </c>
      <c r="Q1950" s="1">
        <v>3</v>
      </c>
      <c r="R1950" s="1">
        <v>4</v>
      </c>
      <c r="S1950" s="1" t="s">
        <v>31</v>
      </c>
      <c r="T1950" s="1" t="s">
        <v>31</v>
      </c>
      <c r="U1950" s="1">
        <v>4</v>
      </c>
      <c r="V1950" s="1">
        <v>163249</v>
      </c>
      <c r="W1950" s="7">
        <v>143.01</v>
      </c>
      <c r="X1950" s="1">
        <v>0.47</v>
      </c>
      <c r="Y1950" s="4">
        <v>44671</v>
      </c>
      <c r="Z1950" s="1" t="s">
        <v>38</v>
      </c>
      <c r="AA1950" s="1" t="s">
        <v>33</v>
      </c>
      <c r="AB1950" s="36" t="str" cm="1">
        <f t="array" ref="AB1950">_xlfn.IFS(K1950&gt;650,"LOW",K1950&gt;=550,"MEDIUM",K1950&lt;550,"HIGH")</f>
        <v>HIGH</v>
      </c>
    </row>
    <row r="1951" spans="3:28" x14ac:dyDescent="0.3">
      <c r="C1951" s="35" t="s">
        <v>3824</v>
      </c>
      <c r="D1951" s="1" t="s">
        <v>1830</v>
      </c>
      <c r="E1951" s="1">
        <v>23</v>
      </c>
      <c r="F1951" s="1" t="s">
        <v>44</v>
      </c>
      <c r="G1951" s="1" t="s">
        <v>35</v>
      </c>
      <c r="H1951" s="1" t="s">
        <v>36</v>
      </c>
      <c r="I1951" s="1" t="s">
        <v>40</v>
      </c>
      <c r="J1951" s="7">
        <v>37459</v>
      </c>
      <c r="K1951" s="1">
        <v>317</v>
      </c>
      <c r="L1951" s="7">
        <v>46580</v>
      </c>
      <c r="M1951" s="1">
        <v>24</v>
      </c>
      <c r="N1951" s="6">
        <v>0.10920000000000001</v>
      </c>
      <c r="O1951" s="1" t="s">
        <v>41</v>
      </c>
      <c r="P1951" s="1" t="s">
        <v>30</v>
      </c>
      <c r="Q1951" s="1">
        <v>20</v>
      </c>
      <c r="R1951" s="1">
        <v>2</v>
      </c>
      <c r="S1951" s="1" t="s">
        <v>33</v>
      </c>
      <c r="T1951" s="1" t="s">
        <v>31</v>
      </c>
      <c r="U1951" s="1">
        <v>1</v>
      </c>
      <c r="V1951" s="1">
        <v>13277</v>
      </c>
      <c r="W1951" s="7">
        <v>316.37</v>
      </c>
      <c r="X1951" s="1">
        <v>0.64</v>
      </c>
      <c r="Y1951" s="4">
        <v>44838</v>
      </c>
      <c r="Z1951" s="1" t="s">
        <v>32</v>
      </c>
      <c r="AA1951" s="1" t="s">
        <v>33</v>
      </c>
      <c r="AB1951" s="36" t="str" cm="1">
        <f t="array" ref="AB1951">_xlfn.IFS(K1951&gt;650,"LOW",K1951&gt;=550,"MEDIUM",K1951&lt;550,"HIGH")</f>
        <v>HIGH</v>
      </c>
    </row>
    <row r="1952" spans="3:28" x14ac:dyDescent="0.3">
      <c r="C1952" s="35" t="s">
        <v>2662</v>
      </c>
      <c r="D1952" s="1" t="s">
        <v>692</v>
      </c>
      <c r="E1952" s="1">
        <v>52</v>
      </c>
      <c r="F1952" s="1" t="s">
        <v>26</v>
      </c>
      <c r="G1952" s="1" t="s">
        <v>56</v>
      </c>
      <c r="H1952" s="1" t="s">
        <v>61</v>
      </c>
      <c r="I1952" s="1" t="s">
        <v>29</v>
      </c>
      <c r="J1952" s="7">
        <v>111164</v>
      </c>
      <c r="K1952" s="1">
        <v>316</v>
      </c>
      <c r="L1952" s="7">
        <v>48999</v>
      </c>
      <c r="M1952" s="1">
        <v>36</v>
      </c>
      <c r="N1952" s="6">
        <v>0.1502</v>
      </c>
      <c r="O1952" s="1" t="s">
        <v>5</v>
      </c>
      <c r="P1952" s="1" t="s">
        <v>47</v>
      </c>
      <c r="Q1952" s="1">
        <v>27</v>
      </c>
      <c r="R1952" s="1">
        <v>1</v>
      </c>
      <c r="S1952" s="1" t="s">
        <v>31</v>
      </c>
      <c r="T1952" s="1" t="s">
        <v>31</v>
      </c>
      <c r="U1952" s="1">
        <v>2</v>
      </c>
      <c r="V1952" s="1">
        <v>196868</v>
      </c>
      <c r="W1952" s="7">
        <v>1124.01</v>
      </c>
      <c r="X1952" s="1">
        <v>0.84</v>
      </c>
      <c r="Y1952" s="4">
        <v>44754</v>
      </c>
      <c r="Z1952" s="1" t="s">
        <v>32</v>
      </c>
      <c r="AA1952" s="1" t="s">
        <v>33</v>
      </c>
      <c r="AB1952" s="36" t="str" cm="1">
        <f t="array" ref="AB1952">_xlfn.IFS(K1952&gt;650,"LOW",K1952&gt;=550,"MEDIUM",K1952&lt;550,"HIGH")</f>
        <v>HIGH</v>
      </c>
    </row>
    <row r="1953" spans="3:28" x14ac:dyDescent="0.3">
      <c r="C1953" s="35" t="s">
        <v>2921</v>
      </c>
      <c r="D1953" s="1" t="s">
        <v>949</v>
      </c>
      <c r="E1953" s="1">
        <v>58</v>
      </c>
      <c r="F1953" s="1" t="s">
        <v>26</v>
      </c>
      <c r="G1953" s="1" t="s">
        <v>45</v>
      </c>
      <c r="H1953" s="1" t="s">
        <v>61</v>
      </c>
      <c r="I1953" s="1" t="s">
        <v>59</v>
      </c>
      <c r="J1953" s="7">
        <v>51663</v>
      </c>
      <c r="K1953" s="1">
        <v>316</v>
      </c>
      <c r="L1953" s="7">
        <v>39501</v>
      </c>
      <c r="M1953" s="1">
        <v>24</v>
      </c>
      <c r="N1953" s="6">
        <v>8.2100000000000006E-2</v>
      </c>
      <c r="O1953" s="1" t="s">
        <v>46</v>
      </c>
      <c r="P1953" s="1" t="s">
        <v>47</v>
      </c>
      <c r="Q1953" s="1">
        <v>14</v>
      </c>
      <c r="R1953" s="1">
        <v>4</v>
      </c>
      <c r="S1953" s="1" t="s">
        <v>33</v>
      </c>
      <c r="T1953" s="1" t="s">
        <v>31</v>
      </c>
      <c r="U1953" s="1">
        <v>0</v>
      </c>
      <c r="V1953" s="1">
        <v>196035</v>
      </c>
      <c r="W1953" s="7">
        <v>412.28</v>
      </c>
      <c r="X1953" s="1">
        <v>0.69</v>
      </c>
      <c r="Y1953" s="4">
        <v>45023</v>
      </c>
      <c r="Z1953" s="1" t="s">
        <v>32</v>
      </c>
      <c r="AA1953" s="1" t="s">
        <v>33</v>
      </c>
      <c r="AB1953" s="36" t="str" cm="1">
        <f t="array" ref="AB1953">_xlfn.IFS(K1953&gt;650,"LOW",K1953&gt;=550,"MEDIUM",K1953&lt;550,"HIGH")</f>
        <v>HIGH</v>
      </c>
    </row>
    <row r="1954" spans="3:28" x14ac:dyDescent="0.3">
      <c r="C1954" s="35" t="s">
        <v>3215</v>
      </c>
      <c r="D1954" s="1" t="s">
        <v>1239</v>
      </c>
      <c r="E1954" s="1">
        <v>34</v>
      </c>
      <c r="F1954" s="1" t="s">
        <v>26</v>
      </c>
      <c r="G1954" s="1" t="s">
        <v>56</v>
      </c>
      <c r="H1954" s="1" t="s">
        <v>54</v>
      </c>
      <c r="I1954" s="1" t="s">
        <v>40</v>
      </c>
      <c r="J1954" s="7">
        <v>43535</v>
      </c>
      <c r="K1954" s="1">
        <v>316</v>
      </c>
      <c r="L1954" s="7">
        <v>27911</v>
      </c>
      <c r="M1954" s="1">
        <v>48</v>
      </c>
      <c r="N1954" s="6">
        <v>6.4399999999999999E-2</v>
      </c>
      <c r="O1954" s="1" t="s">
        <v>41</v>
      </c>
      <c r="P1954" s="1" t="s">
        <v>47</v>
      </c>
      <c r="Q1954" s="1">
        <v>13</v>
      </c>
      <c r="R1954" s="1">
        <v>1</v>
      </c>
      <c r="S1954" s="1" t="s">
        <v>31</v>
      </c>
      <c r="T1954" s="1" t="s">
        <v>31</v>
      </c>
      <c r="U1954" s="1">
        <v>0</v>
      </c>
      <c r="V1954" s="1">
        <v>37872</v>
      </c>
      <c r="W1954" s="7">
        <v>750.78</v>
      </c>
      <c r="X1954" s="1">
        <v>0.93</v>
      </c>
      <c r="Y1954" s="4">
        <v>44198</v>
      </c>
      <c r="Z1954" s="1" t="s">
        <v>32</v>
      </c>
      <c r="AA1954" s="1" t="s">
        <v>33</v>
      </c>
      <c r="AB1954" s="36" t="str" cm="1">
        <f t="array" ref="AB1954">_xlfn.IFS(K1954&gt;650,"LOW",K1954&gt;=550,"MEDIUM",K1954&lt;550,"HIGH")</f>
        <v>HIGH</v>
      </c>
    </row>
    <row r="1955" spans="3:28" x14ac:dyDescent="0.3">
      <c r="C1955" s="35" t="s">
        <v>3485</v>
      </c>
      <c r="D1955" s="1" t="s">
        <v>1503</v>
      </c>
      <c r="E1955" s="1">
        <v>30</v>
      </c>
      <c r="F1955" s="1" t="s">
        <v>44</v>
      </c>
      <c r="G1955" s="1" t="s">
        <v>56</v>
      </c>
      <c r="H1955" s="1" t="s">
        <v>61</v>
      </c>
      <c r="I1955" s="1" t="s">
        <v>40</v>
      </c>
      <c r="J1955" s="7">
        <v>114945</v>
      </c>
      <c r="K1955" s="1">
        <v>316</v>
      </c>
      <c r="L1955" s="7">
        <v>9888</v>
      </c>
      <c r="M1955" s="1">
        <v>24</v>
      </c>
      <c r="N1955" s="6">
        <v>0.13059999999999999</v>
      </c>
      <c r="O1955" s="1" t="s">
        <v>46</v>
      </c>
      <c r="P1955" s="1" t="s">
        <v>30</v>
      </c>
      <c r="Q1955" s="1">
        <v>29</v>
      </c>
      <c r="R1955" s="1">
        <v>4</v>
      </c>
      <c r="S1955" s="1" t="s">
        <v>33</v>
      </c>
      <c r="T1955" s="1" t="s">
        <v>33</v>
      </c>
      <c r="U1955" s="1">
        <v>3</v>
      </c>
      <c r="V1955" s="1">
        <v>125456</v>
      </c>
      <c r="W1955" s="7">
        <v>1897.94</v>
      </c>
      <c r="X1955" s="1">
        <v>0.98</v>
      </c>
      <c r="Y1955" s="4">
        <v>45464</v>
      </c>
      <c r="Z1955" s="1" t="s">
        <v>38</v>
      </c>
      <c r="AA1955" s="1" t="s">
        <v>33</v>
      </c>
      <c r="AB1955" s="36" t="str" cm="1">
        <f t="array" ref="AB1955">_xlfn.IFS(K1955&gt;650,"LOW",K1955&gt;=550,"MEDIUM",K1955&lt;550,"HIGH")</f>
        <v>HIGH</v>
      </c>
    </row>
    <row r="1956" spans="3:28" x14ac:dyDescent="0.3">
      <c r="C1956" s="35" t="s">
        <v>2057</v>
      </c>
      <c r="D1956" s="1" t="s">
        <v>88</v>
      </c>
      <c r="E1956" s="1">
        <v>27</v>
      </c>
      <c r="F1956" s="1" t="s">
        <v>26</v>
      </c>
      <c r="G1956" s="1" t="s">
        <v>27</v>
      </c>
      <c r="H1956" s="1" t="s">
        <v>54</v>
      </c>
      <c r="I1956" s="1" t="s">
        <v>57</v>
      </c>
      <c r="J1956" s="7">
        <v>149207</v>
      </c>
      <c r="K1956" s="1">
        <v>315</v>
      </c>
      <c r="L1956" s="7">
        <v>49891</v>
      </c>
      <c r="M1956" s="1">
        <v>12</v>
      </c>
      <c r="N1956" s="6">
        <v>0.16440000000000002</v>
      </c>
      <c r="O1956" s="1" t="s">
        <v>41</v>
      </c>
      <c r="P1956" s="1" t="s">
        <v>50</v>
      </c>
      <c r="Q1956" s="1">
        <v>13</v>
      </c>
      <c r="R1956" s="1">
        <v>0</v>
      </c>
      <c r="S1956" s="1" t="s">
        <v>31</v>
      </c>
      <c r="T1956" s="1" t="s">
        <v>33</v>
      </c>
      <c r="U1956" s="1">
        <v>2</v>
      </c>
      <c r="V1956" s="1">
        <v>118192</v>
      </c>
      <c r="W1956" s="7">
        <v>1079.21</v>
      </c>
      <c r="X1956" s="1">
        <v>0.79</v>
      </c>
      <c r="Y1956" s="4">
        <v>45291</v>
      </c>
      <c r="Z1956" s="1" t="s">
        <v>32</v>
      </c>
      <c r="AA1956" s="1" t="s">
        <v>33</v>
      </c>
      <c r="AB1956" s="36" t="str" cm="1">
        <f t="array" ref="AB1956">_xlfn.IFS(K1956&gt;650,"LOW",K1956&gt;=550,"MEDIUM",K1956&lt;550,"HIGH")</f>
        <v>HIGH</v>
      </c>
    </row>
    <row r="1957" spans="3:28" x14ac:dyDescent="0.3">
      <c r="C1957" s="35" t="s">
        <v>2508</v>
      </c>
      <c r="D1957" s="1" t="s">
        <v>538</v>
      </c>
      <c r="E1957" s="1">
        <v>22</v>
      </c>
      <c r="F1957" s="1" t="s">
        <v>26</v>
      </c>
      <c r="G1957" s="1" t="s">
        <v>35</v>
      </c>
      <c r="H1957" s="1" t="s">
        <v>54</v>
      </c>
      <c r="I1957" s="1" t="s">
        <v>40</v>
      </c>
      <c r="J1957" s="7">
        <v>135306</v>
      </c>
      <c r="K1957" s="1">
        <v>315</v>
      </c>
      <c r="L1957" s="7">
        <v>27909</v>
      </c>
      <c r="M1957" s="1">
        <v>60</v>
      </c>
      <c r="N1957" s="6">
        <v>0.1211</v>
      </c>
      <c r="O1957" s="1" t="s">
        <v>5</v>
      </c>
      <c r="P1957" s="1" t="s">
        <v>47</v>
      </c>
      <c r="Q1957" s="1">
        <v>20</v>
      </c>
      <c r="R1957" s="1">
        <v>1</v>
      </c>
      <c r="S1957" s="1" t="s">
        <v>31</v>
      </c>
      <c r="T1957" s="1" t="s">
        <v>31</v>
      </c>
      <c r="U1957" s="1">
        <v>4</v>
      </c>
      <c r="V1957" s="1">
        <v>100196</v>
      </c>
      <c r="W1957" s="7">
        <v>237.4</v>
      </c>
      <c r="X1957" s="1">
        <v>0.93</v>
      </c>
      <c r="Y1957" s="4">
        <v>44025</v>
      </c>
      <c r="Z1957" s="1" t="s">
        <v>32</v>
      </c>
      <c r="AA1957" s="1" t="s">
        <v>33</v>
      </c>
      <c r="AB1957" s="36" t="str" cm="1">
        <f t="array" ref="AB1957">_xlfn.IFS(K1957&gt;650,"LOW",K1957&gt;=550,"MEDIUM",K1957&lt;550,"HIGH")</f>
        <v>HIGH</v>
      </c>
    </row>
    <row r="1958" spans="3:28" x14ac:dyDescent="0.3">
      <c r="C1958" s="35" t="s">
        <v>2657</v>
      </c>
      <c r="D1958" s="1" t="s">
        <v>687</v>
      </c>
      <c r="E1958" s="1">
        <v>36</v>
      </c>
      <c r="F1958" s="1" t="s">
        <v>26</v>
      </c>
      <c r="G1958" s="1" t="s">
        <v>45</v>
      </c>
      <c r="H1958" s="1" t="s">
        <v>61</v>
      </c>
      <c r="I1958" s="1" t="s">
        <v>57</v>
      </c>
      <c r="J1958" s="7">
        <v>85149</v>
      </c>
      <c r="K1958" s="1">
        <v>314</v>
      </c>
      <c r="L1958" s="7">
        <v>34615</v>
      </c>
      <c r="M1958" s="1">
        <v>12</v>
      </c>
      <c r="N1958" s="6">
        <v>0.15579999999999999</v>
      </c>
      <c r="O1958" s="1" t="s">
        <v>63</v>
      </c>
      <c r="P1958" s="1" t="s">
        <v>30</v>
      </c>
      <c r="Q1958" s="1">
        <v>13</v>
      </c>
      <c r="R1958" s="1">
        <v>3</v>
      </c>
      <c r="S1958" s="1" t="s">
        <v>33</v>
      </c>
      <c r="T1958" s="1" t="s">
        <v>33</v>
      </c>
      <c r="U1958" s="1">
        <v>0</v>
      </c>
      <c r="V1958" s="1">
        <v>86873</v>
      </c>
      <c r="W1958" s="7">
        <v>1887.58</v>
      </c>
      <c r="X1958" s="1">
        <v>0.16</v>
      </c>
      <c r="Y1958" s="4">
        <v>45327</v>
      </c>
      <c r="Z1958" s="1" t="s">
        <v>38</v>
      </c>
      <c r="AA1958" s="1" t="s">
        <v>33</v>
      </c>
      <c r="AB1958" s="36" t="str" cm="1">
        <f t="array" ref="AB1958">_xlfn.IFS(K1958&gt;650,"LOW",K1958&gt;=550,"MEDIUM",K1958&lt;550,"HIGH")</f>
        <v>HIGH</v>
      </c>
    </row>
    <row r="1959" spans="3:28" x14ac:dyDescent="0.3">
      <c r="C1959" s="35" t="s">
        <v>3273</v>
      </c>
      <c r="D1959" s="1" t="s">
        <v>1296</v>
      </c>
      <c r="E1959" s="1">
        <v>31</v>
      </c>
      <c r="F1959" s="1" t="s">
        <v>44</v>
      </c>
      <c r="G1959" s="1" t="s">
        <v>56</v>
      </c>
      <c r="H1959" s="1" t="s">
        <v>36</v>
      </c>
      <c r="I1959" s="1" t="s">
        <v>59</v>
      </c>
      <c r="J1959" s="7">
        <v>51007</v>
      </c>
      <c r="K1959" s="1">
        <v>314</v>
      </c>
      <c r="L1959" s="7">
        <v>33668</v>
      </c>
      <c r="M1959" s="1">
        <v>48</v>
      </c>
      <c r="N1959" s="6">
        <v>0.1764</v>
      </c>
      <c r="O1959" s="1" t="s">
        <v>41</v>
      </c>
      <c r="P1959" s="1" t="s">
        <v>50</v>
      </c>
      <c r="Q1959" s="1">
        <v>28</v>
      </c>
      <c r="R1959" s="1">
        <v>2</v>
      </c>
      <c r="S1959" s="1" t="s">
        <v>33</v>
      </c>
      <c r="T1959" s="1" t="s">
        <v>31</v>
      </c>
      <c r="U1959" s="1">
        <v>0</v>
      </c>
      <c r="V1959" s="1">
        <v>162103</v>
      </c>
      <c r="W1959" s="7">
        <v>1208.8</v>
      </c>
      <c r="X1959" s="1">
        <v>1</v>
      </c>
      <c r="Y1959" s="4">
        <v>44050</v>
      </c>
      <c r="Z1959" s="1" t="s">
        <v>32</v>
      </c>
      <c r="AA1959" s="1" t="s">
        <v>33</v>
      </c>
      <c r="AB1959" s="36" t="str" cm="1">
        <f t="array" ref="AB1959">_xlfn.IFS(K1959&gt;650,"LOW",K1959&gt;=550,"MEDIUM",K1959&lt;550,"HIGH")</f>
        <v>HIGH</v>
      </c>
    </row>
    <row r="1960" spans="3:28" x14ac:dyDescent="0.3">
      <c r="C1960" s="35" t="s">
        <v>2306</v>
      </c>
      <c r="D1960" s="1" t="s">
        <v>337</v>
      </c>
      <c r="E1960" s="1">
        <v>61</v>
      </c>
      <c r="F1960" s="1" t="s">
        <v>44</v>
      </c>
      <c r="G1960" s="1" t="s">
        <v>27</v>
      </c>
      <c r="H1960" s="1" t="s">
        <v>28</v>
      </c>
      <c r="I1960" s="1" t="s">
        <v>40</v>
      </c>
      <c r="J1960" s="7">
        <v>127967</v>
      </c>
      <c r="K1960" s="1">
        <v>313</v>
      </c>
      <c r="L1960" s="7">
        <v>6806</v>
      </c>
      <c r="M1960" s="1">
        <v>24</v>
      </c>
      <c r="N1960" s="6">
        <v>5.4299999999999994E-2</v>
      </c>
      <c r="O1960" s="1" t="s">
        <v>5</v>
      </c>
      <c r="P1960" s="1" t="s">
        <v>50</v>
      </c>
      <c r="Q1960" s="1">
        <v>20</v>
      </c>
      <c r="R1960" s="1">
        <v>3</v>
      </c>
      <c r="S1960" s="1" t="s">
        <v>31</v>
      </c>
      <c r="T1960" s="1" t="s">
        <v>31</v>
      </c>
      <c r="U1960" s="1">
        <v>4</v>
      </c>
      <c r="V1960" s="1">
        <v>168153</v>
      </c>
      <c r="W1960" s="7">
        <v>978.84</v>
      </c>
      <c r="X1960" s="1">
        <v>0.85</v>
      </c>
      <c r="Y1960" s="4">
        <v>44108</v>
      </c>
      <c r="Z1960" s="1" t="s">
        <v>32</v>
      </c>
      <c r="AA1960" s="1" t="s">
        <v>33</v>
      </c>
      <c r="AB1960" s="36" t="str" cm="1">
        <f t="array" ref="AB1960">_xlfn.IFS(K1960&gt;650,"LOW",K1960&gt;=550,"MEDIUM",K1960&lt;550,"HIGH")</f>
        <v>HIGH</v>
      </c>
    </row>
    <row r="1961" spans="3:28" x14ac:dyDescent="0.3">
      <c r="C1961" s="35" t="s">
        <v>2606</v>
      </c>
      <c r="D1961" s="1" t="s">
        <v>636</v>
      </c>
      <c r="E1961" s="1">
        <v>21</v>
      </c>
      <c r="F1961" s="1" t="s">
        <v>26</v>
      </c>
      <c r="G1961" s="1" t="s">
        <v>45</v>
      </c>
      <c r="H1961" s="1" t="s">
        <v>54</v>
      </c>
      <c r="I1961" s="1" t="s">
        <v>29</v>
      </c>
      <c r="J1961" s="7">
        <v>100206</v>
      </c>
      <c r="K1961" s="1">
        <v>313</v>
      </c>
      <c r="L1961" s="7">
        <v>17569</v>
      </c>
      <c r="M1961" s="1">
        <v>36</v>
      </c>
      <c r="N1961" s="6">
        <v>8.6899999999999991E-2</v>
      </c>
      <c r="O1961" s="1" t="s">
        <v>46</v>
      </c>
      <c r="P1961" s="1" t="s">
        <v>47</v>
      </c>
      <c r="Q1961" s="1">
        <v>8</v>
      </c>
      <c r="R1961" s="1">
        <v>2</v>
      </c>
      <c r="S1961" s="1" t="s">
        <v>31</v>
      </c>
      <c r="T1961" s="1" t="s">
        <v>33</v>
      </c>
      <c r="U1961" s="1">
        <v>4</v>
      </c>
      <c r="V1961" s="1">
        <v>92874</v>
      </c>
      <c r="W1961" s="7">
        <v>698.31</v>
      </c>
      <c r="X1961" s="1">
        <v>0.71</v>
      </c>
      <c r="Y1961" s="4">
        <v>45203</v>
      </c>
      <c r="Z1961" s="1" t="s">
        <v>38</v>
      </c>
      <c r="AA1961" s="1" t="s">
        <v>33</v>
      </c>
      <c r="AB1961" s="36" t="str" cm="1">
        <f t="array" ref="AB1961">_xlfn.IFS(K1961&gt;650,"LOW",K1961&gt;=550,"MEDIUM",K1961&lt;550,"HIGH")</f>
        <v>HIGH</v>
      </c>
    </row>
    <row r="1962" spans="3:28" x14ac:dyDescent="0.3">
      <c r="C1962" s="35" t="s">
        <v>2620</v>
      </c>
      <c r="D1962" s="1" t="s">
        <v>650</v>
      </c>
      <c r="E1962" s="1">
        <v>46</v>
      </c>
      <c r="F1962" s="1" t="s">
        <v>44</v>
      </c>
      <c r="G1962" s="1" t="s">
        <v>35</v>
      </c>
      <c r="H1962" s="1" t="s">
        <v>61</v>
      </c>
      <c r="I1962" s="1" t="s">
        <v>57</v>
      </c>
      <c r="J1962" s="7">
        <v>116881</v>
      </c>
      <c r="K1962" s="1">
        <v>313</v>
      </c>
      <c r="L1962" s="7">
        <v>20154</v>
      </c>
      <c r="M1962" s="1">
        <v>60</v>
      </c>
      <c r="N1962" s="6">
        <v>0.11019999999999999</v>
      </c>
      <c r="O1962" s="1" t="s">
        <v>41</v>
      </c>
      <c r="P1962" s="1" t="s">
        <v>30</v>
      </c>
      <c r="Q1962" s="1">
        <v>26</v>
      </c>
      <c r="R1962" s="1">
        <v>2</v>
      </c>
      <c r="S1962" s="1" t="s">
        <v>33</v>
      </c>
      <c r="T1962" s="1" t="s">
        <v>33</v>
      </c>
      <c r="U1962" s="1">
        <v>3</v>
      </c>
      <c r="V1962" s="1">
        <v>159765</v>
      </c>
      <c r="W1962" s="7">
        <v>1894.1</v>
      </c>
      <c r="X1962" s="1">
        <v>0.56999999999999995</v>
      </c>
      <c r="Y1962" s="4">
        <v>44438</v>
      </c>
      <c r="Z1962" s="1" t="s">
        <v>32</v>
      </c>
      <c r="AA1962" s="1" t="s">
        <v>31</v>
      </c>
      <c r="AB1962" s="36" t="str" cm="1">
        <f t="array" ref="AB1962">_xlfn.IFS(K1962&gt;650,"LOW",K1962&gt;=550,"MEDIUM",K1962&lt;550,"HIGH")</f>
        <v>HIGH</v>
      </c>
    </row>
    <row r="1963" spans="3:28" x14ac:dyDescent="0.3">
      <c r="C1963" s="35" t="s">
        <v>2575</v>
      </c>
      <c r="D1963" s="1" t="s">
        <v>605</v>
      </c>
      <c r="E1963" s="1">
        <v>59</v>
      </c>
      <c r="F1963" s="1" t="s">
        <v>44</v>
      </c>
      <c r="G1963" s="1" t="s">
        <v>27</v>
      </c>
      <c r="H1963" s="1" t="s">
        <v>61</v>
      </c>
      <c r="I1963" s="1" t="s">
        <v>59</v>
      </c>
      <c r="J1963" s="7">
        <v>123435</v>
      </c>
      <c r="K1963" s="1">
        <v>312</v>
      </c>
      <c r="L1963" s="7">
        <v>9080</v>
      </c>
      <c r="M1963" s="1">
        <v>60</v>
      </c>
      <c r="N1963" s="6">
        <v>0.18359999999999999</v>
      </c>
      <c r="O1963" s="1" t="s">
        <v>52</v>
      </c>
      <c r="P1963" s="1" t="s">
        <v>47</v>
      </c>
      <c r="Q1963" s="1">
        <v>12</v>
      </c>
      <c r="R1963" s="1">
        <v>0</v>
      </c>
      <c r="S1963" s="1" t="s">
        <v>33</v>
      </c>
      <c r="T1963" s="1" t="s">
        <v>33</v>
      </c>
      <c r="U1963" s="1">
        <v>2</v>
      </c>
      <c r="V1963" s="1">
        <v>163820</v>
      </c>
      <c r="W1963" s="7">
        <v>1493.96</v>
      </c>
      <c r="X1963" s="1">
        <v>0.44</v>
      </c>
      <c r="Y1963" s="4">
        <v>45655</v>
      </c>
      <c r="Z1963" s="1" t="s">
        <v>38</v>
      </c>
      <c r="AA1963" s="1" t="s">
        <v>33</v>
      </c>
      <c r="AB1963" s="36" t="str" cm="1">
        <f t="array" ref="AB1963">_xlfn.IFS(K1963&gt;650,"LOW",K1963&gt;=550,"MEDIUM",K1963&lt;550,"HIGH")</f>
        <v>HIGH</v>
      </c>
    </row>
    <row r="1964" spans="3:28" x14ac:dyDescent="0.3">
      <c r="C1964" s="35" t="s">
        <v>2742</v>
      </c>
      <c r="D1964" s="1" t="s">
        <v>772</v>
      </c>
      <c r="E1964" s="1">
        <v>59</v>
      </c>
      <c r="F1964" s="1" t="s">
        <v>26</v>
      </c>
      <c r="G1964" s="1" t="s">
        <v>35</v>
      </c>
      <c r="H1964" s="1" t="s">
        <v>36</v>
      </c>
      <c r="I1964" s="1" t="s">
        <v>29</v>
      </c>
      <c r="J1964" s="7">
        <v>58445</v>
      </c>
      <c r="K1964" s="1">
        <v>312</v>
      </c>
      <c r="L1964" s="7">
        <v>35928</v>
      </c>
      <c r="M1964" s="1">
        <v>36</v>
      </c>
      <c r="N1964" s="6">
        <v>9.3399999999999997E-2</v>
      </c>
      <c r="O1964" s="1" t="s">
        <v>46</v>
      </c>
      <c r="P1964" s="1" t="s">
        <v>50</v>
      </c>
      <c r="Q1964" s="1">
        <v>26</v>
      </c>
      <c r="R1964" s="1">
        <v>2</v>
      </c>
      <c r="S1964" s="1" t="s">
        <v>33</v>
      </c>
      <c r="T1964" s="1" t="s">
        <v>31</v>
      </c>
      <c r="U1964" s="1">
        <v>3</v>
      </c>
      <c r="V1964" s="1">
        <v>168496</v>
      </c>
      <c r="W1964" s="7">
        <v>951.75</v>
      </c>
      <c r="X1964" s="1">
        <v>0.19</v>
      </c>
      <c r="Y1964" s="4">
        <v>44546</v>
      </c>
      <c r="Z1964" s="1" t="s">
        <v>38</v>
      </c>
      <c r="AA1964" s="1" t="s">
        <v>33</v>
      </c>
      <c r="AB1964" s="36" t="str" cm="1">
        <f t="array" ref="AB1964">_xlfn.IFS(K1964&gt;650,"LOW",K1964&gt;=550,"MEDIUM",K1964&lt;550,"HIGH")</f>
        <v>HIGH</v>
      </c>
    </row>
    <row r="1965" spans="3:28" x14ac:dyDescent="0.3">
      <c r="C1965" s="35" t="s">
        <v>2799</v>
      </c>
      <c r="D1965" s="1" t="s">
        <v>827</v>
      </c>
      <c r="E1965" s="1">
        <v>28</v>
      </c>
      <c r="F1965" s="1" t="s">
        <v>26</v>
      </c>
      <c r="G1965" s="1" t="s">
        <v>27</v>
      </c>
      <c r="H1965" s="1" t="s">
        <v>36</v>
      </c>
      <c r="I1965" s="1" t="s">
        <v>59</v>
      </c>
      <c r="J1965" s="7">
        <v>128649</v>
      </c>
      <c r="K1965" s="1">
        <v>312</v>
      </c>
      <c r="L1965" s="7">
        <v>44102</v>
      </c>
      <c r="M1965" s="1">
        <v>60</v>
      </c>
      <c r="N1965" s="6">
        <v>8.6999999999999994E-2</v>
      </c>
      <c r="O1965" s="1" t="s">
        <v>41</v>
      </c>
      <c r="P1965" s="1" t="s">
        <v>47</v>
      </c>
      <c r="Q1965" s="1">
        <v>7</v>
      </c>
      <c r="R1965" s="1">
        <v>1</v>
      </c>
      <c r="S1965" s="1" t="s">
        <v>31</v>
      </c>
      <c r="T1965" s="1" t="s">
        <v>33</v>
      </c>
      <c r="U1965" s="1">
        <v>0</v>
      </c>
      <c r="V1965" s="1">
        <v>86857</v>
      </c>
      <c r="W1965" s="7">
        <v>205.59</v>
      </c>
      <c r="X1965" s="1">
        <v>0.46</v>
      </c>
      <c r="Y1965" s="4">
        <v>45209</v>
      </c>
      <c r="Z1965" s="1" t="s">
        <v>38</v>
      </c>
      <c r="AA1965" s="1" t="s">
        <v>33</v>
      </c>
      <c r="AB1965" s="36" t="str" cm="1">
        <f t="array" ref="AB1965">_xlfn.IFS(K1965&gt;650,"LOW",K1965&gt;=550,"MEDIUM",K1965&lt;550,"HIGH")</f>
        <v>HIGH</v>
      </c>
    </row>
    <row r="1966" spans="3:28" x14ac:dyDescent="0.3">
      <c r="C1966" s="35" t="s">
        <v>2034</v>
      </c>
      <c r="D1966" s="1" t="s">
        <v>65</v>
      </c>
      <c r="E1966" s="1">
        <v>44</v>
      </c>
      <c r="F1966" s="1" t="s">
        <v>26</v>
      </c>
      <c r="G1966" s="1" t="s">
        <v>35</v>
      </c>
      <c r="H1966" s="1" t="s">
        <v>54</v>
      </c>
      <c r="I1966" s="1" t="s">
        <v>57</v>
      </c>
      <c r="J1966" s="7">
        <v>30024</v>
      </c>
      <c r="K1966" s="1">
        <v>311</v>
      </c>
      <c r="L1966" s="7">
        <v>42628</v>
      </c>
      <c r="M1966" s="1">
        <v>12</v>
      </c>
      <c r="N1966" s="6">
        <v>9.0399999999999994E-2</v>
      </c>
      <c r="O1966" s="1" t="s">
        <v>37</v>
      </c>
      <c r="P1966" s="1" t="s">
        <v>30</v>
      </c>
      <c r="Q1966" s="1">
        <v>5</v>
      </c>
      <c r="R1966" s="1">
        <v>0</v>
      </c>
      <c r="S1966" s="1" t="s">
        <v>31</v>
      </c>
      <c r="T1966" s="1" t="s">
        <v>33</v>
      </c>
      <c r="U1966" s="1">
        <v>1</v>
      </c>
      <c r="V1966" s="1">
        <v>89381</v>
      </c>
      <c r="W1966" s="7">
        <v>1424.7</v>
      </c>
      <c r="X1966" s="1">
        <v>0.97</v>
      </c>
      <c r="Y1966" s="4">
        <v>45821</v>
      </c>
      <c r="Z1966" s="1" t="s">
        <v>38</v>
      </c>
      <c r="AA1966" s="1" t="s">
        <v>31</v>
      </c>
      <c r="AB1966" s="36" t="str" cm="1">
        <f t="array" ref="AB1966">_xlfn.IFS(K1966&gt;650,"LOW",K1966&gt;=550,"MEDIUM",K1966&lt;550,"HIGH")</f>
        <v>HIGH</v>
      </c>
    </row>
    <row r="1967" spans="3:28" x14ac:dyDescent="0.3">
      <c r="C1967" s="35" t="s">
        <v>2127</v>
      </c>
      <c r="D1967" s="1" t="s">
        <v>158</v>
      </c>
      <c r="E1967" s="1">
        <v>29</v>
      </c>
      <c r="F1967" s="1" t="s">
        <v>44</v>
      </c>
      <c r="G1967" s="1" t="s">
        <v>45</v>
      </c>
      <c r="H1967" s="1" t="s">
        <v>54</v>
      </c>
      <c r="I1967" s="1" t="s">
        <v>59</v>
      </c>
      <c r="J1967" s="7">
        <v>142961</v>
      </c>
      <c r="K1967" s="1">
        <v>311</v>
      </c>
      <c r="L1967" s="7">
        <v>41318</v>
      </c>
      <c r="M1967" s="1">
        <v>12</v>
      </c>
      <c r="N1967" s="6">
        <v>0.15340000000000001</v>
      </c>
      <c r="O1967" s="1" t="s">
        <v>37</v>
      </c>
      <c r="P1967" s="1" t="s">
        <v>47</v>
      </c>
      <c r="Q1967" s="1">
        <v>7</v>
      </c>
      <c r="R1967" s="1">
        <v>2</v>
      </c>
      <c r="S1967" s="1" t="s">
        <v>31</v>
      </c>
      <c r="T1967" s="1" t="s">
        <v>31</v>
      </c>
      <c r="U1967" s="1">
        <v>3</v>
      </c>
      <c r="V1967" s="1">
        <v>41684</v>
      </c>
      <c r="W1967" s="7">
        <v>811.68</v>
      </c>
      <c r="X1967" s="1">
        <v>0.28999999999999998</v>
      </c>
      <c r="Y1967" s="4">
        <v>44068</v>
      </c>
      <c r="Z1967" s="1" t="s">
        <v>38</v>
      </c>
      <c r="AA1967" s="1" t="s">
        <v>33</v>
      </c>
      <c r="AB1967" s="36" t="str" cm="1">
        <f t="array" ref="AB1967">_xlfn.IFS(K1967&gt;650,"LOW",K1967&gt;=550,"MEDIUM",K1967&lt;550,"HIGH")</f>
        <v>HIGH</v>
      </c>
    </row>
    <row r="1968" spans="3:28" x14ac:dyDescent="0.3">
      <c r="C1968" s="35" t="s">
        <v>2908</v>
      </c>
      <c r="D1968" s="1" t="s">
        <v>936</v>
      </c>
      <c r="E1968" s="1">
        <v>57</v>
      </c>
      <c r="F1968" s="1" t="s">
        <v>44</v>
      </c>
      <c r="G1968" s="1" t="s">
        <v>45</v>
      </c>
      <c r="H1968" s="1" t="s">
        <v>61</v>
      </c>
      <c r="I1968" s="1" t="s">
        <v>29</v>
      </c>
      <c r="J1968" s="7">
        <v>40608</v>
      </c>
      <c r="K1968" s="1">
        <v>311</v>
      </c>
      <c r="L1968" s="7">
        <v>49295</v>
      </c>
      <c r="M1968" s="1">
        <v>48</v>
      </c>
      <c r="N1968" s="6">
        <v>0.1757</v>
      </c>
      <c r="O1968" s="1" t="s">
        <v>5</v>
      </c>
      <c r="P1968" s="1" t="s">
        <v>47</v>
      </c>
      <c r="Q1968" s="1">
        <v>2</v>
      </c>
      <c r="R1968" s="1">
        <v>0</v>
      </c>
      <c r="S1968" s="1" t="s">
        <v>33</v>
      </c>
      <c r="T1968" s="1" t="s">
        <v>33</v>
      </c>
      <c r="U1968" s="1">
        <v>4</v>
      </c>
      <c r="V1968" s="1">
        <v>174388</v>
      </c>
      <c r="W1968" s="7">
        <v>657.5</v>
      </c>
      <c r="X1968" s="1">
        <v>0.41</v>
      </c>
      <c r="Y1968" s="4">
        <v>45489</v>
      </c>
      <c r="Z1968" s="1" t="s">
        <v>38</v>
      </c>
      <c r="AA1968" s="1" t="s">
        <v>33</v>
      </c>
      <c r="AB1968" s="36" t="str" cm="1">
        <f t="array" ref="AB1968">_xlfn.IFS(K1968&gt;650,"LOW",K1968&gt;=550,"MEDIUM",K1968&lt;550,"HIGH")</f>
        <v>HIGH</v>
      </c>
    </row>
    <row r="1969" spans="3:28" x14ac:dyDescent="0.3">
      <c r="C1969" s="35" t="s">
        <v>3094</v>
      </c>
      <c r="D1969" s="1" t="s">
        <v>1119</v>
      </c>
      <c r="E1969" s="1">
        <v>62</v>
      </c>
      <c r="F1969" s="1" t="s">
        <v>26</v>
      </c>
      <c r="G1969" s="1" t="s">
        <v>27</v>
      </c>
      <c r="H1969" s="1" t="s">
        <v>28</v>
      </c>
      <c r="I1969" s="1" t="s">
        <v>40</v>
      </c>
      <c r="J1969" s="7">
        <v>77196</v>
      </c>
      <c r="K1969" s="1">
        <v>311</v>
      </c>
      <c r="L1969" s="7">
        <v>29804</v>
      </c>
      <c r="M1969" s="1">
        <v>48</v>
      </c>
      <c r="N1969" s="6">
        <v>0.1595</v>
      </c>
      <c r="O1969" s="1" t="s">
        <v>37</v>
      </c>
      <c r="P1969" s="1" t="s">
        <v>47</v>
      </c>
      <c r="Q1969" s="1">
        <v>15</v>
      </c>
      <c r="R1969" s="1">
        <v>0</v>
      </c>
      <c r="S1969" s="1" t="s">
        <v>31</v>
      </c>
      <c r="T1969" s="1" t="s">
        <v>31</v>
      </c>
      <c r="U1969" s="1">
        <v>1</v>
      </c>
      <c r="V1969" s="1">
        <v>73723</v>
      </c>
      <c r="W1969" s="7">
        <v>1118.8699999999999</v>
      </c>
      <c r="X1969" s="1">
        <v>0.83</v>
      </c>
      <c r="Y1969" s="4">
        <v>44724</v>
      </c>
      <c r="Z1969" s="1" t="s">
        <v>38</v>
      </c>
      <c r="AA1969" s="1" t="s">
        <v>33</v>
      </c>
      <c r="AB1969" s="36" t="str" cm="1">
        <f t="array" ref="AB1969">_xlfn.IFS(K1969&gt;650,"LOW",K1969&gt;=550,"MEDIUM",K1969&lt;550,"HIGH")</f>
        <v>HIGH</v>
      </c>
    </row>
    <row r="1970" spans="3:28" x14ac:dyDescent="0.3">
      <c r="C1970" s="35" t="s">
        <v>3655</v>
      </c>
      <c r="D1970" s="1" t="s">
        <v>1667</v>
      </c>
      <c r="E1970" s="1">
        <v>59</v>
      </c>
      <c r="F1970" s="1" t="s">
        <v>44</v>
      </c>
      <c r="G1970" s="1" t="s">
        <v>27</v>
      </c>
      <c r="H1970" s="1" t="s">
        <v>61</v>
      </c>
      <c r="I1970" s="1" t="s">
        <v>57</v>
      </c>
      <c r="J1970" s="7">
        <v>49092</v>
      </c>
      <c r="K1970" s="1">
        <v>311</v>
      </c>
      <c r="L1970" s="7">
        <v>32820</v>
      </c>
      <c r="M1970" s="1">
        <v>24</v>
      </c>
      <c r="N1970" s="6">
        <v>8.6999999999999994E-2</v>
      </c>
      <c r="O1970" s="1" t="s">
        <v>41</v>
      </c>
      <c r="P1970" s="1" t="s">
        <v>50</v>
      </c>
      <c r="Q1970" s="1">
        <v>13</v>
      </c>
      <c r="R1970" s="1">
        <v>3</v>
      </c>
      <c r="S1970" s="1" t="s">
        <v>31</v>
      </c>
      <c r="T1970" s="1" t="s">
        <v>31</v>
      </c>
      <c r="U1970" s="1">
        <v>2</v>
      </c>
      <c r="V1970" s="1">
        <v>22011</v>
      </c>
      <c r="W1970" s="7">
        <v>642.85</v>
      </c>
      <c r="X1970" s="1">
        <v>0.6</v>
      </c>
      <c r="Y1970" s="4">
        <v>45544</v>
      </c>
      <c r="Z1970" s="1" t="s">
        <v>38</v>
      </c>
      <c r="AA1970" s="1" t="s">
        <v>33</v>
      </c>
      <c r="AB1970" s="36" t="str" cm="1">
        <f t="array" ref="AB1970">_xlfn.IFS(K1970&gt;650,"LOW",K1970&gt;=550,"MEDIUM",K1970&lt;550,"HIGH")</f>
        <v>HIGH</v>
      </c>
    </row>
    <row r="1971" spans="3:28" x14ac:dyDescent="0.3">
      <c r="C1971" s="35" t="s">
        <v>3671</v>
      </c>
      <c r="D1971" s="1" t="s">
        <v>1683</v>
      </c>
      <c r="E1971" s="1">
        <v>49</v>
      </c>
      <c r="F1971" s="1" t="s">
        <v>26</v>
      </c>
      <c r="G1971" s="1" t="s">
        <v>56</v>
      </c>
      <c r="H1971" s="1" t="s">
        <v>28</v>
      </c>
      <c r="I1971" s="1" t="s">
        <v>29</v>
      </c>
      <c r="J1971" s="7">
        <v>96508</v>
      </c>
      <c r="K1971" s="1">
        <v>311</v>
      </c>
      <c r="L1971" s="7">
        <v>22038</v>
      </c>
      <c r="M1971" s="1">
        <v>24</v>
      </c>
      <c r="N1971" s="6">
        <v>8.9099999999999999E-2</v>
      </c>
      <c r="O1971" s="1" t="s">
        <v>52</v>
      </c>
      <c r="P1971" s="1" t="s">
        <v>50</v>
      </c>
      <c r="Q1971" s="1">
        <v>21</v>
      </c>
      <c r="R1971" s="1">
        <v>0</v>
      </c>
      <c r="S1971" s="1" t="s">
        <v>33</v>
      </c>
      <c r="T1971" s="1" t="s">
        <v>33</v>
      </c>
      <c r="U1971" s="1">
        <v>3</v>
      </c>
      <c r="V1971" s="1">
        <v>175245</v>
      </c>
      <c r="W1971" s="7">
        <v>492.3</v>
      </c>
      <c r="X1971" s="1">
        <v>0.17</v>
      </c>
      <c r="Y1971" s="4">
        <v>45150</v>
      </c>
      <c r="Z1971" s="1" t="s">
        <v>32</v>
      </c>
      <c r="AA1971" s="1" t="s">
        <v>33</v>
      </c>
      <c r="AB1971" s="36" t="str" cm="1">
        <f t="array" ref="AB1971">_xlfn.IFS(K1971&gt;650,"LOW",K1971&gt;=550,"MEDIUM",K1971&lt;550,"HIGH")</f>
        <v>HIGH</v>
      </c>
    </row>
    <row r="1972" spans="3:28" x14ac:dyDescent="0.3">
      <c r="C1972" s="35" t="s">
        <v>3839</v>
      </c>
      <c r="D1972" s="1" t="s">
        <v>1845</v>
      </c>
      <c r="E1972" s="1">
        <v>24</v>
      </c>
      <c r="F1972" s="1" t="s">
        <v>44</v>
      </c>
      <c r="G1972" s="1" t="s">
        <v>45</v>
      </c>
      <c r="H1972" s="1" t="s">
        <v>61</v>
      </c>
      <c r="I1972" s="1" t="s">
        <v>57</v>
      </c>
      <c r="J1972" s="7">
        <v>91017</v>
      </c>
      <c r="K1972" s="1">
        <v>311</v>
      </c>
      <c r="L1972" s="7">
        <v>29204</v>
      </c>
      <c r="M1972" s="1">
        <v>36</v>
      </c>
      <c r="N1972" s="6">
        <v>9.6000000000000002E-2</v>
      </c>
      <c r="O1972" s="1" t="s">
        <v>37</v>
      </c>
      <c r="P1972" s="1" t="s">
        <v>47</v>
      </c>
      <c r="Q1972" s="1">
        <v>29</v>
      </c>
      <c r="R1972" s="1">
        <v>1</v>
      </c>
      <c r="S1972" s="1" t="s">
        <v>33</v>
      </c>
      <c r="T1972" s="1" t="s">
        <v>33</v>
      </c>
      <c r="U1972" s="1">
        <v>0</v>
      </c>
      <c r="V1972" s="1">
        <v>193537</v>
      </c>
      <c r="W1972" s="7">
        <v>1155.28</v>
      </c>
      <c r="X1972" s="1">
        <v>0.86</v>
      </c>
      <c r="Y1972" s="4">
        <v>44904</v>
      </c>
      <c r="Z1972" s="1" t="s">
        <v>32</v>
      </c>
      <c r="AA1972" s="1" t="s">
        <v>33</v>
      </c>
      <c r="AB1972" s="36" t="str" cm="1">
        <f t="array" ref="AB1972">_xlfn.IFS(K1972&gt;650,"LOW",K1972&gt;=550,"MEDIUM",K1972&lt;550,"HIGH")</f>
        <v>HIGH</v>
      </c>
    </row>
    <row r="1973" spans="3:28" x14ac:dyDescent="0.3">
      <c r="C1973" s="35" t="s">
        <v>2032</v>
      </c>
      <c r="D1973" s="1" t="s">
        <v>62</v>
      </c>
      <c r="E1973" s="1">
        <v>56</v>
      </c>
      <c r="F1973" s="1" t="s">
        <v>44</v>
      </c>
      <c r="G1973" s="1" t="s">
        <v>35</v>
      </c>
      <c r="H1973" s="1" t="s">
        <v>54</v>
      </c>
      <c r="I1973" s="1" t="s">
        <v>29</v>
      </c>
      <c r="J1973" s="7">
        <v>31814</v>
      </c>
      <c r="K1973" s="1">
        <v>310</v>
      </c>
      <c r="L1973" s="7">
        <v>19812</v>
      </c>
      <c r="M1973" s="1">
        <v>12</v>
      </c>
      <c r="N1973" s="6">
        <v>6.9000000000000006E-2</v>
      </c>
      <c r="O1973" s="1" t="s">
        <v>63</v>
      </c>
      <c r="P1973" s="1" t="s">
        <v>50</v>
      </c>
      <c r="Q1973" s="1">
        <v>27</v>
      </c>
      <c r="R1973" s="1">
        <v>2</v>
      </c>
      <c r="S1973" s="1" t="s">
        <v>31</v>
      </c>
      <c r="T1973" s="1" t="s">
        <v>33</v>
      </c>
      <c r="U1973" s="1">
        <v>2</v>
      </c>
      <c r="V1973" s="1">
        <v>176800</v>
      </c>
      <c r="W1973" s="7">
        <v>709.49</v>
      </c>
      <c r="X1973" s="1">
        <v>0.77</v>
      </c>
      <c r="Y1973" s="4">
        <v>44912</v>
      </c>
      <c r="Z1973" s="1" t="s">
        <v>32</v>
      </c>
      <c r="AA1973" s="1" t="s">
        <v>33</v>
      </c>
      <c r="AB1973" s="36" t="str" cm="1">
        <f t="array" ref="AB1973">_xlfn.IFS(K1973&gt;650,"LOW",K1973&gt;=550,"MEDIUM",K1973&lt;550,"HIGH")</f>
        <v>HIGH</v>
      </c>
    </row>
    <row r="1974" spans="3:28" x14ac:dyDescent="0.3">
      <c r="C1974" s="35" t="s">
        <v>2598</v>
      </c>
      <c r="D1974" s="1" t="s">
        <v>628</v>
      </c>
      <c r="E1974" s="1">
        <v>47</v>
      </c>
      <c r="F1974" s="1" t="s">
        <v>26</v>
      </c>
      <c r="G1974" s="1" t="s">
        <v>27</v>
      </c>
      <c r="H1974" s="1" t="s">
        <v>36</v>
      </c>
      <c r="I1974" s="1" t="s">
        <v>40</v>
      </c>
      <c r="J1974" s="7">
        <v>125585</v>
      </c>
      <c r="K1974" s="1">
        <v>310</v>
      </c>
      <c r="L1974" s="7">
        <v>18198</v>
      </c>
      <c r="M1974" s="1">
        <v>24</v>
      </c>
      <c r="N1974" s="6">
        <v>7.0599999999999996E-2</v>
      </c>
      <c r="O1974" s="1" t="s">
        <v>52</v>
      </c>
      <c r="P1974" s="1" t="s">
        <v>47</v>
      </c>
      <c r="Q1974" s="1">
        <v>26</v>
      </c>
      <c r="R1974" s="1">
        <v>4</v>
      </c>
      <c r="S1974" s="1" t="s">
        <v>31</v>
      </c>
      <c r="T1974" s="1" t="s">
        <v>31</v>
      </c>
      <c r="U1974" s="1">
        <v>3</v>
      </c>
      <c r="V1974" s="1">
        <v>149579</v>
      </c>
      <c r="W1974" s="7">
        <v>230.27</v>
      </c>
      <c r="X1974" s="1">
        <v>0.77</v>
      </c>
      <c r="Y1974" s="4">
        <v>44038</v>
      </c>
      <c r="Z1974" s="1" t="s">
        <v>38</v>
      </c>
      <c r="AA1974" s="1" t="s">
        <v>33</v>
      </c>
      <c r="AB1974" s="36" t="str" cm="1">
        <f t="array" ref="AB1974">_xlfn.IFS(K1974&gt;650,"LOW",K1974&gt;=550,"MEDIUM",K1974&lt;550,"HIGH")</f>
        <v>HIGH</v>
      </c>
    </row>
    <row r="1975" spans="3:28" x14ac:dyDescent="0.3">
      <c r="C1975" s="35" t="s">
        <v>2655</v>
      </c>
      <c r="D1975" s="1" t="s">
        <v>685</v>
      </c>
      <c r="E1975" s="1">
        <v>21</v>
      </c>
      <c r="F1975" s="1" t="s">
        <v>26</v>
      </c>
      <c r="G1975" s="1" t="s">
        <v>45</v>
      </c>
      <c r="H1975" s="1" t="s">
        <v>54</v>
      </c>
      <c r="I1975" s="1" t="s">
        <v>29</v>
      </c>
      <c r="J1975" s="7">
        <v>29247</v>
      </c>
      <c r="K1975" s="1">
        <v>310</v>
      </c>
      <c r="L1975" s="7">
        <v>16141</v>
      </c>
      <c r="M1975" s="1">
        <v>48</v>
      </c>
      <c r="N1975" s="6">
        <v>0.18729999999999999</v>
      </c>
      <c r="O1975" s="1" t="s">
        <v>46</v>
      </c>
      <c r="P1975" s="1" t="s">
        <v>47</v>
      </c>
      <c r="Q1975" s="1">
        <v>18</v>
      </c>
      <c r="R1975" s="1">
        <v>3</v>
      </c>
      <c r="S1975" s="1" t="s">
        <v>31</v>
      </c>
      <c r="T1975" s="1" t="s">
        <v>33</v>
      </c>
      <c r="U1975" s="1">
        <v>2</v>
      </c>
      <c r="V1975" s="1">
        <v>72592</v>
      </c>
      <c r="W1975" s="7">
        <v>146.52000000000001</v>
      </c>
      <c r="X1975" s="1">
        <v>0.68</v>
      </c>
      <c r="Y1975" s="4">
        <v>45818</v>
      </c>
      <c r="Z1975" s="1" t="s">
        <v>32</v>
      </c>
      <c r="AA1975" s="1" t="s">
        <v>33</v>
      </c>
      <c r="AB1975" s="36" t="str" cm="1">
        <f t="array" ref="AB1975">_xlfn.IFS(K1975&gt;650,"LOW",K1975&gt;=550,"MEDIUM",K1975&lt;550,"HIGH")</f>
        <v>HIGH</v>
      </c>
    </row>
    <row r="1976" spans="3:28" x14ac:dyDescent="0.3">
      <c r="C1976" s="35" t="s">
        <v>3146</v>
      </c>
      <c r="D1976" s="1" t="s">
        <v>1171</v>
      </c>
      <c r="E1976" s="1">
        <v>27</v>
      </c>
      <c r="F1976" s="1" t="s">
        <v>26</v>
      </c>
      <c r="G1976" s="1" t="s">
        <v>27</v>
      </c>
      <c r="H1976" s="1" t="s">
        <v>36</v>
      </c>
      <c r="I1976" s="1" t="s">
        <v>57</v>
      </c>
      <c r="J1976" s="7">
        <v>103096</v>
      </c>
      <c r="K1976" s="1">
        <v>310</v>
      </c>
      <c r="L1976" s="7">
        <v>32098</v>
      </c>
      <c r="M1976" s="1">
        <v>48</v>
      </c>
      <c r="N1976" s="6">
        <v>0.1105</v>
      </c>
      <c r="O1976" s="1" t="s">
        <v>46</v>
      </c>
      <c r="P1976" s="1" t="s">
        <v>30</v>
      </c>
      <c r="Q1976" s="1">
        <v>22</v>
      </c>
      <c r="R1976" s="1">
        <v>1</v>
      </c>
      <c r="S1976" s="1" t="s">
        <v>33</v>
      </c>
      <c r="T1976" s="1" t="s">
        <v>33</v>
      </c>
      <c r="U1976" s="1">
        <v>2</v>
      </c>
      <c r="V1976" s="1">
        <v>12135</v>
      </c>
      <c r="W1976" s="7">
        <v>873.91</v>
      </c>
      <c r="X1976" s="1">
        <v>0.66</v>
      </c>
      <c r="Y1976" s="4">
        <v>44139</v>
      </c>
      <c r="Z1976" s="1" t="s">
        <v>32</v>
      </c>
      <c r="AA1976" s="1" t="s">
        <v>33</v>
      </c>
      <c r="AB1976" s="36" t="str" cm="1">
        <f t="array" ref="AB1976">_xlfn.IFS(K1976&gt;650,"LOW",K1976&gt;=550,"MEDIUM",K1976&lt;550,"HIGH")</f>
        <v>HIGH</v>
      </c>
    </row>
    <row r="1977" spans="3:28" x14ac:dyDescent="0.3">
      <c r="C1977" s="35" t="s">
        <v>2077</v>
      </c>
      <c r="D1977" s="1" t="s">
        <v>108</v>
      </c>
      <c r="E1977" s="1">
        <v>60</v>
      </c>
      <c r="F1977" s="1" t="s">
        <v>44</v>
      </c>
      <c r="G1977" s="1" t="s">
        <v>27</v>
      </c>
      <c r="H1977" s="1" t="s">
        <v>61</v>
      </c>
      <c r="I1977" s="1" t="s">
        <v>29</v>
      </c>
      <c r="J1977" s="7">
        <v>107985</v>
      </c>
      <c r="K1977" s="1">
        <v>309</v>
      </c>
      <c r="L1977" s="7">
        <v>44039</v>
      </c>
      <c r="M1977" s="1">
        <v>60</v>
      </c>
      <c r="N1977" s="6">
        <v>6.7599999999999993E-2</v>
      </c>
      <c r="O1977" s="1" t="s">
        <v>5</v>
      </c>
      <c r="P1977" s="1" t="s">
        <v>30</v>
      </c>
      <c r="Q1977" s="1">
        <v>19</v>
      </c>
      <c r="R1977" s="1">
        <v>2</v>
      </c>
      <c r="S1977" s="1" t="s">
        <v>33</v>
      </c>
      <c r="T1977" s="1" t="s">
        <v>33</v>
      </c>
      <c r="U1977" s="1">
        <v>4</v>
      </c>
      <c r="V1977" s="1">
        <v>172469</v>
      </c>
      <c r="W1977" s="7">
        <v>216.87</v>
      </c>
      <c r="X1977" s="1">
        <v>0.43</v>
      </c>
      <c r="Y1977" s="4">
        <v>44422</v>
      </c>
      <c r="Z1977" s="1" t="s">
        <v>38</v>
      </c>
      <c r="AA1977" s="1" t="s">
        <v>33</v>
      </c>
      <c r="AB1977" s="36" t="str" cm="1">
        <f t="array" ref="AB1977">_xlfn.IFS(K1977&gt;650,"LOW",K1977&gt;=550,"MEDIUM",K1977&lt;550,"HIGH")</f>
        <v>HIGH</v>
      </c>
    </row>
    <row r="1978" spans="3:28" x14ac:dyDescent="0.3">
      <c r="C1978" s="35" t="s">
        <v>2551</v>
      </c>
      <c r="D1978" s="1" t="s">
        <v>581</v>
      </c>
      <c r="E1978" s="1">
        <v>45</v>
      </c>
      <c r="F1978" s="1" t="s">
        <v>44</v>
      </c>
      <c r="G1978" s="1" t="s">
        <v>27</v>
      </c>
      <c r="H1978" s="1" t="s">
        <v>61</v>
      </c>
      <c r="I1978" s="1" t="s">
        <v>59</v>
      </c>
      <c r="J1978" s="7">
        <v>51629</v>
      </c>
      <c r="K1978" s="1">
        <v>309</v>
      </c>
      <c r="L1978" s="7">
        <v>46028</v>
      </c>
      <c r="M1978" s="1">
        <v>48</v>
      </c>
      <c r="N1978" s="6">
        <v>6.9500000000000006E-2</v>
      </c>
      <c r="O1978" s="1" t="s">
        <v>63</v>
      </c>
      <c r="P1978" s="1" t="s">
        <v>47</v>
      </c>
      <c r="Q1978" s="1">
        <v>26</v>
      </c>
      <c r="R1978" s="1">
        <v>3</v>
      </c>
      <c r="S1978" s="1" t="s">
        <v>33</v>
      </c>
      <c r="T1978" s="1" t="s">
        <v>31</v>
      </c>
      <c r="U1978" s="1">
        <v>0</v>
      </c>
      <c r="V1978" s="1">
        <v>46887</v>
      </c>
      <c r="W1978" s="7">
        <v>459.74</v>
      </c>
      <c r="X1978" s="1">
        <v>0.82</v>
      </c>
      <c r="Y1978" s="4">
        <v>45239</v>
      </c>
      <c r="Z1978" s="1" t="s">
        <v>32</v>
      </c>
      <c r="AA1978" s="1" t="s">
        <v>33</v>
      </c>
      <c r="AB1978" s="36" t="str" cm="1">
        <f t="array" ref="AB1978">_xlfn.IFS(K1978&gt;650,"LOW",K1978&gt;=550,"MEDIUM",K1978&lt;550,"HIGH")</f>
        <v>HIGH</v>
      </c>
    </row>
    <row r="1979" spans="3:28" x14ac:dyDescent="0.3">
      <c r="C1979" s="35" t="s">
        <v>2810</v>
      </c>
      <c r="D1979" s="1" t="s">
        <v>838</v>
      </c>
      <c r="E1979" s="1">
        <v>39</v>
      </c>
      <c r="F1979" s="1" t="s">
        <v>26</v>
      </c>
      <c r="G1979" s="1" t="s">
        <v>35</v>
      </c>
      <c r="H1979" s="1" t="s">
        <v>28</v>
      </c>
      <c r="I1979" s="1" t="s">
        <v>59</v>
      </c>
      <c r="J1979" s="7">
        <v>96448</v>
      </c>
      <c r="K1979" s="1">
        <v>309</v>
      </c>
      <c r="L1979" s="7">
        <v>40896</v>
      </c>
      <c r="M1979" s="1">
        <v>48</v>
      </c>
      <c r="N1979" s="6">
        <v>0.17559999999999998</v>
      </c>
      <c r="O1979" s="1" t="s">
        <v>5</v>
      </c>
      <c r="P1979" s="1" t="s">
        <v>47</v>
      </c>
      <c r="Q1979" s="1">
        <v>15</v>
      </c>
      <c r="R1979" s="1">
        <v>4</v>
      </c>
      <c r="S1979" s="1" t="s">
        <v>31</v>
      </c>
      <c r="T1979" s="1" t="s">
        <v>33</v>
      </c>
      <c r="U1979" s="1">
        <v>4</v>
      </c>
      <c r="V1979" s="1">
        <v>199079</v>
      </c>
      <c r="W1979" s="7">
        <v>464.98</v>
      </c>
      <c r="X1979" s="1">
        <v>0.81</v>
      </c>
      <c r="Y1979" s="4">
        <v>44946</v>
      </c>
      <c r="Z1979" s="1" t="s">
        <v>32</v>
      </c>
      <c r="AA1979" s="1" t="s">
        <v>33</v>
      </c>
      <c r="AB1979" s="36" t="str" cm="1">
        <f t="array" ref="AB1979">_xlfn.IFS(K1979&gt;650,"LOW",K1979&gt;=550,"MEDIUM",K1979&lt;550,"HIGH")</f>
        <v>HIGH</v>
      </c>
    </row>
    <row r="1980" spans="3:28" x14ac:dyDescent="0.3">
      <c r="C1980" s="35" t="s">
        <v>3155</v>
      </c>
      <c r="D1980" s="1" t="s">
        <v>1179</v>
      </c>
      <c r="E1980" s="1">
        <v>21</v>
      </c>
      <c r="F1980" s="1" t="s">
        <v>26</v>
      </c>
      <c r="G1980" s="1" t="s">
        <v>27</v>
      </c>
      <c r="H1980" s="1" t="s">
        <v>54</v>
      </c>
      <c r="I1980" s="1" t="s">
        <v>59</v>
      </c>
      <c r="J1980" s="7">
        <v>24700</v>
      </c>
      <c r="K1980" s="1">
        <v>309</v>
      </c>
      <c r="L1980" s="7">
        <v>19660</v>
      </c>
      <c r="M1980" s="1">
        <v>60</v>
      </c>
      <c r="N1980" s="6">
        <v>0.14499999999999999</v>
      </c>
      <c r="O1980" s="1" t="s">
        <v>37</v>
      </c>
      <c r="P1980" s="1" t="s">
        <v>50</v>
      </c>
      <c r="Q1980" s="1">
        <v>5</v>
      </c>
      <c r="R1980" s="1">
        <v>3</v>
      </c>
      <c r="S1980" s="1" t="s">
        <v>31</v>
      </c>
      <c r="T1980" s="1" t="s">
        <v>31</v>
      </c>
      <c r="U1980" s="1">
        <v>0</v>
      </c>
      <c r="V1980" s="1">
        <v>5722</v>
      </c>
      <c r="W1980" s="7">
        <v>1579.95</v>
      </c>
      <c r="X1980" s="1">
        <v>0.16</v>
      </c>
      <c r="Y1980" s="4">
        <v>45779</v>
      </c>
      <c r="Z1980" s="1" t="s">
        <v>38</v>
      </c>
      <c r="AA1980" s="1" t="s">
        <v>31</v>
      </c>
      <c r="AB1980" s="36" t="str" cm="1">
        <f t="array" ref="AB1980">_xlfn.IFS(K1980&gt;650,"LOW",K1980&gt;=550,"MEDIUM",K1980&lt;550,"HIGH")</f>
        <v>HIGH</v>
      </c>
    </row>
    <row r="1981" spans="3:28" x14ac:dyDescent="0.3">
      <c r="C1981" s="35" t="s">
        <v>3813</v>
      </c>
      <c r="D1981" s="1" t="s">
        <v>1819</v>
      </c>
      <c r="E1981" s="1">
        <v>49</v>
      </c>
      <c r="F1981" s="1" t="s">
        <v>26</v>
      </c>
      <c r="G1981" s="1" t="s">
        <v>35</v>
      </c>
      <c r="H1981" s="1" t="s">
        <v>61</v>
      </c>
      <c r="I1981" s="1" t="s">
        <v>29</v>
      </c>
      <c r="J1981" s="7">
        <v>123903</v>
      </c>
      <c r="K1981" s="1">
        <v>309</v>
      </c>
      <c r="L1981" s="7">
        <v>39244</v>
      </c>
      <c r="M1981" s="1">
        <v>60</v>
      </c>
      <c r="N1981" s="6">
        <v>0.14400000000000002</v>
      </c>
      <c r="O1981" s="1" t="s">
        <v>37</v>
      </c>
      <c r="P1981" s="1" t="s">
        <v>30</v>
      </c>
      <c r="Q1981" s="1">
        <v>12</v>
      </c>
      <c r="R1981" s="1">
        <v>4</v>
      </c>
      <c r="S1981" s="1" t="s">
        <v>33</v>
      </c>
      <c r="T1981" s="1" t="s">
        <v>31</v>
      </c>
      <c r="U1981" s="1">
        <v>4</v>
      </c>
      <c r="V1981" s="1">
        <v>3941</v>
      </c>
      <c r="W1981" s="7">
        <v>1516.91</v>
      </c>
      <c r="X1981" s="1">
        <v>0.81</v>
      </c>
      <c r="Y1981" s="4">
        <v>45005</v>
      </c>
      <c r="Z1981" s="1" t="s">
        <v>38</v>
      </c>
      <c r="AA1981" s="1" t="s">
        <v>33</v>
      </c>
      <c r="AB1981" s="36" t="str" cm="1">
        <f t="array" ref="AB1981">_xlfn.IFS(K1981&gt;650,"LOW",K1981&gt;=550,"MEDIUM",K1981&lt;550,"HIGH")</f>
        <v>HIGH</v>
      </c>
    </row>
    <row r="1982" spans="3:28" x14ac:dyDescent="0.3">
      <c r="C1982" s="35" t="s">
        <v>2298</v>
      </c>
      <c r="D1982" s="1" t="s">
        <v>329</v>
      </c>
      <c r="E1982" s="1">
        <v>55</v>
      </c>
      <c r="F1982" s="1" t="s">
        <v>26</v>
      </c>
      <c r="G1982" s="1" t="s">
        <v>56</v>
      </c>
      <c r="H1982" s="1" t="s">
        <v>61</v>
      </c>
      <c r="I1982" s="1" t="s">
        <v>29</v>
      </c>
      <c r="J1982" s="7">
        <v>100703</v>
      </c>
      <c r="K1982" s="1">
        <v>308</v>
      </c>
      <c r="L1982" s="7">
        <v>5656</v>
      </c>
      <c r="M1982" s="1">
        <v>36</v>
      </c>
      <c r="N1982" s="6">
        <v>0.18379999999999999</v>
      </c>
      <c r="O1982" s="1" t="s">
        <v>5</v>
      </c>
      <c r="P1982" s="1" t="s">
        <v>47</v>
      </c>
      <c r="Q1982" s="1">
        <v>28</v>
      </c>
      <c r="R1982" s="1">
        <v>1</v>
      </c>
      <c r="S1982" s="1" t="s">
        <v>31</v>
      </c>
      <c r="T1982" s="1" t="s">
        <v>31</v>
      </c>
      <c r="U1982" s="1">
        <v>4</v>
      </c>
      <c r="V1982" s="1">
        <v>35314</v>
      </c>
      <c r="W1982" s="7">
        <v>161.12</v>
      </c>
      <c r="X1982" s="1">
        <v>0.18</v>
      </c>
      <c r="Y1982" s="4">
        <v>44840</v>
      </c>
      <c r="Z1982" s="1" t="s">
        <v>38</v>
      </c>
      <c r="AA1982" s="1" t="s">
        <v>33</v>
      </c>
      <c r="AB1982" s="36" t="str" cm="1">
        <f t="array" ref="AB1982">_xlfn.IFS(K1982&gt;650,"LOW",K1982&gt;=550,"MEDIUM",K1982&lt;550,"HIGH")</f>
        <v>HIGH</v>
      </c>
    </row>
    <row r="1983" spans="3:28" x14ac:dyDescent="0.3">
      <c r="C1983" s="35" t="s">
        <v>2574</v>
      </c>
      <c r="D1983" s="1" t="s">
        <v>604</v>
      </c>
      <c r="E1983" s="1">
        <v>36</v>
      </c>
      <c r="F1983" s="1" t="s">
        <v>26</v>
      </c>
      <c r="G1983" s="1" t="s">
        <v>35</v>
      </c>
      <c r="H1983" s="1" t="s">
        <v>28</v>
      </c>
      <c r="I1983" s="1" t="s">
        <v>29</v>
      </c>
      <c r="J1983" s="7">
        <v>109846</v>
      </c>
      <c r="K1983" s="1">
        <v>308</v>
      </c>
      <c r="L1983" s="7">
        <v>30348</v>
      </c>
      <c r="M1983" s="1">
        <v>60</v>
      </c>
      <c r="N1983" s="6">
        <v>0.15570000000000001</v>
      </c>
      <c r="O1983" s="1" t="s">
        <v>52</v>
      </c>
      <c r="P1983" s="1" t="s">
        <v>30</v>
      </c>
      <c r="Q1983" s="1">
        <v>4</v>
      </c>
      <c r="R1983" s="1">
        <v>2</v>
      </c>
      <c r="S1983" s="1" t="s">
        <v>31</v>
      </c>
      <c r="T1983" s="1" t="s">
        <v>33</v>
      </c>
      <c r="U1983" s="1">
        <v>4</v>
      </c>
      <c r="V1983" s="1">
        <v>163301</v>
      </c>
      <c r="W1983" s="7">
        <v>638.17999999999995</v>
      </c>
      <c r="X1983" s="1">
        <v>0.75</v>
      </c>
      <c r="Y1983" s="4">
        <v>45627</v>
      </c>
      <c r="Z1983" s="1" t="s">
        <v>32</v>
      </c>
      <c r="AA1983" s="1" t="s">
        <v>33</v>
      </c>
      <c r="AB1983" s="36" t="str" cm="1">
        <f t="array" ref="AB1983">_xlfn.IFS(K1983&gt;650,"LOW",K1983&gt;=550,"MEDIUM",K1983&lt;550,"HIGH")</f>
        <v>HIGH</v>
      </c>
    </row>
    <row r="1984" spans="3:28" x14ac:dyDescent="0.3">
      <c r="C1984" s="35" t="s">
        <v>3166</v>
      </c>
      <c r="D1984" s="1" t="s">
        <v>1190</v>
      </c>
      <c r="E1984" s="1">
        <v>36</v>
      </c>
      <c r="F1984" s="1" t="s">
        <v>26</v>
      </c>
      <c r="G1984" s="1" t="s">
        <v>35</v>
      </c>
      <c r="H1984" s="1" t="s">
        <v>36</v>
      </c>
      <c r="I1984" s="1" t="s">
        <v>57</v>
      </c>
      <c r="J1984" s="7">
        <v>79117</v>
      </c>
      <c r="K1984" s="1">
        <v>308</v>
      </c>
      <c r="L1984" s="7">
        <v>10630</v>
      </c>
      <c r="M1984" s="1">
        <v>24</v>
      </c>
      <c r="N1984" s="6">
        <v>9.9600000000000008E-2</v>
      </c>
      <c r="O1984" s="1" t="s">
        <v>5</v>
      </c>
      <c r="P1984" s="1" t="s">
        <v>30</v>
      </c>
      <c r="Q1984" s="1">
        <v>8</v>
      </c>
      <c r="R1984" s="1">
        <v>3</v>
      </c>
      <c r="S1984" s="1" t="s">
        <v>31</v>
      </c>
      <c r="T1984" s="1" t="s">
        <v>31</v>
      </c>
      <c r="U1984" s="1">
        <v>1</v>
      </c>
      <c r="V1984" s="1">
        <v>60576</v>
      </c>
      <c r="W1984" s="7">
        <v>297.75</v>
      </c>
      <c r="X1984" s="1">
        <v>0.64</v>
      </c>
      <c r="Y1984" s="4">
        <v>44415</v>
      </c>
      <c r="Z1984" s="1" t="s">
        <v>32</v>
      </c>
      <c r="AA1984" s="1" t="s">
        <v>33</v>
      </c>
      <c r="AB1984" s="36" t="str" cm="1">
        <f t="array" ref="AB1984">_xlfn.IFS(K1984&gt;650,"LOW",K1984&gt;=550,"MEDIUM",K1984&lt;550,"HIGH")</f>
        <v>HIGH</v>
      </c>
    </row>
    <row r="1985" spans="3:28" x14ac:dyDescent="0.3">
      <c r="C1985" s="35" t="s">
        <v>3303</v>
      </c>
      <c r="D1985" s="1" t="s">
        <v>1326</v>
      </c>
      <c r="E1985" s="1">
        <v>48</v>
      </c>
      <c r="F1985" s="1" t="s">
        <v>26</v>
      </c>
      <c r="G1985" s="1" t="s">
        <v>56</v>
      </c>
      <c r="H1985" s="1" t="s">
        <v>28</v>
      </c>
      <c r="I1985" s="1" t="s">
        <v>57</v>
      </c>
      <c r="J1985" s="7">
        <v>98422</v>
      </c>
      <c r="K1985" s="1">
        <v>308</v>
      </c>
      <c r="L1985" s="7">
        <v>16919</v>
      </c>
      <c r="M1985" s="1">
        <v>12</v>
      </c>
      <c r="N1985" s="6">
        <v>0.17929999999999999</v>
      </c>
      <c r="O1985" s="1" t="s">
        <v>37</v>
      </c>
      <c r="P1985" s="1" t="s">
        <v>30</v>
      </c>
      <c r="Q1985" s="1">
        <v>17</v>
      </c>
      <c r="R1985" s="1">
        <v>2</v>
      </c>
      <c r="S1985" s="1" t="s">
        <v>33</v>
      </c>
      <c r="T1985" s="1" t="s">
        <v>33</v>
      </c>
      <c r="U1985" s="1">
        <v>4</v>
      </c>
      <c r="V1985" s="1">
        <v>103276</v>
      </c>
      <c r="W1985" s="7">
        <v>680.39</v>
      </c>
      <c r="X1985" s="1">
        <v>0.26</v>
      </c>
      <c r="Y1985" s="4">
        <v>44812</v>
      </c>
      <c r="Z1985" s="1" t="s">
        <v>38</v>
      </c>
      <c r="AA1985" s="1" t="s">
        <v>31</v>
      </c>
      <c r="AB1985" s="36" t="str" cm="1">
        <f t="array" ref="AB1985">_xlfn.IFS(K1985&gt;650,"LOW",K1985&gt;=550,"MEDIUM",K1985&lt;550,"HIGH")</f>
        <v>HIGH</v>
      </c>
    </row>
    <row r="1986" spans="3:28" x14ac:dyDescent="0.3">
      <c r="C1986" s="35" t="s">
        <v>3169</v>
      </c>
      <c r="D1986" s="1" t="s">
        <v>1193</v>
      </c>
      <c r="E1986" s="1">
        <v>38</v>
      </c>
      <c r="F1986" s="1" t="s">
        <v>44</v>
      </c>
      <c r="G1986" s="1" t="s">
        <v>35</v>
      </c>
      <c r="H1986" s="1" t="s">
        <v>36</v>
      </c>
      <c r="I1986" s="1" t="s">
        <v>59</v>
      </c>
      <c r="J1986" s="7">
        <v>101383</v>
      </c>
      <c r="K1986" s="1">
        <v>307</v>
      </c>
      <c r="L1986" s="7">
        <v>42168</v>
      </c>
      <c r="M1986" s="1">
        <v>60</v>
      </c>
      <c r="N1986" s="6">
        <v>0.1348</v>
      </c>
      <c r="O1986" s="1" t="s">
        <v>41</v>
      </c>
      <c r="P1986" s="1" t="s">
        <v>50</v>
      </c>
      <c r="Q1986" s="1">
        <v>15</v>
      </c>
      <c r="R1986" s="1">
        <v>0</v>
      </c>
      <c r="S1986" s="1" t="s">
        <v>33</v>
      </c>
      <c r="T1986" s="1" t="s">
        <v>33</v>
      </c>
      <c r="U1986" s="1">
        <v>0</v>
      </c>
      <c r="V1986" s="1">
        <v>42231</v>
      </c>
      <c r="W1986" s="7">
        <v>1660.67</v>
      </c>
      <c r="X1986" s="1">
        <v>0.84</v>
      </c>
      <c r="Y1986" s="4">
        <v>45705</v>
      </c>
      <c r="Z1986" s="1" t="s">
        <v>32</v>
      </c>
      <c r="AA1986" s="1" t="s">
        <v>33</v>
      </c>
      <c r="AB1986" s="36" t="str" cm="1">
        <f t="array" ref="AB1986">_xlfn.IFS(K1986&gt;650,"LOW",K1986&gt;=550,"MEDIUM",K1986&lt;550,"HIGH")</f>
        <v>HIGH</v>
      </c>
    </row>
    <row r="1987" spans="3:28" x14ac:dyDescent="0.3">
      <c r="C1987" s="35" t="s">
        <v>3594</v>
      </c>
      <c r="D1987" s="1" t="s">
        <v>1608</v>
      </c>
      <c r="E1987" s="1">
        <v>47</v>
      </c>
      <c r="F1987" s="1" t="s">
        <v>44</v>
      </c>
      <c r="G1987" s="1" t="s">
        <v>27</v>
      </c>
      <c r="H1987" s="1" t="s">
        <v>54</v>
      </c>
      <c r="I1987" s="1" t="s">
        <v>29</v>
      </c>
      <c r="J1987" s="7">
        <v>36619</v>
      </c>
      <c r="K1987" s="1">
        <v>307</v>
      </c>
      <c r="L1987" s="7">
        <v>37373</v>
      </c>
      <c r="M1987" s="1">
        <v>48</v>
      </c>
      <c r="N1987" s="6">
        <v>0.13550000000000001</v>
      </c>
      <c r="O1987" s="1" t="s">
        <v>63</v>
      </c>
      <c r="P1987" s="1" t="s">
        <v>30</v>
      </c>
      <c r="Q1987" s="1">
        <v>2</v>
      </c>
      <c r="R1987" s="1">
        <v>3</v>
      </c>
      <c r="S1987" s="1" t="s">
        <v>31</v>
      </c>
      <c r="T1987" s="1" t="s">
        <v>33</v>
      </c>
      <c r="U1987" s="1">
        <v>4</v>
      </c>
      <c r="V1987" s="1">
        <v>10747</v>
      </c>
      <c r="W1987" s="7">
        <v>194.7</v>
      </c>
      <c r="X1987" s="1">
        <v>0.47</v>
      </c>
      <c r="Y1987" s="4">
        <v>45601</v>
      </c>
      <c r="Z1987" s="1" t="s">
        <v>32</v>
      </c>
      <c r="AA1987" s="1" t="s">
        <v>31</v>
      </c>
      <c r="AB1987" s="36" t="str" cm="1">
        <f t="array" ref="AB1987">_xlfn.IFS(K1987&gt;650,"LOW",K1987&gt;=550,"MEDIUM",K1987&lt;550,"HIGH")</f>
        <v>HIGH</v>
      </c>
    </row>
    <row r="1988" spans="3:28" x14ac:dyDescent="0.3">
      <c r="C1988" s="35" t="s">
        <v>3799</v>
      </c>
      <c r="D1988" s="1" t="s">
        <v>1805</v>
      </c>
      <c r="E1988" s="1">
        <v>23</v>
      </c>
      <c r="F1988" s="1" t="s">
        <v>26</v>
      </c>
      <c r="G1988" s="1" t="s">
        <v>27</v>
      </c>
      <c r="H1988" s="1" t="s">
        <v>61</v>
      </c>
      <c r="I1988" s="1" t="s">
        <v>29</v>
      </c>
      <c r="J1988" s="7">
        <v>91545</v>
      </c>
      <c r="K1988" s="1">
        <v>307</v>
      </c>
      <c r="L1988" s="7">
        <v>27499</v>
      </c>
      <c r="M1988" s="1">
        <v>60</v>
      </c>
      <c r="N1988" s="6">
        <v>8.0799999999999997E-2</v>
      </c>
      <c r="O1988" s="1" t="s">
        <v>37</v>
      </c>
      <c r="P1988" s="1" t="s">
        <v>50</v>
      </c>
      <c r="Q1988" s="1">
        <v>25</v>
      </c>
      <c r="R1988" s="1">
        <v>4</v>
      </c>
      <c r="S1988" s="1" t="s">
        <v>33</v>
      </c>
      <c r="T1988" s="1" t="s">
        <v>31</v>
      </c>
      <c r="U1988" s="1">
        <v>4</v>
      </c>
      <c r="V1988" s="1">
        <v>178042</v>
      </c>
      <c r="W1988" s="7">
        <v>557.85</v>
      </c>
      <c r="X1988" s="1">
        <v>0.57999999999999996</v>
      </c>
      <c r="Y1988" s="4">
        <v>44958</v>
      </c>
      <c r="Z1988" s="1" t="s">
        <v>32</v>
      </c>
      <c r="AA1988" s="1" t="s">
        <v>33</v>
      </c>
      <c r="AB1988" s="36" t="str" cm="1">
        <f t="array" ref="AB1988">_xlfn.IFS(K1988&gt;650,"LOW",K1988&gt;=550,"MEDIUM",K1988&lt;550,"HIGH")</f>
        <v>HIGH</v>
      </c>
    </row>
    <row r="1989" spans="3:28" x14ac:dyDescent="0.3">
      <c r="C1989" s="35" t="s">
        <v>2257</v>
      </c>
      <c r="D1989" s="1" t="s">
        <v>288</v>
      </c>
      <c r="E1989" s="1">
        <v>53</v>
      </c>
      <c r="F1989" s="1" t="s">
        <v>44</v>
      </c>
      <c r="G1989" s="1" t="s">
        <v>56</v>
      </c>
      <c r="H1989" s="1" t="s">
        <v>54</v>
      </c>
      <c r="I1989" s="1" t="s">
        <v>59</v>
      </c>
      <c r="J1989" s="7">
        <v>64377</v>
      </c>
      <c r="K1989" s="1">
        <v>306</v>
      </c>
      <c r="L1989" s="7">
        <v>7718</v>
      </c>
      <c r="M1989" s="1">
        <v>60</v>
      </c>
      <c r="N1989" s="6">
        <v>0.1729</v>
      </c>
      <c r="O1989" s="1" t="s">
        <v>52</v>
      </c>
      <c r="P1989" s="1" t="s">
        <v>30</v>
      </c>
      <c r="Q1989" s="1">
        <v>19</v>
      </c>
      <c r="R1989" s="1">
        <v>1</v>
      </c>
      <c r="S1989" s="1" t="s">
        <v>33</v>
      </c>
      <c r="T1989" s="1" t="s">
        <v>33</v>
      </c>
      <c r="U1989" s="1">
        <v>2</v>
      </c>
      <c r="V1989" s="1">
        <v>15573</v>
      </c>
      <c r="W1989" s="7">
        <v>132.29</v>
      </c>
      <c r="X1989" s="1">
        <v>0.13</v>
      </c>
      <c r="Y1989" s="4">
        <v>44327</v>
      </c>
      <c r="Z1989" s="1" t="s">
        <v>38</v>
      </c>
      <c r="AA1989" s="1" t="s">
        <v>33</v>
      </c>
      <c r="AB1989" s="36" t="str" cm="1">
        <f t="array" ref="AB1989">_xlfn.IFS(K1989&gt;650,"LOW",K1989&gt;=550,"MEDIUM",K1989&lt;550,"HIGH")</f>
        <v>HIGH</v>
      </c>
    </row>
    <row r="1990" spans="3:28" x14ac:dyDescent="0.3">
      <c r="C1990" s="35" t="s">
        <v>2959</v>
      </c>
      <c r="D1990" s="1" t="s">
        <v>987</v>
      </c>
      <c r="E1990" s="1">
        <v>21</v>
      </c>
      <c r="F1990" s="1" t="s">
        <v>26</v>
      </c>
      <c r="G1990" s="1" t="s">
        <v>27</v>
      </c>
      <c r="H1990" s="1" t="s">
        <v>28</v>
      </c>
      <c r="I1990" s="1" t="s">
        <v>57</v>
      </c>
      <c r="J1990" s="7">
        <v>78701</v>
      </c>
      <c r="K1990" s="1">
        <v>306</v>
      </c>
      <c r="L1990" s="7">
        <v>4535</v>
      </c>
      <c r="M1990" s="1">
        <v>24</v>
      </c>
      <c r="N1990" s="6">
        <v>5.1200000000000002E-2</v>
      </c>
      <c r="O1990" s="1" t="s">
        <v>63</v>
      </c>
      <c r="P1990" s="1" t="s">
        <v>47</v>
      </c>
      <c r="Q1990" s="1">
        <v>3</v>
      </c>
      <c r="R1990" s="1">
        <v>1</v>
      </c>
      <c r="S1990" s="1" t="s">
        <v>33</v>
      </c>
      <c r="T1990" s="1" t="s">
        <v>33</v>
      </c>
      <c r="U1990" s="1">
        <v>0</v>
      </c>
      <c r="V1990" s="1">
        <v>88215</v>
      </c>
      <c r="W1990" s="7">
        <v>1254.24</v>
      </c>
      <c r="X1990" s="1">
        <v>0.59</v>
      </c>
      <c r="Y1990" s="4">
        <v>45354</v>
      </c>
      <c r="Z1990" s="1" t="s">
        <v>32</v>
      </c>
      <c r="AA1990" s="1" t="s">
        <v>33</v>
      </c>
      <c r="AB1990" s="36" t="str" cm="1">
        <f t="array" ref="AB1990">_xlfn.IFS(K1990&gt;650,"LOW",K1990&gt;=550,"MEDIUM",K1990&lt;550,"HIGH")</f>
        <v>HIGH</v>
      </c>
    </row>
    <row r="1991" spans="3:28" x14ac:dyDescent="0.3">
      <c r="C1991" s="35" t="s">
        <v>3241</v>
      </c>
      <c r="D1991" s="1" t="s">
        <v>1265</v>
      </c>
      <c r="E1991" s="1">
        <v>57</v>
      </c>
      <c r="F1991" s="1" t="s">
        <v>26</v>
      </c>
      <c r="G1991" s="1" t="s">
        <v>27</v>
      </c>
      <c r="H1991" s="1" t="s">
        <v>61</v>
      </c>
      <c r="I1991" s="1" t="s">
        <v>29</v>
      </c>
      <c r="J1991" s="7">
        <v>113102</v>
      </c>
      <c r="K1991" s="1">
        <v>306</v>
      </c>
      <c r="L1991" s="7">
        <v>38570</v>
      </c>
      <c r="M1991" s="1">
        <v>24</v>
      </c>
      <c r="N1991" s="6">
        <v>0.10779999999999999</v>
      </c>
      <c r="O1991" s="1" t="s">
        <v>46</v>
      </c>
      <c r="P1991" s="1" t="s">
        <v>30</v>
      </c>
      <c r="Q1991" s="1">
        <v>21</v>
      </c>
      <c r="R1991" s="1">
        <v>0</v>
      </c>
      <c r="S1991" s="1" t="s">
        <v>33</v>
      </c>
      <c r="T1991" s="1" t="s">
        <v>33</v>
      </c>
      <c r="U1991" s="1">
        <v>4</v>
      </c>
      <c r="V1991" s="1">
        <v>161523</v>
      </c>
      <c r="W1991" s="7">
        <v>841.38</v>
      </c>
      <c r="X1991" s="1">
        <v>0.21</v>
      </c>
      <c r="Y1991" s="4">
        <v>44799</v>
      </c>
      <c r="Z1991" s="1" t="s">
        <v>32</v>
      </c>
      <c r="AA1991" s="1" t="s">
        <v>33</v>
      </c>
      <c r="AB1991" s="36" t="str" cm="1">
        <f t="array" ref="AB1991">_xlfn.IFS(K1991&gt;650,"LOW",K1991&gt;=550,"MEDIUM",K1991&lt;550,"HIGH")</f>
        <v>HIGH</v>
      </c>
    </row>
    <row r="1992" spans="3:28" x14ac:dyDescent="0.3">
      <c r="C1992" s="35" t="s">
        <v>2093</v>
      </c>
      <c r="D1992" s="1" t="s">
        <v>124</v>
      </c>
      <c r="E1992" s="1">
        <v>28</v>
      </c>
      <c r="F1992" s="1" t="s">
        <v>44</v>
      </c>
      <c r="G1992" s="1" t="s">
        <v>56</v>
      </c>
      <c r="H1992" s="1" t="s">
        <v>36</v>
      </c>
      <c r="I1992" s="1" t="s">
        <v>57</v>
      </c>
      <c r="J1992" s="7">
        <v>39073</v>
      </c>
      <c r="K1992" s="1">
        <v>305</v>
      </c>
      <c r="L1992" s="7">
        <v>31953</v>
      </c>
      <c r="M1992" s="1">
        <v>12</v>
      </c>
      <c r="N1992" s="6">
        <v>8.4600000000000009E-2</v>
      </c>
      <c r="O1992" s="1" t="s">
        <v>52</v>
      </c>
      <c r="P1992" s="1" t="s">
        <v>47</v>
      </c>
      <c r="Q1992" s="1">
        <v>21</v>
      </c>
      <c r="R1992" s="1">
        <v>1</v>
      </c>
      <c r="S1992" s="1" t="s">
        <v>33</v>
      </c>
      <c r="T1992" s="1" t="s">
        <v>31</v>
      </c>
      <c r="U1992" s="1">
        <v>4</v>
      </c>
      <c r="V1992" s="1">
        <v>172220</v>
      </c>
      <c r="W1992" s="7">
        <v>1272.83</v>
      </c>
      <c r="X1992" s="1">
        <v>0.5</v>
      </c>
      <c r="Y1992" s="4">
        <v>44310</v>
      </c>
      <c r="Z1992" s="1" t="s">
        <v>32</v>
      </c>
      <c r="AA1992" s="1" t="s">
        <v>33</v>
      </c>
      <c r="AB1992" s="36" t="str" cm="1">
        <f t="array" ref="AB1992">_xlfn.IFS(K1992&gt;650,"LOW",K1992&gt;=550,"MEDIUM",K1992&lt;550,"HIGH")</f>
        <v>HIGH</v>
      </c>
    </row>
    <row r="1993" spans="3:28" x14ac:dyDescent="0.3">
      <c r="C1993" s="35" t="s">
        <v>2792</v>
      </c>
      <c r="D1993" s="1" t="s">
        <v>820</v>
      </c>
      <c r="E1993" s="1">
        <v>63</v>
      </c>
      <c r="F1993" s="1" t="s">
        <v>44</v>
      </c>
      <c r="G1993" s="1" t="s">
        <v>56</v>
      </c>
      <c r="H1993" s="1" t="s">
        <v>54</v>
      </c>
      <c r="I1993" s="1" t="s">
        <v>57</v>
      </c>
      <c r="J1993" s="7">
        <v>24886</v>
      </c>
      <c r="K1993" s="1">
        <v>305</v>
      </c>
      <c r="L1993" s="7">
        <v>5861</v>
      </c>
      <c r="M1993" s="1">
        <v>12</v>
      </c>
      <c r="N1993" s="6">
        <v>9.8599999999999993E-2</v>
      </c>
      <c r="O1993" s="1" t="s">
        <v>46</v>
      </c>
      <c r="P1993" s="1" t="s">
        <v>47</v>
      </c>
      <c r="Q1993" s="1">
        <v>20</v>
      </c>
      <c r="R1993" s="1">
        <v>4</v>
      </c>
      <c r="S1993" s="1" t="s">
        <v>33</v>
      </c>
      <c r="T1993" s="1" t="s">
        <v>33</v>
      </c>
      <c r="U1993" s="1">
        <v>2</v>
      </c>
      <c r="V1993" s="1">
        <v>87564</v>
      </c>
      <c r="W1993" s="7">
        <v>1963.68</v>
      </c>
      <c r="X1993" s="1">
        <v>0.46</v>
      </c>
      <c r="Y1993" s="4">
        <v>44398</v>
      </c>
      <c r="Z1993" s="1" t="s">
        <v>32</v>
      </c>
      <c r="AA1993" s="1" t="s">
        <v>33</v>
      </c>
      <c r="AB1993" s="36" t="str" cm="1">
        <f t="array" ref="AB1993">_xlfn.IFS(K1993&gt;650,"LOW",K1993&gt;=550,"MEDIUM",K1993&lt;550,"HIGH")</f>
        <v>HIGH</v>
      </c>
    </row>
    <row r="1994" spans="3:28" x14ac:dyDescent="0.3">
      <c r="C1994" s="35" t="s">
        <v>3923</v>
      </c>
      <c r="D1994" s="1" t="s">
        <v>1927</v>
      </c>
      <c r="E1994" s="1">
        <v>64</v>
      </c>
      <c r="F1994" s="1" t="s">
        <v>44</v>
      </c>
      <c r="G1994" s="1" t="s">
        <v>35</v>
      </c>
      <c r="H1994" s="1" t="s">
        <v>28</v>
      </c>
      <c r="I1994" s="1" t="s">
        <v>29</v>
      </c>
      <c r="J1994" s="7">
        <v>111655</v>
      </c>
      <c r="K1994" s="1">
        <v>304</v>
      </c>
      <c r="L1994" s="7">
        <v>37145</v>
      </c>
      <c r="M1994" s="1">
        <v>60</v>
      </c>
      <c r="N1994" s="6">
        <v>5.33E-2</v>
      </c>
      <c r="O1994" s="1" t="s">
        <v>41</v>
      </c>
      <c r="P1994" s="1" t="s">
        <v>50</v>
      </c>
      <c r="Q1994" s="1">
        <v>24</v>
      </c>
      <c r="R1994" s="1">
        <v>2</v>
      </c>
      <c r="S1994" s="1" t="s">
        <v>31</v>
      </c>
      <c r="T1994" s="1" t="s">
        <v>31</v>
      </c>
      <c r="U1994" s="1">
        <v>4</v>
      </c>
      <c r="V1994" s="1">
        <v>71092</v>
      </c>
      <c r="W1994" s="7">
        <v>791.78</v>
      </c>
      <c r="X1994" s="1">
        <v>0.16</v>
      </c>
      <c r="Y1994" s="4">
        <v>45336</v>
      </c>
      <c r="Z1994" s="1" t="s">
        <v>32</v>
      </c>
      <c r="AA1994" s="1" t="s">
        <v>33</v>
      </c>
      <c r="AB1994" s="36" t="str" cm="1">
        <f t="array" ref="AB1994">_xlfn.IFS(K1994&gt;650,"LOW",K1994&gt;=550,"MEDIUM",K1994&lt;550,"HIGH")</f>
        <v>HIGH</v>
      </c>
    </row>
    <row r="1995" spans="3:28" x14ac:dyDescent="0.3">
      <c r="C1995" s="35" t="s">
        <v>2469</v>
      </c>
      <c r="D1995" s="1" t="s">
        <v>499</v>
      </c>
      <c r="E1995" s="1">
        <v>43</v>
      </c>
      <c r="F1995" s="1" t="s">
        <v>44</v>
      </c>
      <c r="G1995" s="1" t="s">
        <v>45</v>
      </c>
      <c r="H1995" s="1" t="s">
        <v>28</v>
      </c>
      <c r="I1995" s="1" t="s">
        <v>59</v>
      </c>
      <c r="J1995" s="7">
        <v>149030</v>
      </c>
      <c r="K1995" s="1">
        <v>303</v>
      </c>
      <c r="L1995" s="7">
        <v>30410</v>
      </c>
      <c r="M1995" s="1">
        <v>24</v>
      </c>
      <c r="N1995" s="6">
        <v>0.19989999999999999</v>
      </c>
      <c r="O1995" s="1" t="s">
        <v>52</v>
      </c>
      <c r="P1995" s="1" t="s">
        <v>30</v>
      </c>
      <c r="Q1995" s="1">
        <v>29</v>
      </c>
      <c r="R1995" s="1">
        <v>0</v>
      </c>
      <c r="S1995" s="1" t="s">
        <v>33</v>
      </c>
      <c r="T1995" s="1" t="s">
        <v>31</v>
      </c>
      <c r="U1995" s="1">
        <v>1</v>
      </c>
      <c r="V1995" s="1">
        <v>21826</v>
      </c>
      <c r="W1995" s="7">
        <v>963.92</v>
      </c>
      <c r="X1995" s="1">
        <v>0.96</v>
      </c>
      <c r="Y1995" s="4">
        <v>45469</v>
      </c>
      <c r="Z1995" s="1" t="s">
        <v>32</v>
      </c>
      <c r="AA1995" s="1" t="s">
        <v>33</v>
      </c>
      <c r="AB1995" s="36" t="str" cm="1">
        <f t="array" ref="AB1995">_xlfn.IFS(K1995&gt;650,"LOW",K1995&gt;=550,"MEDIUM",K1995&lt;550,"HIGH")</f>
        <v>HIGH</v>
      </c>
    </row>
    <row r="1996" spans="3:28" x14ac:dyDescent="0.3">
      <c r="C1996" s="35" t="s">
        <v>3139</v>
      </c>
      <c r="D1996" s="1" t="s">
        <v>1164</v>
      </c>
      <c r="E1996" s="1">
        <v>53</v>
      </c>
      <c r="F1996" s="1" t="s">
        <v>26</v>
      </c>
      <c r="G1996" s="1" t="s">
        <v>45</v>
      </c>
      <c r="H1996" s="1" t="s">
        <v>61</v>
      </c>
      <c r="I1996" s="1" t="s">
        <v>29</v>
      </c>
      <c r="J1996" s="7">
        <v>107580</v>
      </c>
      <c r="K1996" s="1">
        <v>303</v>
      </c>
      <c r="L1996" s="7">
        <v>21754</v>
      </c>
      <c r="M1996" s="1">
        <v>12</v>
      </c>
      <c r="N1996" s="6">
        <v>0.15010000000000001</v>
      </c>
      <c r="O1996" s="1" t="s">
        <v>63</v>
      </c>
      <c r="P1996" s="1" t="s">
        <v>30</v>
      </c>
      <c r="Q1996" s="1">
        <v>8</v>
      </c>
      <c r="R1996" s="1">
        <v>0</v>
      </c>
      <c r="S1996" s="1" t="s">
        <v>33</v>
      </c>
      <c r="T1996" s="1" t="s">
        <v>31</v>
      </c>
      <c r="U1996" s="1">
        <v>1</v>
      </c>
      <c r="V1996" s="1">
        <v>76303</v>
      </c>
      <c r="W1996" s="7">
        <v>481.1</v>
      </c>
      <c r="X1996" s="1">
        <v>0.56000000000000005</v>
      </c>
      <c r="Y1996" s="4">
        <v>44091</v>
      </c>
      <c r="Z1996" s="1" t="s">
        <v>32</v>
      </c>
      <c r="AA1996" s="1" t="s">
        <v>33</v>
      </c>
      <c r="AB1996" s="36" t="str" cm="1">
        <f t="array" ref="AB1996">_xlfn.IFS(K1996&gt;650,"LOW",K1996&gt;=550,"MEDIUM",K1996&lt;550,"HIGH")</f>
        <v>HIGH</v>
      </c>
    </row>
    <row r="1997" spans="3:28" x14ac:dyDescent="0.3">
      <c r="C1997" s="35" t="s">
        <v>3479</v>
      </c>
      <c r="D1997" s="1" t="s">
        <v>1497</v>
      </c>
      <c r="E1997" s="1">
        <v>45</v>
      </c>
      <c r="F1997" s="1" t="s">
        <v>44</v>
      </c>
      <c r="G1997" s="1" t="s">
        <v>56</v>
      </c>
      <c r="H1997" s="1" t="s">
        <v>54</v>
      </c>
      <c r="I1997" s="1" t="s">
        <v>40</v>
      </c>
      <c r="J1997" s="7">
        <v>39558</v>
      </c>
      <c r="K1997" s="1">
        <v>303</v>
      </c>
      <c r="L1997" s="7">
        <v>47022</v>
      </c>
      <c r="M1997" s="1">
        <v>48</v>
      </c>
      <c r="N1997" s="6">
        <v>0.19570000000000001</v>
      </c>
      <c r="O1997" s="1" t="s">
        <v>52</v>
      </c>
      <c r="P1997" s="1" t="s">
        <v>47</v>
      </c>
      <c r="Q1997" s="1">
        <v>15</v>
      </c>
      <c r="R1997" s="1">
        <v>2</v>
      </c>
      <c r="S1997" s="1" t="s">
        <v>33</v>
      </c>
      <c r="T1997" s="1" t="s">
        <v>33</v>
      </c>
      <c r="U1997" s="1">
        <v>1</v>
      </c>
      <c r="V1997" s="1">
        <v>11198</v>
      </c>
      <c r="W1997" s="7">
        <v>1556.52</v>
      </c>
      <c r="X1997" s="1">
        <v>0.76</v>
      </c>
      <c r="Y1997" s="4">
        <v>45657</v>
      </c>
      <c r="Z1997" s="1" t="s">
        <v>32</v>
      </c>
      <c r="AA1997" s="1" t="s">
        <v>33</v>
      </c>
      <c r="AB1997" s="36" t="str" cm="1">
        <f t="array" ref="AB1997">_xlfn.IFS(K1997&gt;650,"LOW",K1997&gt;=550,"MEDIUM",K1997&lt;550,"HIGH")</f>
        <v>HIGH</v>
      </c>
    </row>
    <row r="1998" spans="3:28" x14ac:dyDescent="0.3">
      <c r="C1998" s="35" t="s">
        <v>2458</v>
      </c>
      <c r="D1998" s="1" t="s">
        <v>488</v>
      </c>
      <c r="E1998" s="1">
        <v>25</v>
      </c>
      <c r="F1998" s="1" t="s">
        <v>44</v>
      </c>
      <c r="G1998" s="1" t="s">
        <v>35</v>
      </c>
      <c r="H1998" s="1" t="s">
        <v>61</v>
      </c>
      <c r="I1998" s="1" t="s">
        <v>59</v>
      </c>
      <c r="J1998" s="7">
        <v>78849</v>
      </c>
      <c r="K1998" s="1">
        <v>302</v>
      </c>
      <c r="L1998" s="7">
        <v>34120</v>
      </c>
      <c r="M1998" s="1">
        <v>36</v>
      </c>
      <c r="N1998" s="6">
        <v>0.13800000000000001</v>
      </c>
      <c r="O1998" s="1" t="s">
        <v>37</v>
      </c>
      <c r="P1998" s="1" t="s">
        <v>50</v>
      </c>
      <c r="Q1998" s="1">
        <v>19</v>
      </c>
      <c r="R1998" s="1">
        <v>4</v>
      </c>
      <c r="S1998" s="1" t="s">
        <v>31</v>
      </c>
      <c r="T1998" s="1" t="s">
        <v>31</v>
      </c>
      <c r="U1998" s="1">
        <v>4</v>
      </c>
      <c r="V1998" s="1">
        <v>30593</v>
      </c>
      <c r="W1998" s="7">
        <v>1812.61</v>
      </c>
      <c r="X1998" s="1">
        <v>0.47</v>
      </c>
      <c r="Y1998" s="4">
        <v>45531</v>
      </c>
      <c r="Z1998" s="1" t="s">
        <v>32</v>
      </c>
      <c r="AA1998" s="1" t="s">
        <v>33</v>
      </c>
      <c r="AB1998" s="36" t="str" cm="1">
        <f t="array" ref="AB1998">_xlfn.IFS(K1998&gt;650,"LOW",K1998&gt;=550,"MEDIUM",K1998&lt;550,"HIGH")</f>
        <v>HIGH</v>
      </c>
    </row>
    <row r="1999" spans="3:28" x14ac:dyDescent="0.3">
      <c r="C1999" s="35" t="s">
        <v>2506</v>
      </c>
      <c r="D1999" s="1" t="s">
        <v>536</v>
      </c>
      <c r="E1999" s="1">
        <v>32</v>
      </c>
      <c r="F1999" s="1" t="s">
        <v>44</v>
      </c>
      <c r="G1999" s="1" t="s">
        <v>27</v>
      </c>
      <c r="H1999" s="1" t="s">
        <v>61</v>
      </c>
      <c r="I1999" s="1" t="s">
        <v>57</v>
      </c>
      <c r="J1999" s="7">
        <v>64565</v>
      </c>
      <c r="K1999" s="1">
        <v>302</v>
      </c>
      <c r="L1999" s="7">
        <v>18182</v>
      </c>
      <c r="M1999" s="1">
        <v>48</v>
      </c>
      <c r="N1999" s="6">
        <v>0.1575</v>
      </c>
      <c r="O1999" s="1" t="s">
        <v>41</v>
      </c>
      <c r="P1999" s="1" t="s">
        <v>50</v>
      </c>
      <c r="Q1999" s="1">
        <v>18</v>
      </c>
      <c r="R1999" s="1">
        <v>1</v>
      </c>
      <c r="S1999" s="1" t="s">
        <v>33</v>
      </c>
      <c r="T1999" s="1" t="s">
        <v>33</v>
      </c>
      <c r="U1999" s="1">
        <v>2</v>
      </c>
      <c r="V1999" s="1">
        <v>12778</v>
      </c>
      <c r="W1999" s="7">
        <v>1057.08</v>
      </c>
      <c r="X1999" s="1">
        <v>0.32</v>
      </c>
      <c r="Y1999" s="4">
        <v>44634</v>
      </c>
      <c r="Z1999" s="1" t="s">
        <v>32</v>
      </c>
      <c r="AA1999" s="1" t="s">
        <v>31</v>
      </c>
      <c r="AB1999" s="36" t="str" cm="1">
        <f t="array" ref="AB1999">_xlfn.IFS(K1999&gt;650,"LOW",K1999&gt;=550,"MEDIUM",K1999&lt;550,"HIGH")</f>
        <v>HIGH</v>
      </c>
    </row>
    <row r="2000" spans="3:28" x14ac:dyDescent="0.3">
      <c r="C2000" s="35" t="s">
        <v>3473</v>
      </c>
      <c r="D2000" s="1" t="s">
        <v>1491</v>
      </c>
      <c r="E2000" s="1">
        <v>26</v>
      </c>
      <c r="F2000" s="1" t="s">
        <v>44</v>
      </c>
      <c r="G2000" s="1" t="s">
        <v>35</v>
      </c>
      <c r="H2000" s="1" t="s">
        <v>61</v>
      </c>
      <c r="I2000" s="1" t="s">
        <v>59</v>
      </c>
      <c r="J2000" s="7">
        <v>75556</v>
      </c>
      <c r="K2000" s="1">
        <v>302</v>
      </c>
      <c r="L2000" s="7">
        <v>28609</v>
      </c>
      <c r="M2000" s="1">
        <v>36</v>
      </c>
      <c r="N2000" s="6">
        <v>0.1532</v>
      </c>
      <c r="O2000" s="1" t="s">
        <v>52</v>
      </c>
      <c r="P2000" s="1" t="s">
        <v>30</v>
      </c>
      <c r="Q2000" s="1">
        <v>28</v>
      </c>
      <c r="R2000" s="1">
        <v>0</v>
      </c>
      <c r="S2000" s="1" t="s">
        <v>33</v>
      </c>
      <c r="T2000" s="1" t="s">
        <v>33</v>
      </c>
      <c r="U2000" s="1">
        <v>4</v>
      </c>
      <c r="V2000" s="1">
        <v>153097</v>
      </c>
      <c r="W2000" s="7">
        <v>1647.71</v>
      </c>
      <c r="X2000" s="1">
        <v>0.77</v>
      </c>
      <c r="Y2000" s="4">
        <v>45559</v>
      </c>
      <c r="Z2000" s="1" t="s">
        <v>32</v>
      </c>
      <c r="AA2000" s="1" t="s">
        <v>33</v>
      </c>
      <c r="AB2000" s="36" t="str" cm="1">
        <f t="array" ref="AB2000">_xlfn.IFS(K2000&gt;650,"LOW",K2000&gt;=550,"MEDIUM",K2000&lt;550,"HIGH")</f>
        <v>HIGH</v>
      </c>
    </row>
    <row r="2001" spans="3:28" x14ac:dyDescent="0.3">
      <c r="C2001" s="35" t="s">
        <v>2817</v>
      </c>
      <c r="D2001" s="1" t="s">
        <v>845</v>
      </c>
      <c r="E2001" s="1">
        <v>41</v>
      </c>
      <c r="F2001" s="1" t="s">
        <v>26</v>
      </c>
      <c r="G2001" s="1" t="s">
        <v>27</v>
      </c>
      <c r="H2001" s="1" t="s">
        <v>28</v>
      </c>
      <c r="I2001" s="1" t="s">
        <v>57</v>
      </c>
      <c r="J2001" s="7">
        <v>32404</v>
      </c>
      <c r="K2001" s="1">
        <v>301</v>
      </c>
      <c r="L2001" s="7">
        <v>40205</v>
      </c>
      <c r="M2001" s="1">
        <v>48</v>
      </c>
      <c r="N2001" s="6">
        <v>0.17699999999999999</v>
      </c>
      <c r="O2001" s="1" t="s">
        <v>46</v>
      </c>
      <c r="P2001" s="1" t="s">
        <v>50</v>
      </c>
      <c r="Q2001" s="1">
        <v>13</v>
      </c>
      <c r="R2001" s="1">
        <v>3</v>
      </c>
      <c r="S2001" s="1" t="s">
        <v>31</v>
      </c>
      <c r="T2001" s="1" t="s">
        <v>33</v>
      </c>
      <c r="U2001" s="1">
        <v>0</v>
      </c>
      <c r="V2001" s="1">
        <v>102116</v>
      </c>
      <c r="W2001" s="7">
        <v>1960.98</v>
      </c>
      <c r="X2001" s="1">
        <v>0.3</v>
      </c>
      <c r="Y2001" s="4">
        <v>45327</v>
      </c>
      <c r="Z2001" s="1" t="s">
        <v>38</v>
      </c>
      <c r="AA2001" s="1" t="s">
        <v>33</v>
      </c>
      <c r="AB2001" s="36" t="str" cm="1">
        <f t="array" ref="AB2001">_xlfn.IFS(K2001&gt;650,"LOW",K2001&gt;=550,"MEDIUM",K2001&lt;550,"HIGH")</f>
        <v>HIGH</v>
      </c>
    </row>
    <row r="2002" spans="3:28" x14ac:dyDescent="0.3">
      <c r="C2002" s="35" t="s">
        <v>2877</v>
      </c>
      <c r="D2002" s="1" t="s">
        <v>905</v>
      </c>
      <c r="E2002" s="1">
        <v>38</v>
      </c>
      <c r="F2002" s="1" t="s">
        <v>44</v>
      </c>
      <c r="G2002" s="1" t="s">
        <v>56</v>
      </c>
      <c r="H2002" s="1" t="s">
        <v>28</v>
      </c>
      <c r="I2002" s="1" t="s">
        <v>59</v>
      </c>
      <c r="J2002" s="7">
        <v>59832</v>
      </c>
      <c r="K2002" s="1">
        <v>301</v>
      </c>
      <c r="L2002" s="7">
        <v>6608</v>
      </c>
      <c r="M2002" s="1">
        <v>24</v>
      </c>
      <c r="N2002" s="6">
        <v>0.19039999999999999</v>
      </c>
      <c r="O2002" s="1" t="s">
        <v>52</v>
      </c>
      <c r="P2002" s="1" t="s">
        <v>30</v>
      </c>
      <c r="Q2002" s="1">
        <v>10</v>
      </c>
      <c r="R2002" s="1">
        <v>2</v>
      </c>
      <c r="S2002" s="1" t="s">
        <v>31</v>
      </c>
      <c r="T2002" s="1" t="s">
        <v>33</v>
      </c>
      <c r="U2002" s="1">
        <v>1</v>
      </c>
      <c r="V2002" s="1">
        <v>197449</v>
      </c>
      <c r="W2002" s="7">
        <v>244.82</v>
      </c>
      <c r="X2002" s="1">
        <v>0.63</v>
      </c>
      <c r="Y2002" s="4">
        <v>44815</v>
      </c>
      <c r="Z2002" s="1" t="s">
        <v>32</v>
      </c>
      <c r="AA2002" s="1" t="s">
        <v>33</v>
      </c>
      <c r="AB2002" s="36" t="str" cm="1">
        <f t="array" ref="AB2002">_xlfn.IFS(K2002&gt;650,"LOW",K2002&gt;=550,"MEDIUM",K2002&lt;550,"HIGH")</f>
        <v>HIGH</v>
      </c>
    </row>
    <row r="2003" spans="3:28" x14ac:dyDescent="0.3">
      <c r="C2003" s="35" t="s">
        <v>2949</v>
      </c>
      <c r="D2003" s="1" t="s">
        <v>977</v>
      </c>
      <c r="E2003" s="1">
        <v>30</v>
      </c>
      <c r="F2003" s="1" t="s">
        <v>26</v>
      </c>
      <c r="G2003" s="1" t="s">
        <v>56</v>
      </c>
      <c r="H2003" s="1" t="s">
        <v>28</v>
      </c>
      <c r="I2003" s="1" t="s">
        <v>57</v>
      </c>
      <c r="J2003" s="7">
        <v>70390</v>
      </c>
      <c r="K2003" s="1">
        <v>301</v>
      </c>
      <c r="L2003" s="7">
        <v>1947</v>
      </c>
      <c r="M2003" s="1">
        <v>12</v>
      </c>
      <c r="N2003" s="6">
        <v>0.17859999999999998</v>
      </c>
      <c r="O2003" s="1" t="s">
        <v>52</v>
      </c>
      <c r="P2003" s="1" t="s">
        <v>50</v>
      </c>
      <c r="Q2003" s="1">
        <v>29</v>
      </c>
      <c r="R2003" s="1">
        <v>2</v>
      </c>
      <c r="S2003" s="1" t="s">
        <v>33</v>
      </c>
      <c r="T2003" s="1" t="s">
        <v>33</v>
      </c>
      <c r="U2003" s="1">
        <v>3</v>
      </c>
      <c r="V2003" s="1">
        <v>193378</v>
      </c>
      <c r="W2003" s="7">
        <v>874.73</v>
      </c>
      <c r="X2003" s="1">
        <v>0.43</v>
      </c>
      <c r="Y2003" s="4">
        <v>44835</v>
      </c>
      <c r="Z2003" s="1" t="s">
        <v>32</v>
      </c>
      <c r="AA2003" s="1" t="s">
        <v>33</v>
      </c>
      <c r="AB2003" s="36" t="str" cm="1">
        <f t="array" ref="AB2003">_xlfn.IFS(K2003&gt;650,"LOW",K2003&gt;=550,"MEDIUM",K2003&lt;550,"HIGH")</f>
        <v>HIGH</v>
      </c>
    </row>
    <row r="2004" spans="3:28" x14ac:dyDescent="0.3">
      <c r="C2004" s="35" t="s">
        <v>2371</v>
      </c>
      <c r="D2004" s="1" t="s">
        <v>401</v>
      </c>
      <c r="E2004" s="1">
        <v>46</v>
      </c>
      <c r="F2004" s="1" t="s">
        <v>44</v>
      </c>
      <c r="G2004" s="1" t="s">
        <v>27</v>
      </c>
      <c r="H2004" s="1" t="s">
        <v>28</v>
      </c>
      <c r="I2004" s="1" t="s">
        <v>29</v>
      </c>
      <c r="J2004" s="7">
        <v>96312</v>
      </c>
      <c r="K2004" s="1">
        <v>300</v>
      </c>
      <c r="L2004" s="7">
        <v>44714</v>
      </c>
      <c r="M2004" s="1">
        <v>36</v>
      </c>
      <c r="N2004" s="6">
        <v>0.17079999999999998</v>
      </c>
      <c r="O2004" s="1" t="s">
        <v>52</v>
      </c>
      <c r="P2004" s="1" t="s">
        <v>30</v>
      </c>
      <c r="Q2004" s="1">
        <v>6</v>
      </c>
      <c r="R2004" s="1">
        <v>4</v>
      </c>
      <c r="S2004" s="1" t="s">
        <v>33</v>
      </c>
      <c r="T2004" s="1" t="s">
        <v>31</v>
      </c>
      <c r="U2004" s="1">
        <v>0</v>
      </c>
      <c r="V2004" s="1">
        <v>103426</v>
      </c>
      <c r="W2004" s="7">
        <v>1807.98</v>
      </c>
      <c r="X2004" s="1">
        <v>0.65</v>
      </c>
      <c r="Y2004" s="4">
        <v>44280</v>
      </c>
      <c r="Z2004" s="1" t="s">
        <v>38</v>
      </c>
      <c r="AA2004" s="1" t="s">
        <v>31</v>
      </c>
      <c r="AB2004" s="36" t="str" cm="1">
        <f t="array" ref="AB2004">_xlfn.IFS(K2004&gt;650,"LOW",K2004&gt;=550,"MEDIUM",K2004&lt;550,"HIGH")</f>
        <v>HIGH</v>
      </c>
    </row>
    <row r="2005" spans="3:28" x14ac:dyDescent="0.3">
      <c r="C2005" s="35" t="s">
        <v>3436</v>
      </c>
      <c r="D2005" s="1" t="s">
        <v>1455</v>
      </c>
      <c r="E2005" s="1">
        <v>33</v>
      </c>
      <c r="F2005" s="1" t="s">
        <v>26</v>
      </c>
      <c r="G2005" s="1" t="s">
        <v>56</v>
      </c>
      <c r="H2005" s="1" t="s">
        <v>61</v>
      </c>
      <c r="I2005" s="1" t="s">
        <v>59</v>
      </c>
      <c r="J2005" s="7">
        <v>143637</v>
      </c>
      <c r="K2005" s="1">
        <v>300</v>
      </c>
      <c r="L2005" s="7">
        <v>13312</v>
      </c>
      <c r="M2005" s="1">
        <v>48</v>
      </c>
      <c r="N2005" s="6">
        <v>8.6599999999999996E-2</v>
      </c>
      <c r="O2005" s="1" t="s">
        <v>46</v>
      </c>
      <c r="P2005" s="1" t="s">
        <v>50</v>
      </c>
      <c r="Q2005" s="1">
        <v>14</v>
      </c>
      <c r="R2005" s="1">
        <v>0</v>
      </c>
      <c r="S2005" s="1" t="s">
        <v>31</v>
      </c>
      <c r="T2005" s="1" t="s">
        <v>31</v>
      </c>
      <c r="U2005" s="1">
        <v>3</v>
      </c>
      <c r="V2005" s="1">
        <v>135700</v>
      </c>
      <c r="W2005" s="7">
        <v>214.29</v>
      </c>
      <c r="X2005" s="1">
        <v>0.86</v>
      </c>
      <c r="Y2005" s="4">
        <v>45298</v>
      </c>
      <c r="Z2005" s="1" t="s">
        <v>32</v>
      </c>
      <c r="AA2005" s="1" t="s">
        <v>33</v>
      </c>
      <c r="AB2005" s="36" t="str" cm="1">
        <f t="array" ref="AB2005">_xlfn.IFS(K2005&gt;650,"LOW",K2005&gt;=550,"MEDIUM",K2005&lt;550,"HIGH")</f>
        <v>HIGH</v>
      </c>
    </row>
    <row r="2006" spans="3:28" x14ac:dyDescent="0.3">
      <c r="C2006" s="35" t="s">
        <v>3520</v>
      </c>
      <c r="D2006" s="1" t="s">
        <v>1537</v>
      </c>
      <c r="E2006" s="1">
        <v>23</v>
      </c>
      <c r="F2006" s="1" t="s">
        <v>26</v>
      </c>
      <c r="G2006" s="1" t="s">
        <v>35</v>
      </c>
      <c r="H2006" s="1" t="s">
        <v>36</v>
      </c>
      <c r="I2006" s="1" t="s">
        <v>40</v>
      </c>
      <c r="J2006" s="7">
        <v>94599</v>
      </c>
      <c r="K2006" s="1">
        <v>300</v>
      </c>
      <c r="L2006" s="7">
        <v>1015</v>
      </c>
      <c r="M2006" s="1">
        <v>36</v>
      </c>
      <c r="N2006" s="6">
        <v>0.19440000000000002</v>
      </c>
      <c r="O2006" s="1" t="s">
        <v>5</v>
      </c>
      <c r="P2006" s="1" t="s">
        <v>50</v>
      </c>
      <c r="Q2006" s="1">
        <v>11</v>
      </c>
      <c r="R2006" s="1">
        <v>4</v>
      </c>
      <c r="S2006" s="1" t="s">
        <v>31</v>
      </c>
      <c r="T2006" s="1" t="s">
        <v>33</v>
      </c>
      <c r="U2006" s="1">
        <v>4</v>
      </c>
      <c r="V2006" s="1">
        <v>99978</v>
      </c>
      <c r="W2006" s="7">
        <v>187.35</v>
      </c>
      <c r="X2006" s="1">
        <v>0.32</v>
      </c>
      <c r="Y2006" s="4">
        <v>44703</v>
      </c>
      <c r="Z2006" s="1" t="s">
        <v>32</v>
      </c>
      <c r="AA2006" s="1" t="s">
        <v>33</v>
      </c>
      <c r="AB2006" s="36" t="str" cm="1">
        <f t="array" ref="AB2006">_xlfn.IFS(K2006&gt;650,"LOW",K2006&gt;=550,"MEDIUM",K2006&lt;550,"HIGH")</f>
        <v>HIGH</v>
      </c>
    </row>
    <row r="2007" spans="3:28" x14ac:dyDescent="0.3">
      <c r="C2007" s="42" t="s">
        <v>3673</v>
      </c>
      <c r="D2007" s="26" t="s">
        <v>1685</v>
      </c>
      <c r="E2007" s="26">
        <v>36</v>
      </c>
      <c r="F2007" s="26" t="s">
        <v>44</v>
      </c>
      <c r="G2007" s="26" t="s">
        <v>45</v>
      </c>
      <c r="H2007" s="26" t="s">
        <v>28</v>
      </c>
      <c r="I2007" s="26" t="s">
        <v>57</v>
      </c>
      <c r="J2007" s="43">
        <v>120128</v>
      </c>
      <c r="K2007" s="26">
        <v>300</v>
      </c>
      <c r="L2007" s="43">
        <v>36775</v>
      </c>
      <c r="M2007" s="26">
        <v>48</v>
      </c>
      <c r="N2007" s="27">
        <v>0.10490000000000001</v>
      </c>
      <c r="O2007" s="26" t="s">
        <v>63</v>
      </c>
      <c r="P2007" s="26" t="s">
        <v>47</v>
      </c>
      <c r="Q2007" s="26">
        <v>18</v>
      </c>
      <c r="R2007" s="26">
        <v>2</v>
      </c>
      <c r="S2007" s="26" t="s">
        <v>33</v>
      </c>
      <c r="T2007" s="26" t="s">
        <v>31</v>
      </c>
      <c r="U2007" s="26">
        <v>4</v>
      </c>
      <c r="V2007" s="26">
        <v>65180</v>
      </c>
      <c r="W2007" s="43">
        <v>117.15</v>
      </c>
      <c r="X2007" s="26">
        <v>0.23</v>
      </c>
      <c r="Y2007" s="44">
        <v>45220</v>
      </c>
      <c r="Z2007" s="26" t="s">
        <v>32</v>
      </c>
      <c r="AA2007" s="26" t="s">
        <v>33</v>
      </c>
      <c r="AB2007" s="45" t="str" cm="1">
        <f t="array" ref="AB2007">_xlfn.IFS(K2007&gt;650,"LOW",K2007&gt;=550,"MEDIUM",K2007&lt;550,"HIGH")</f>
        <v>HIGH</v>
      </c>
    </row>
  </sheetData>
  <mergeCells count="2">
    <mergeCell ref="C6:AB6"/>
    <mergeCell ref="F2:I3"/>
  </mergeCells>
  <phoneticPr fontId="18" type="noConversion"/>
  <conditionalFormatting sqref="C7:C1048576 C1 C3:C5">
    <cfRule type="duplicateValues" dxfId="30" priority="5"/>
  </conditionalFormatting>
  <conditionalFormatting sqref="AB7:AB2007">
    <cfRule type="dataBar" priority="4">
      <dataBar>
        <cfvo type="min"/>
        <cfvo type="max"/>
        <color rgb="FF63C384"/>
      </dataBar>
      <extLst>
        <ext xmlns:x14="http://schemas.microsoft.com/office/spreadsheetml/2009/9/main" uri="{B025F937-C7B1-47D3-B67F-A62EFF666E3E}">
          <x14:id>{D0595799-2D4B-415B-BB34-E50D83F87FC3}</x14:id>
        </ext>
      </extLst>
    </cfRule>
  </conditionalFormatting>
  <conditionalFormatting sqref="K7:K1048576 K1:K5">
    <cfRule type="dataBar" priority="3">
      <dataBar>
        <cfvo type="min"/>
        <cfvo type="max"/>
        <color rgb="FF63C384"/>
      </dataBar>
      <extLst>
        <ext xmlns:x14="http://schemas.microsoft.com/office/spreadsheetml/2009/9/main" uri="{B025F937-C7B1-47D3-B67F-A62EFF666E3E}">
          <x14:id>{28390585-F404-4F3A-86F0-51A58750F81D}</x14:id>
        </ext>
      </extLst>
    </cfRule>
  </conditionalFormatting>
  <conditionalFormatting sqref="X8:X2007">
    <cfRule type="colorScale" priority="2">
      <colorScale>
        <cfvo type="min"/>
        <cfvo type="percentile" val="50"/>
        <cfvo type="max"/>
        <color rgb="FFFF3300"/>
        <color rgb="FFFFFF00"/>
        <color rgb="FF00B050"/>
      </colorScale>
    </cfRule>
  </conditionalFormatting>
  <conditionalFormatting sqref="L7:L1048576 L1:L5">
    <cfRule type="iconSet" priority="1">
      <iconSet iconSet="4Rating">
        <cfvo type="percent" val="0"/>
        <cfvo type="percent" val="25"/>
        <cfvo type="percent" val="50"/>
        <cfvo type="percent" val="75"/>
      </iconSet>
    </cfRule>
  </conditionalFormatting>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0595799-2D4B-415B-BB34-E50D83F87FC3}">
            <x14:dataBar minLength="0" maxLength="100" border="1" negativeBarBorderColorSameAsPositive="0">
              <x14:cfvo type="autoMin"/>
              <x14:cfvo type="autoMax"/>
              <x14:borderColor rgb="FF63C384"/>
              <x14:negativeFillColor rgb="FFFF0000"/>
              <x14:negativeBorderColor rgb="FFFF0000"/>
              <x14:axisColor rgb="FF000000"/>
            </x14:dataBar>
          </x14:cfRule>
          <xm:sqref>AB7:AB2007</xm:sqref>
        </x14:conditionalFormatting>
        <x14:conditionalFormatting xmlns:xm="http://schemas.microsoft.com/office/excel/2006/main">
          <x14:cfRule type="dataBar" id="{28390585-F404-4F3A-86F0-51A58750F81D}">
            <x14:dataBar minLength="0" maxLength="100" border="1" negativeBarBorderColorSameAsPositive="0">
              <x14:cfvo type="autoMin"/>
              <x14:cfvo type="autoMax"/>
              <x14:borderColor rgb="FF63C384"/>
              <x14:negativeFillColor rgb="FFFF0000"/>
              <x14:negativeBorderColor rgb="FFFF0000"/>
              <x14:axisColor rgb="FF000000"/>
            </x14:dataBar>
          </x14:cfRule>
          <xm:sqref>K7:K1048576 K1:K5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1951C-493F-496B-87F4-4CE0DDFAE2A4}">
  <sheetPr codeName="Sheet4">
    <pageSetUpPr fitToPage="1"/>
  </sheetPr>
  <dimension ref="A1"/>
  <sheetViews>
    <sheetView showGridLines="0" tabSelected="1" topLeftCell="A2" zoomScale="80" zoomScaleNormal="80" zoomScaleSheetLayoutView="50" workbookViewId="0">
      <selection activeCell="AC34" sqref="AC34"/>
    </sheetView>
  </sheetViews>
  <sheetFormatPr defaultRowHeight="14.4" x14ac:dyDescent="0.3"/>
  <cols>
    <col min="1" max="16384" width="8.88671875" style="33"/>
  </cols>
  <sheetData/>
  <pageMargins left="0.7" right="0.7" top="0.75" bottom="0.75" header="0.3" footer="0.3"/>
  <pageSetup paperSize="9" scale="61" orientation="landscape" cellComments="atEnd"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 Analysis</vt:lpstr>
      <vt:lpstr>Charts</vt:lpstr>
      <vt:lpstr>Pivot_Analysis</vt:lpstr>
      <vt:lpstr>loan_default_prediction_dataset</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Vijeshwaran Arulmani</cp:lastModifiedBy>
  <cp:lastPrinted>2026-01-02T02:32:35Z</cp:lastPrinted>
  <dcterms:created xsi:type="dcterms:W3CDTF">2025-07-11T07:14:46Z</dcterms:created>
  <dcterms:modified xsi:type="dcterms:W3CDTF">2026-01-02T05:03:33Z</dcterms:modified>
</cp:coreProperties>
</file>